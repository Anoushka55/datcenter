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25" name="18_checks" state="visible" r:id="rId32"/>
  </sheets>
  <calcPr calcId="171027"/>
</workbook>
</file>

<file path=xl/sharedStrings.xml><?xml version="1.0" encoding="utf-8"?>
<sst xmlns="http://schemas.openxmlformats.org/spreadsheetml/2006/main" count="9767" uniqueCount="2209">
  <si>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</si>
  <si>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</si>
  <si>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</si>
  <si>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</si>
  <si>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</si>
  <si>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</si>
  <si>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</si>
  <si>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</si>
  <si>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</si>
  <si>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</si>
  <si>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</si>
  <si>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</si>
  <si>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</si>
  <si>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</si>
  <si>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</si>
  <si>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</si>
  <si>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</si>
  <si>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</si>
  <si>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</si>
  <si>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</si>
  <si>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</si>
  <si>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</si>
  <si>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</si>
  <si>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</si>
  <si>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</si>
  <si>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</si>
  <si>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</si>
  <si>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</si>
  <si>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</si>
  <si>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</si>
  <si>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</si>
  <si>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</si>
  <si>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</si>
  <si>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</si>
  <si>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</si>
  <si>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</si>
  <si>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</si>
  <si>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</si>
  <si>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</si>
  <si>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</si>
  <si>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</si>
  <si>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</si>
  <si>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</si>
  <si>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</si>
  <si>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</si>
  <si>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</si>
  <si>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</si>
  <si>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</si>
  <si>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</si>
  <si>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</si>
  <si>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</si>
  <si>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</si>
  <si>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</si>
  <si>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</si>
  <si>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</si>
  <si>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</si>
  <si>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</si>
  <si>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</si>
  <si>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</si>
  <si>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</si>
  <si>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</si>
  <si>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</si>
  <si>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</si>
  <si>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</si>
  <si>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</si>
  <si>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</si>
  <si>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</si>
  <si>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</si>
  <si>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</si>
  <si>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</si>
  <si>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</si>
  <si>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</si>
  <si>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</si>
  <si>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</si>
  <si>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</si>
  <si>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</si>
  <si>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</si>
  <si>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</si>
  <si>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</si>
  <si>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</si>
  <si>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</si>
  <si>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</si>
  <si>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</si>
  <si>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</si>
  <si>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</si>
  <si>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</si>
  <si>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</si>
  <si>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</si>
  <si>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</si>
  <si>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</si>
  <si>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</si>
  <si>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</si>
  <si>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</si>
  <si>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</si>
  <si>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</si>
  <si>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</si>
  <si>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</si>
  <si>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</si>
  <si>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</si>
  <si>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</si>
  <si>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</si>
  <si>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</si>
  <si>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</si>
  <si>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</si>
  <si>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</si>
  <si>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</si>
  <si>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</si>
  <si>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</si>
  <si>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</si>
  <si>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</si>
  <si>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</si>
  <si>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</si>
  <si>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</si>
  <si>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</si>
  <si>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</si>
  <si>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</si>
  <si>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</si>
  <si>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</si>
  <si>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</si>
  <si>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</si>
  <si>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</si>
  <si>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</si>
  <si>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</si>
  <si>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</si>
  <si>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</si>
  <si>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</si>
  <si>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</si>
  <si>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</si>
  <si>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</si>
  <si>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</si>
  <si>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</si>
  <si>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</si>
  <si>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</si>
  <si>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</si>
  <si>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</si>
  <si>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</si>
  <si>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</si>
  <si>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</si>
  <si>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</si>
  <si>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</si>
  <si>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</si>
  <si>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</si>
  <si>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</si>
  <si>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</si>
  <si>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</si>
  <si>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</si>
  <si>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</si>
  <si>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</si>
  <si>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</si>
  <si>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</si>
  <si>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</si>
  <si>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</si>
  <si>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</si>
  <si>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</si>
  <si>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</si>
  <si>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</si>
  <si>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</si>
  <si>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</si>
  <si>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</si>
  <si>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</si>
  <si>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</si>
  <si>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</si>
  <si>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</si>
  <si>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</si>
  <si>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</si>
  <si>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</si>
  <si>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</si>
  <si>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</si>
  <si>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</si>
  <si>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</si>
  <si>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</si>
  <si>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</si>
  <si>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</si>
  <si>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</si>
  <si>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</si>
  <si>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</si>
  <si>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</si>
  <si>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</si>
  <si>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</si>
  <si>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</si>
  <si>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</si>
  <si>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</si>
  <si>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</si>
  <si>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</si>
  <si>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</si>
  <si>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</si>
  <si>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</si>
  <si>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</si>
  <si>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</si>
  <si>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</si>
  <si>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</si>
  <si>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</si>
  <si>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</si>
  <si>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</si>
  <si>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</si>
  <si>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</si>
  <si>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</si>
  <si>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</si>
  <si>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</si>
  <si>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</si>
  <si>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</si>
  <si>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</si>
  <si>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</si>
  <si>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</si>
  <si>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</si>
  <si>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</si>
  <si>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</si>
  <si>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</si>
  <si>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</si>
  <si>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</si>
  <si>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</si>
  <si>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</si>
  <si>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</si>
  <si>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</si>
  <si>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</si>
  <si>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</si>
  <si>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</si>
  <si>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</si>
  <si>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</si>
  <si>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</si>
  <si>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</si>
  <si>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</si>
  <si>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</si>
  <si>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</si>
  <si>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</si>
  <si>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</si>
  <si>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</si>
  <si>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</si>
  <si>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</si>
  <si>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</si>
  <si>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</si>
  <si>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</si>
  <si>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</si>
  <si>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</si>
  <si>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</si>
  <si>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</si>
  <si>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</si>
  <si>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</si>
  <si>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</si>
  <si>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</si>
  <si>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</si>
  <si>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</si>
  <si>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</si>
  <si>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</si>
  <si>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</si>
  <si>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</si>
  <si>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</si>
  <si>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</si>
  <si>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</si>
  <si>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</si>
  <si>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</si>
  <si>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</si>
  <si>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</si>
  <si>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</si>
  <si>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</si>
  <si>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</si>
  <si>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</si>
  <si>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</si>
  <si>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</si>
  <si>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</si>
  <si>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</si>
  <si>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</si>
  <si>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</si>
  <si>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</si>
  <si>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</si>
  <si>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</si>
  <si>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</si>
  <si>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</si>
  <si>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</si>
  <si>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</si>
  <si>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</si>
  <si>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</si>
  <si>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</si>
  <si>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</si>
  <si>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</si>
  <si>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</si>
  <si>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</si>
  <si>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</si>
  <si>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</si>
  <si>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</si>
  <si>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</si>
  <si>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</si>
  <si>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</si>
  <si>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</si>
  <si>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</si>
  <si>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</si>
  <si>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</si>
  <si>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</si>
  <si>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</si>
  <si>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</si>
  <si>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</si>
  <si>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</si>
  <si>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</si>
  <si>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</si>
  <si>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</si>
  <si>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</si>
  <si>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</si>
  <si>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</si>
  <si>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</si>
  <si>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</si>
  <si>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</si>
  <si>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</si>
  <si>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</si>
  <si>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</si>
  <si>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</si>
  <si>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</si>
  <si>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</si>
  <si>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</si>
  <si>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</si>
  <si>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</si>
  <si>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</si>
  <si>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</si>
  <si>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</si>
  <si>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</si>
  <si>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</si>
  <si>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</si>
  <si>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</si>
  <si>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</si>
  <si>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</si>
  <si>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</si>
  <si>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</si>
  <si>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</si>
  <si>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</si>
  <si>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</si>
  <si>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</si>
  <si>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</si>
  <si>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</si>
  <si>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</si>
  <si>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</si>
  <si>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</si>
  <si>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</si>
  <si>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</si>
  <si>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</si>
  <si>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</si>
  <si>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</si>
  <si>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</si>
  <si>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</si>
  <si>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</si>
  <si>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</si>
  <si>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</si>
  <si>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</si>
  <si>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</si>
  <si>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</si>
  <si>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</si>
  <si>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</si>
  <si>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</si>
  <si>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</si>
  <si>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</si>
  <si>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</si>
  <si>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</si>
  <si>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</si>
  <si>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</si>
  <si>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</si>
  <si>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</si>
  <si>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</si>
  <si>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</si>
  <si>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</si>
  <si>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</si>
  <si>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</si>
  <si>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</si>
  <si>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</si>
  <si>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</si>
  <si>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</si>
  <si>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</si>
  <si>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</si>
  <si>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</si>
  <si>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</si>
  <si>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</si>
  <si>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</si>
  <si>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</si>
  <si>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</si>
  <si>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</si>
  <si>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</si>
  <si>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</si>
  <si>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</si>
  <si>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</si>
  <si>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</si>
  <si>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</si>
  <si>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</si>
  <si>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</si>
  <si>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</si>
  <si>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</si>
  <si>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</si>
  <si>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</si>
  <si>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</si>
  <si>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</si>
  <si>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</si>
  <si>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</si>
  <si>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</si>
  <si>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</si>
  <si>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</si>
  <si>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</si>
  <si>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</si>
  <si>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</si>
  <si>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</si>
  <si>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</si>
  <si>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</si>
  <si>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</si>
  <si>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</si>
  <si>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</si>
  <si>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</si>
  <si>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</si>
  <si>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</si>
  <si>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</si>
  <si>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</si>
  <si>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</si>
  <si>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</si>
  <si>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</si>
  <si>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</si>
  <si>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</si>
  <si>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</si>
  <si>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</si>
  <si>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</si>
  <si>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</si>
  <si>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</si>
  <si>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</si>
  <si>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</si>
  <si>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</si>
  <si>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</si>
  <si>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</si>
  <si>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</si>
  <si>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</si>
  <si>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</si>
  <si>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</si>
  <si>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</si>
  <si>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</si>
  <si>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</si>
  <si>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</si>
  <si>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</si>
  <si>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</si>
  <si>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</si>
  <si>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</si>
  <si>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</si>
  <si>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</si>
  <si>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</si>
  <si>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</si>
  <si>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</si>
  <si>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</si>
  <si>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</si>
  <si>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</si>
  <si>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</si>
  <si>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</si>
  <si>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</si>
  <si>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</si>
  <si>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</si>
  <si>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</si>
  <si>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</si>
  <si>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</si>
  <si>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</si>
  <si>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</si>
  <si>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</si>
  <si>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</si>
  <si>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</si>
  <si>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</si>
  <si>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</si>
  <si>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</si>
  <si>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</si>
  <si>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</si>
  <si>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</si>
  <si>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</si>
  <si>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</si>
  <si>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</si>
  <si>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</si>
  <si>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</si>
  <si>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</si>
  <si>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</si>
  <si>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</si>
  <si>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</si>
  <si>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</si>
  <si>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</si>
  <si>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</si>
  <si>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</si>
  <si>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</si>
  <si>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</si>
  <si>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</si>
  <si>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</si>
  <si>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</si>
  <si>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</si>
  <si>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</si>
  <si>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</si>
  <si>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</si>
  <si>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</si>
  <si>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</si>
  <si>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</si>
  <si>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</si>
  <si>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</si>
  <si>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</si>
  <si>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</si>
  <si>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</si>
  <si>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</si>
  <si>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</si>
  <si>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</si>
  <si>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</si>
  <si>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</si>
  <si>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</si>
  <si>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</si>
  <si>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</si>
  <si>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</si>
  <si>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</si>
  <si>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</si>
  <si>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</si>
  <si>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</si>
  <si>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</si>
  <si>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</si>
  <si>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</si>
  <si>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</si>
  <si>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</si>
  <si>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</si>
  <si>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</si>
  <si>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</si>
  <si>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</si>
  <si>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</si>
  <si>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</si>
  <si>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</si>
  <si>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</si>
  <si>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</si>
  <si>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</si>
  <si>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</si>
  <si>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</si>
  <si>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</si>
  <si>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</si>
  <si>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</si>
  <si>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</si>
  <si>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</si>
  <si>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</si>
  <si>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</si>
  <si>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</si>
  <si>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</si>
  <si>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</si>
  <si>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</si>
  <si>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</si>
  <si>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</si>
  <si>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</si>
  <si>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</si>
  <si>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</si>
  <si>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</si>
  <si>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</si>
  <si>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</si>
  <si>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</si>
  <si>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</si>
  <si>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</si>
  <si>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</si>
  <si>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</si>
  <si>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</si>
  <si>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</si>
  <si>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</si>
  <si>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</si>
  <si>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</si>
  <si>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</si>
  <si>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</si>
  <si>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</si>
  <si>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</si>
  <si>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</si>
  <si>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</si>
  <si>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</si>
  <si>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</si>
  <si>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</si>
  <si>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</si>
  <si>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</si>
  <si>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</si>
  <si>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</si>
  <si>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</si>
  <si>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</si>
  <si>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</si>
  <si>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</si>
  <si>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</si>
  <si>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</si>
  <si>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</si>
  <si>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</si>
  <si>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</si>
  <si>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</si>
  <si>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</si>
  <si>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</si>
  <si>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</si>
  <si>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</si>
  <si>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</si>
  <si>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</si>
  <si>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</si>
  <si>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</si>
  <si>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</si>
  <si>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</si>
  <si>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</si>
  <si>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</si>
  <si>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</si>
  <si>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</si>
  <si>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</si>
  <si>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</si>
  <si>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</si>
  <si>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</si>
  <si>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</si>
  <si>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</si>
  <si>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</si>
  <si>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</si>
  <si>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</si>
  <si>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</si>
  <si>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</si>
  <si>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</si>
  <si>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</si>
  <si>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</si>
  <si>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</si>
  <si>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</si>
  <si>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</si>
  <si>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</si>
  <si>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</si>
  <si>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</si>
  <si>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</si>
  <si>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</si>
  <si>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</si>
  <si>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</si>
  <si>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</si>
  <si>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</si>
  <si>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</si>
  <si>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</si>
  <si>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</si>
  <si>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</si>
  <si>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</si>
  <si>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</si>
  <si>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</si>
  <si>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</si>
  <si>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</si>
  <si>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</si>
  <si>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</si>
  <si>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</si>
  <si>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</si>
  <si>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</si>
  <si>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</si>
  <si>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</si>
  <si>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</si>
  <si>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</si>
  <si>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</si>
  <si>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</si>
  <si>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</si>
  <si>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</si>
  <si>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</si>
  <si>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</si>
  <si>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</si>
  <si>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</si>
  <si>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</si>
  <si>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</si>
  <si>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</si>
  <si>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</si>
  <si>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</si>
  <si>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</si>
  <si>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</si>
  <si>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</si>
  <si>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</si>
  <si>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</si>
  <si>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</si>
  <si>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</si>
  <si>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</si>
  <si>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</si>
  <si>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</si>
  <si>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</si>
  <si>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</si>
  <si>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</si>
  <si>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</si>
  <si>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</si>
  <si>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</si>
  <si>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</si>
  <si>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</si>
  <si>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</si>
  <si>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</si>
  <si>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</si>
  <si>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</si>
  <si>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</si>
  <si>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</si>
  <si>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</si>
  <si>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</si>
  <si>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</si>
  <si>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</si>
  <si>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</si>
  <si>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</si>
  <si>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</si>
  <si>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</si>
  <si>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</si>
  <si>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</si>
  <si>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</si>
  <si>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</si>
  <si>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</si>
  <si>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</si>
  <si>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</si>
  <si>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</si>
  <si>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</si>
  <si>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</si>
  <si>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</si>
  <si>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</si>
  <si>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</si>
  <si>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</si>
  <si>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</si>
  <si>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</si>
  <si>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</si>
  <si>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</si>
  <si>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</si>
  <si>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</si>
  <si>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</si>
  <si>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</si>
  <si>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</si>
  <si>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</si>
  <si>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</si>
  <si>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</si>
  <si>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</si>
  <si>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</si>
  <si>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</si>
  <si>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</si>
  <si>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</si>
  <si>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</si>
  <si>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</si>
  <si>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</si>
  <si>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</si>
  <si>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</si>
  <si>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</si>
  <si>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</si>
  <si>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</si>
  <si>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</si>
  <si>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</si>
  <si>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</si>
  <si>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</si>
  <si>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</si>
  <si>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</si>
  <si>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</si>
  <si>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</si>
  <si>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</si>
  <si>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</si>
  <si>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</si>
  <si>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</si>
  <si>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</si>
  <si>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</si>
  <si>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</si>
  <si>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</si>
  <si>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</si>
  <si>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</si>
  <si>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</si>
  <si>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</si>
  <si>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</si>
  <si>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</si>
  <si>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</si>
  <si>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</si>
  <si>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</si>
  <si>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</si>
  <si>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</si>
  <si>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</si>
  <si>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</si>
  <si>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</si>
  <si>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</si>
  <si>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</si>
  <si>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</si>
  <si>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</si>
  <si>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</si>
  <si>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</si>
  <si>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</si>
  <si>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</si>
  <si>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</si>
  <si>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</si>
  <si>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</si>
  <si>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</si>
  <si>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</si>
  <si>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</si>
  <si>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</si>
  <si>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</si>
  <si>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</si>
  <si>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</si>
  <si>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</si>
  <si>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</si>
  <si>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</si>
  <si>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</si>
  <si>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</si>
  <si>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</si>
  <si>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</si>
  <si>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</si>
  <si>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</si>
  <si>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</si>
  <si>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</si>
  <si>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</si>
  <si>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</si>
  <si>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</si>
  <si>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</si>
  <si>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</si>
  <si>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</si>
  <si>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</si>
  <si>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</si>
  <si>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</si>
  <si>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</si>
  <si>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</si>
  <si>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</si>
  <si>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</si>
  <si>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</si>
  <si>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</si>
  <si>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</si>
  <si>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</si>
  <si>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</si>
  <si>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</si>
  <si>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</si>
  <si>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</si>
  <si>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</si>
  <si>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</si>
  <si>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</si>
  <si>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</si>
  <si>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</si>
  <si>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</si>
  <si>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</si>
  <si>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</si>
  <si>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</si>
  <si>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</si>
  <si>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</si>
  <si>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</si>
  <si>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</si>
  <si>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</si>
  <si>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</si>
  <si>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</si>
  <si>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</si>
  <si>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</si>
  <si>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</si>
  <si>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</si>
  <si>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</si>
  <si>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</si>
  <si>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</si>
  <si>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</si>
  <si>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</si>
  <si>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</si>
  <si>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</si>
  <si>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</si>
  <si>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</si>
  <si>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</si>
  <si>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</si>
  <si>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</si>
  <si>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</si>
  <si>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</si>
  <si>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</si>
  <si>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</si>
  <si>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</si>
  <si>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</si>
  <si>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</si>
  <si>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</si>
  <si>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</si>
  <si>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</si>
  <si>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</si>
  <si>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</si>
  <si>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</si>
  <si>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</si>
  <si>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</si>
  <si>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</si>
  <si>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</si>
  <si>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</si>
  <si>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</si>
  <si>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</si>
  <si>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</si>
  <si>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</si>
  <si>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</si>
  <si>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</si>
  <si>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</si>
  <si>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</si>
  <si>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</si>
  <si>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</si>
  <si>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</si>
  <si>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</si>
  <si>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</si>
  <si>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</si>
  <si>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</si>
  <si>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</si>
  <si>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</si>
  <si>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</si>
  <si>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</si>
  <si>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</si>
  <si>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</si>
  <si>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</si>
  <si>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</si>
  <si>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</si>
  <si>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</si>
  <si>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</si>
  <si>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</si>
  <si>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</si>
  <si>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</si>
  <si>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</si>
  <si>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</si>
  <si>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</si>
  <si>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</si>
  <si>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</si>
  <si>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</si>
  <si>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</si>
  <si>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</si>
  <si>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</si>
  <si>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</si>
  <si>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</si>
  <si>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</si>
  <si>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</si>
  <si>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</si>
  <si>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</si>
  <si>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</si>
  <si>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</si>
  <si>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</si>
  <si>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</si>
  <si>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</si>
  <si>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</si>
  <si>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</si>
  <si>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</si>
  <si>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</si>
  <si>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</si>
  <si>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</si>
  <si>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</si>
  <si>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</si>
  <si>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</si>
  <si>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</si>
  <si>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</si>
  <si>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</si>
  <si>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</si>
  <si>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</si>
  <si>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</si>
  <si>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</si>
  <si>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</si>
  <si>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</si>
  <si>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</si>
  <si>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</si>
  <si>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</si>
  <si>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</si>
  <si>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</si>
  <si>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</si>
  <si>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</si>
  <si>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</si>
  <si>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</si>
  <si>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</si>
  <si>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</si>
  <si>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</si>
  <si>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</si>
  <si>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</si>
  <si>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</si>
  <si>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</si>
  <si>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</si>
  <si>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</si>
  <si>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</si>
  <si>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</si>
  <si>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</si>
  <si>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</si>
  <si>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</si>
  <si>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</si>
  <si>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</si>
  <si>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</si>
  <si>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</si>
  <si>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</si>
  <si>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</si>
  <si>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</si>
  <si>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</si>
  <si>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</si>
  <si>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</si>
  <si>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</si>
  <si>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</si>
  <si>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</si>
  <si>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</si>
  <si>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</si>
  <si>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</si>
  <si>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</si>
  <si>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</si>
  <si>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</si>
  <si>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</si>
  <si>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</si>
  <si>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</si>
  <si>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</si>
  <si>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</si>
  <si>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</si>
  <si>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</si>
  <si>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</si>
  <si>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</si>
  <si>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</si>
  <si>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</si>
  <si>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</si>
  <si>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</si>
  <si>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</si>
  <si>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</si>
  <si>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</si>
  <si>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</si>
  <si>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</si>
  <si>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</si>
  <si>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</si>
  <si>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</si>
  <si>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</si>
  <si>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</si>
  <si>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</si>
  <si>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</si>
  <si>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</si>
  <si>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</si>
  <si>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</si>
  <si>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</si>
  <si>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</si>
  <si>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</si>
  <si>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</si>
  <si>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</si>
  <si>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</si>
  <si>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</si>
  <si>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</si>
  <si>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</si>
  <si>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</si>
  <si>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</si>
  <si>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</si>
  <si>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</si>
  <si>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</si>
  <si>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</si>
  <si>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</si>
  <si>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</si>
  <si>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</si>
  <si>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</si>
  <si>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</si>
  <si>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</si>
  <si>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</si>
  <si>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</si>
  <si>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</si>
  <si>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</si>
  <si>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</si>
  <si>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</si>
  <si>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</si>
  <si>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</si>
  <si>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</si>
  <si>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</si>
  <si>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</si>
  <si>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</si>
  <si>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</si>
  <si>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</si>
  <si>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</si>
  <si>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</si>
  <si>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</si>
  <si>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</si>
  <si>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</si>
  <si>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</si>
  <si>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</si>
  <si>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</si>
  <si>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</si>
  <si>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</si>
  <si>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</si>
  <si>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</si>
  <si>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</si>
  <si>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</si>
  <si>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</si>
  <si>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</si>
  <si>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</si>
  <si>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</si>
  <si>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</si>
  <si>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</si>
  <si>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</si>
  <si>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</si>
  <si>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</si>
  <si>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</si>
  <si>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</si>
  <si>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</si>
  <si>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</si>
  <si>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</si>
  <si>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</si>
  <si>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</si>
  <si>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</si>
  <si>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</si>
  <si>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</si>
  <si>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</si>
  <si>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</si>
  <si>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</si>
  <si>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</si>
  <si>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</si>
  <si>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</si>
  <si>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</si>
  <si>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</si>
  <si>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</si>
  <si>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</si>
  <si>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</si>
  <si>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</si>
  <si>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</si>
  <si>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</si>
  <si>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</si>
  <si>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</si>
  <si>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</si>
  <si>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</si>
  <si>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</si>
  <si>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</si>
  <si>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</si>
  <si>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</si>
  <si>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</si>
  <si>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</si>
  <si>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</si>
  <si>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</si>
  <si>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</si>
  <si>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</si>
  <si>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</si>
  <si>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</si>
  <si>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</si>
  <si>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</si>
  <si>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</si>
  <si>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</si>
  <si>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</si>
  <si>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</si>
  <si>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</si>
  <si>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</si>
  <si>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</si>
  <si>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</si>
  <si>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</si>
  <si>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</si>
  <si>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</si>
  <si>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</si>
  <si>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</si>
  <si>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</si>
  <si>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</si>
  <si>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</si>
  <si>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</si>
  <si>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</si>
  <si>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</si>
  <si>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</si>
  <si>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</si>
  <si>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</si>
  <si>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</si>
  <si>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</si>
  <si>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</si>
  <si>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</si>
  <si>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</si>
  <si>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</si>
  <si>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</si>
  <si>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</si>
  <si>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</si>
  <si>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</si>
  <si>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</si>
  <si>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</si>
  <si>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</si>
  <si>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</si>
  <si>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</si>
  <si>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</si>
  <si>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</si>
  <si>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</si>
  <si>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</si>
  <si>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</si>
  <si>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</si>
  <si>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</si>
  <si>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</si>
  <si>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</si>
  <si>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</si>
  <si>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</si>
  <si>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</si>
  <si>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</si>
  <si>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</si>
  <si>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</si>
  <si>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</si>
  <si>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</si>
  <si>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</si>
  <si>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</si>
  <si>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</si>
  <si>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</si>
  <si>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</si>
  <si>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</si>
  <si>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</si>
  <si>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</si>
  <si>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</si>
  <si>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</si>
  <si>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</si>
  <si>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</si>
  <si>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</si>
  <si>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</si>
  <si>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</si>
  <si>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</si>
  <si>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</si>
  <si>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</si>
  <si>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</si>
  <si>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</si>
  <si>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</si>
  <si>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</si>
  <si>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</si>
  <si>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</si>
  <si>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</si>
  <si>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</si>
  <si>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</si>
  <si>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</si>
  <si>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</si>
  <si>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</si>
  <si>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</si>
  <si>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</si>
  <si>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</si>
  <si>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</si>
  <si>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</si>
  <si>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</si>
  <si>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</si>
  <si>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</si>
  <si>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</si>
  <si>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</si>
  <si>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</si>
  <si>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</si>
  <si>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</si>
  <si>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</si>
  <si>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</si>
  <si>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</si>
  <si>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</si>
  <si>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</si>
  <si>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</si>
  <si>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</si>
  <si>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</si>
  <si>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</si>
  <si>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</si>
  <si>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</si>
  <si>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</si>
  <si>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</si>
  <si>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</si>
  <si>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</si>
  <si>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</si>
  <si>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</si>
  <si>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</si>
  <si>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</si>
  <si>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</si>
  <si>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</si>
  <si>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</si>
  <si>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</si>
  <si>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</si>
  <si>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</si>
  <si>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</si>
  <si>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</si>
  <si>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</si>
  <si>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</si>
  <si>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</si>
  <si>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</si>
  <si>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</si>
  <si>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</si>
  <si>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</si>
  <si>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</si>
  <si>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</si>
  <si>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</si>
  <si>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</si>
  <si>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</si>
  <si>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</si>
  <si>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</si>
  <si>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</si>
  <si>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</si>
  <si>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</si>
  <si>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</si>
  <si>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</si>
  <si>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</si>
  <si>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</si>
  <si>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</si>
  <si>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</si>
  <si>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</si>
  <si>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</si>
  <si>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</si>
  <si>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</si>
  <si>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</si>
  <si>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</si>
  <si>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</si>
  <si>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</si>
  <si>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</si>
  <si>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</si>
  <si>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</si>
  <si>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</si>
  <si>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</si>
  <si>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</si>
  <si>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</si>
  <si>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</si>
  <si>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</si>
  <si>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</si>
  <si>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</si>
  <si>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</si>
  <si>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</si>
  <si>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</si>
  <si>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</si>
  <si>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</si>
  <si>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</si>
  <si>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</si>
  <si>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</si>
  <si>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</si>
  <si>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</si>
  <si>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</si>
  <si>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</si>
  <si>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</si>
  <si>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</si>
  <si>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</si>
  <si>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</si>
  <si>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</si>
  <si>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</si>
  <si>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</si>
  <si>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</si>
  <si>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</si>
  <si>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</si>
  <si>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</si>
  <si>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</si>
  <si>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</si>
  <si>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</si>
  <si>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</si>
  <si>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</si>
  <si>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</si>
  <si>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</si>
  <si>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</si>
  <si>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</si>
  <si>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</si>
  <si>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</si>
  <si>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</si>
  <si>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</si>
  <si>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</si>
  <si>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</si>
  <si>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</si>
  <si>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</si>
  <si>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</si>
  <si>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</si>
  <si>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</si>
  <si>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</si>
  <si>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</si>
  <si>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</si>
  <si>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</si>
  <si>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</si>
  <si>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</si>
  <si>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</si>
  <si>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</si>
  <si>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</si>
  <si>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</si>
  <si>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</si>
  <si>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</si>
  <si>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</si>
  <si>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</si>
  <si>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</si>
  <si>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</si>
  <si>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</si>
  <si>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</si>
  <si>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</si>
  <si>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</si>
  <si>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</si>
  <si>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</si>
  <si>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</si>
  <si>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</si>
  <si>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</si>
  <si>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</si>
  <si>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</si>
  <si>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</si>
  <si>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</si>
  <si>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</si>
  <si>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</si>
  <si>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</si>
  <si>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</si>
  <si>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</si>
  <si>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</si>
  <si>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</si>
  <si>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</si>
  <si>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</si>
  <si>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</si>
  <si>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</si>
  <si>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</si>
  <si>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</si>
  <si>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</si>
  <si>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</si>
  <si>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</si>
  <si>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</si>
  <si>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</si>
  <si>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</si>
  <si>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</si>
  <si>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</si>
  <si>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</si>
  <si>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</si>
  <si>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</si>
  <si>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</si>
  <si>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</si>
  <si>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</si>
  <si>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</si>
  <si>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</si>
  <si>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</si>
  <si>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</si>
  <si>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</si>
  <si>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</si>
  <si>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</si>
  <si>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</si>
  <si>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</si>
  <si>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</si>
  <si>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</si>
  <si>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</si>
  <si>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</si>
  <si>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</si>
  <si>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</si>
  <si>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</si>
  <si>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</si>
  <si>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</si>
  <si>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</si>
  <si>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</si>
  <si>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</si>
  <si>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</si>
  <si>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</si>
  <si>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</si>
  <si>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</si>
  <si>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</si>
  <si>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</si>
  <si>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</si>
  <si>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</si>
  <si>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</si>
  <si>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</si>
  <si>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</si>
  <si>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</si>
  <si>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</si>
  <si>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</si>
  <si>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</si>
  <si>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</si>
  <si>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</si>
  <si>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</si>
  <si>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</si>
  <si>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</si>
  <si>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</si>
  <si>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</si>
  <si>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</si>
  <si>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</si>
  <si>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</si>
  <si>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</si>
  <si>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</si>
  <si>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</si>
  <si>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</si>
  <si>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</si>
  <si>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</si>
  <si>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</si>
  <si>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</si>
  <si>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</si>
  <si>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</si>
  <si>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</si>
  <si>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</si>
  <si>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</si>
  <si>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</si>
  <si>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</si>
  <si>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</si>
  <si>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</si>
  <si>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</si>
  <si>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</si>
  <si>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</si>
  <si>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</si>
  <si>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</si>
  <si>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</si>
  <si>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</si>
  <si>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</si>
  <si>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</si>
  <si>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</si>
  <si>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</si>
  <si>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</si>
  <si>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</si>
  <si>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</si>
  <si>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</si>
  <si>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</si>
  <si>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</si>
  <si>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</si>
  <si>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</si>
  <si>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</si>
  <si>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</si>
  <si>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</si>
  <si>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</si>
  <si>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</si>
  <si>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</si>
  <si>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</si>
  <si>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</si>
  <si>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</si>
  <si>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</si>
  <si>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</si>
  <si>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</si>
  <si>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</si>
  <si>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</si>
  <si>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</si>
  <si>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</si>
  <si>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</si>
  <si>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</si>
  <si>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</si>
  <si>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</si>
  <si>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</si>
  <si>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</si>
  <si>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</si>
  <si>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</si>
  <si>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</si>
  <si>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</si>
  <si>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</si>
  <si>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</si>
  <si>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</si>
  <si>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</si>
  <si>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</si>
  <si>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</si>
  <si>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</si>
  <si>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</si>
  <si>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</si>
  <si>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</si>
  <si>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</si>
  <si>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</si>
  <si>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</si>
  <si>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</si>
  <si>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</si>
  <si>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</si>
  <si>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</si>
  <si>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</si>
  <si>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</si>
  <si>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</si>
  <si>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</si>
  <si>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</si>
  <si>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</si>
  <si>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</si>
  <si>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</si>
  <si>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</si>
  <si>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</si>
  <si>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</si>
  <si>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</si>
  <si>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</si>
  <si>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</si>
  <si>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</si>
  <si>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</si>
  <si>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</si>
  <si>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</si>
  <si>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</si>
  <si>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</si>
  <si>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</si>
  <si>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</si>
  <si>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</si>
  <si>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</si>
  <si>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</si>
  <si>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</si>
  <si>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</si>
  <si>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</si>
  <si>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</si>
  <si>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</si>
  <si>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</si>
  <si>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</si>
  <si>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</si>
  <si>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</si>
  <si>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</si>
  <si>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</si>
  <si>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</si>
  <si>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</si>
  <si>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</si>
  <si>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</si>
  <si>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</si>
  <si>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</si>
  <si>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</si>
  <si>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</si>
  <si>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</si>
  <si>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</si>
  <si>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</si>
  <si>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</si>
  <si>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</si>
  <si>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</si>
  <si>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</si>
  <si>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</si>
  <si>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</si>
  <si>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</si>
  <si>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</si>
  <si>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</si>
  <si>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</si>
  <si>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</si>
  <si>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</si>
  <si>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</si>
  <si>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</si>
  <si>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</si>
  <si>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</si>
  <si>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</si>
  <si>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</si>
  <si>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</si>
  <si>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</si>
  <si>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</si>
  <si>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</si>
  <si>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</si>
  <si>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</si>
  <si>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</si>
  <si>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</si>
  <si>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</si>
  <si>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</si>
  <si>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</si>
  <si>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</si>
  <si>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</si>
  <si>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</si>
  <si>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</si>
  <si>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</si>
  <si>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</si>
  <si>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</si>
  <si>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</si>
  <si>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</si>
  <si>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</si>
  <si>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</si>
  <si>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</si>
  <si>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</si>
  <si>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</si>
  <si>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</si>
  <si>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</si>
  <si>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</si>
  <si>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</si>
  <si>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</si>
  <si>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</si>
  <si>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</si>
  <si>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</si>
  <si>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</si>
  <si>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</si>
  <si>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</si>
  <si>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</si>
  <si>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</si>
  <si>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</si>
  <si>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</si>
  <si>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</si>
  <si>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</si>
  <si>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</si>
  <si>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</si>
  <si>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</si>
  <si>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</si>
  <si>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</si>
  <si>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</si>
  <si>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</si>
  <si>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</si>
  <si>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</si>
  <si>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</si>
  <si>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</si>
  <si>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</si>
  <si>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</si>
  <si>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</si>
  <si>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</si>
  <si>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</si>
  <si>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</si>
  <si>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</si>
  <si>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</si>
  <si>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</si>
  <si>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</si>
  <si>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</si>
  <si>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</si>
  <si>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</si>
  <si>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</si>
  <si>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</si>
  <si>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</si>
  <si>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</si>
  <si>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</si>
  <si>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</si>
  <si>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</si>
  <si>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</si>
  <si>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</si>
  <si>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</si>
  <si>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</si>
  <si>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</si>
  <si>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</si>
  <si>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</si>
  <si>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</si>
  <si>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</si>
  <si>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</si>
  <si>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</si>
  <si>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</si>
  <si>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</si>
  <si>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</si>
  <si>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</si>
  <si>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</si>
  <si>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</si>
  <si>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</si>
  <si>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</si>
  <si>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</si>
  <si>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</si>
  <si>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</si>
  <si>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</si>
  <si>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</si>
  <si>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</si>
  <si>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</si>
  <si>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</si>
  <si>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</si>
  <si>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</si>
  <si>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</si>
  <si>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</si>
  <si>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</si>
  <si>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</si>
  <si>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</si>
  <si>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</si>
  <si>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</si>
  <si>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</si>
  <si>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</si>
  <si>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</si>
  <si>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</si>
  <si>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</si>
  <si>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</si>
  <si>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</si>
  <si>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</si>
  <si>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</si>
  <si>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</si>
  <si>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</si>
  <si>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</si>
  <si>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</si>
  <si>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</si>
  <si>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</si>
  <si>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</si>
  <si>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</si>
  <si>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</si>
  <si>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</si>
  <si>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</si>
  <si>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</si>
  <si>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</si>
  <si>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</si>
  <si>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</si>
  <si>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</si>
  <si>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</si>
  <si>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</si>
  <si>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</si>
  <si>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</si>
  <si>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</si>
  <si>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</si>
  <si>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</si>
  <si>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</si>
  <si>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</si>
  <si>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</si>
  <si>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</si>
  <si>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</si>
  <si>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</si>
  <si>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</si>
  <si>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</si>
  <si>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</si>
  <si>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</si>
  <si>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</si>
  <si>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</si>
  <si>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</si>
  <si>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</si>
  <si>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</si>
  <si>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</si>
  <si>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</si>
  <si>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</si>
  <si>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</si>
  <si>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</si>
  <si>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</si>
  <si>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</si>
  <si>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</si>
  <si>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</si>
  <si>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</si>
  <si>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</si>
  <si>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</si>
  <si>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</si>
  <si>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</si>
  <si>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</si>
  <si>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</si>
  <si>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</si>
  <si>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</si>
  <si>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</si>
  <si>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</si>
  <si>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</si>
  <si>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</si>
  <si>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</si>
  <si>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</si>
  <si>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</si>
  <si>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</si>
  <si>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</si>
  <si>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</si>
  <si>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</si>
  <si>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</si>
  <si>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</si>
  <si>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</si>
  <si>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</si>
  <si>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</si>
  <si>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</si>
  <si>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</si>
  <si>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</si>
  <si>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</si>
  <si>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</si>
  <si>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</si>
  <si>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</si>
  <si>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</si>
  <si>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</si>
  <si>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</si>
  <si>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</si>
  <si>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</si>
  <si>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</si>
  <si>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</si>
  <si>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</si>
  <si>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</si>
  <si>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</si>
  <si>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</si>
  <si>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</si>
  <si>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</si>
  <si>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</si>
  <si>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</si>
  <si>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</si>
  <si>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</si>
  <si>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</si>
  <si>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</si>
  <si>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</si>
  <si>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</si>
  <si>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</si>
  <si>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</si>
  <si>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</si>
  <si>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</si>
  <si>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</si>
  <si>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</si>
  <si>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</si>
  <si>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</si>
  <si>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</si>
  <si>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</si>
  <si>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</si>
  <si>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</si>
  <si>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</si>
  <si>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</si>
  <si>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</si>
  <si>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</si>
  <si>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</si>
  <si>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</si>
  <si>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</si>
  <si>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</si>
  <si>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</si>
  <si>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</si>
  <si>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</si>
  <si>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</si>
  <si>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</si>
  <si>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</si>
  <si>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</si>
  <si>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</si>
  <si>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</si>
  <si>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</si>
  <si>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</si>
  <si>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</si>
  <si>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</si>
  <si>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</si>
  <si>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</si>
  <si>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</si>
  <si>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</si>
  <si>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</si>
  <si>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</si>
  <si>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</si>
  <si>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</si>
  <si>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</si>
  <si>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</si>
  <si>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</si>
  <si>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</si>
  <si>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</si>
  <si>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</si>
  <si>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</si>
  <si>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</si>
  <si>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</si>
  <si>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</si>
  <si>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</si>
  <si>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</si>
  <si>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</si>
  <si>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</si>
  <si>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</si>
  <si>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</si>
  <si>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</si>
  <si>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</si>
  <si>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</si>
  <si>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</si>
  <si>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</si>
  <si>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</si>
  <si>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</si>
  <si>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</si>
  <si>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</si>
  <si>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</si>
  <si>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</si>
  <si>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</si>
  <si>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</si>
  <si>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</si>
  <si>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</si>
  <si>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</si>
  <si>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</si>
  <si>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</si>
  <si>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</si>
  <si>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</si>
  <si>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</si>
  <si>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</si>
  <si>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</si>
  <si>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</si>
  <si>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</si>
  <si>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</si>
  <si>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</si>
  <si>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</si>
  <si>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</si>
  <si>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</si>
  <si>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</si>
  <si>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</si>
  <si>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</si>
  <si>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</si>
  <si>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</si>
  <si>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</si>
  <si>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</si>
  <si>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</si>
  <si>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</si>
  <si>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</si>
  <si>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</si>
  <si>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</si>
  <si>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</si>
  <si>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</si>
  <si>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</si>
  <si>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</si>
  <si>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</si>
  <si>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</si>
  <si>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</si>
  <si>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</si>
  <si>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</si>
  <si>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</si>
  <si>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</si>
  <si>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</si>
  <si>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</si>
  <si>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</si>
  <si>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</si>
  <si>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</si>
  <si>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</si>
  <si>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</si>
  <si>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</si>
  <si>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</si>
  <si>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</si>
  <si>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</si>
  <si>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</si>
  <si>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</si>
  <si>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</si>
  <si>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</si>
  <si>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</si>
  <si>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</si>
  <si>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</si>
  <si>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</si>
  <si>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</si>
  <si>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</si>
  <si>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</si>
  <si>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</si>
  <si>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</si>
  <si>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</si>
  <si>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</si>
  <si>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</si>
  <si>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</si>
  <si>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</si>
  <si>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</si>
  <si>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</si>
  <si>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</si>
  <si>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</si>
  <si>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</si>
  <si>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</si>
  <si>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</si>
  <si>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</si>
  <si>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</si>
  <si>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</si>
  <si>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</si>
  <si>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</si>
  <si>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</si>
  <si>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</si>
  <si>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</si>
  <si>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</si>
  <si>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</si>
  <si>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</si>
  <si>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</si>
  <si>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</si>
  <si>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</si>
  <si>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</si>
  <si>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2024-10</t>
  </si>
  <si>
    <t>2024-11</t>
  </si>
  <si>
    <t>2024-12</t>
  </si>
  <si>
    <t>2025-01</t>
  </si>
  <si>
    <t>2025-02</t>
  </si>
  <si>
    <t>2025-03</t>
  </si>
  <si>
    <t>2025-04</t>
  </si>
  <si>
    <t>2025-05</t>
  </si>
  <si>
    <t>2025-06</t>
  </si>
  <si>
    <t>2025-07</t>
  </si>
  <si>
    <t>2025-08</t>
  </si>
  <si>
    <t>2025-09</t>
  </si>
  <si>
    <t>2025-10</t>
  </si>
  <si>
    <t>2025-11</t>
  </si>
  <si>
    <t>2025-12</t>
  </si>
  <si>
    <t>COOLING EFFICIENCY DRIFT</t>
  </si>
  <si>
    <t>24 months to September 2026.</t>
  </si>
  <si>
    <t>MUM-1 PUE drifts upward from month 19 - 0.013 per month of cooling efficiency loss.</t>
  </si>
  <si>
    <t>That drift is what the Predictive Risk agent should surface before it becomes a failure.</t>
  </si>
  <si>
    <t>runbook_id</t>
  </si>
  <si>
    <t>failure_mode</t>
  </si>
  <si>
    <t>impact</t>
  </si>
  <si>
    <t>match_terms</t>
  </si>
  <si>
    <t>step</t>
  </si>
  <si>
    <t>within_min</t>
  </si>
  <si>
    <t>RB-UPS-BAT</t>
  </si>
  <si>
    <t>Battery string degradation</t>
  </si>
  <si>
    <t>outage</t>
  </si>
  <si>
    <t>resistance trending|capacity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</si>
  <si>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</si>
  <si>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</si>
  <si>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</si>
  <si>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</si>
  <si>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</si>
  <si>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</si>
  <si>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</si>
  <si>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 seized</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</si>
  <si>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</si>
  <si>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</si>
  <si>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</si>
  <si>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</si>
  <si>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</si>
  <si>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</si>
  <si>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efficiency</t>
  </si>
  <si>
    <t>Filter differential pressure</t>
  </si>
  <si>
    <t>Schedule a filter change in the next maintenance window</t>
  </si>
  <si>
    <t>Compare fan power draw against the commissioning baseline</t>
  </si>
  <si>
    <t>RB-CHL-TRIP</t>
  </si>
  <si>
    <t>Chiller trip on condenser scaling</t>
  </si>
  <si>
    <t>scale build-up|Cooling water quality</t>
  </si>
  <si>
    <t>Start the standby chiller and confirm chilled-water supply temperature</t>
  </si>
  <si>
    <t>Check rack inlet temperatures in every hall the plant serves</t>
  </si>
  <si>
    <t>Dose descalant and schedule mechanical tube cleaning</t>
  </si>
  <si>
    <t>Review make-up water treatment against the hardness trend</t>
  </si>
  <si>
    <t>RB-CHL-APP</t>
  </si>
  <si>
    <t>Condenser approach degrading</t>
  </si>
  <si>
    <t>Approach temperature</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</si>
  <si>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</si>
  <si>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</si>
  <si>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</si>
  <si>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</si>
  <si>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</si>
  <si>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</si>
  <si>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t>
  </si>
  <si>
    <t>Switch make-up to treated-water storage and confirm hours of reserve</t>
  </si>
  <si>
    <t>Activate the standby tanker supply contract</t>
  </si>
  <si>
    <t>Raise cycles of concentration within chemistry limits</t>
  </si>
  <si>
    <t>RB-CT-WUE</t>
  </si>
  <si>
    <t>Water use above reporting target</t>
  </si>
  <si>
    <t>compliance</t>
  </si>
  <si>
    <t>WUE</t>
  </si>
  <si>
    <t>Confirm the WUE reading against the make-up and blowdown meters</t>
  </si>
  <si>
    <t>File the state water-impact disclosure with the corrective plan</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</si>
  <si>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</si>
  <si>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</si>
  <si>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</si>
  <si>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</si>
  <si>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</si>
  <si>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</si>
  <si>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</si>
  <si>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</si>
  <si>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</si>
  <si>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</si>
  <si>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</si>
  <si>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</si>
  <si>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</si>
  <si>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</si>
  <si>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</si>
  <si>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</si>
  <si>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</si>
  <si>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</si>
  <si>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</si>
  <si>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</si>
  <si>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</si>
  <si>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</si>
  <si>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</si>
  <si>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</si>
  <si>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</si>
  <si>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</si>
  <si>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</si>
  <si>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</si>
  <si>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</si>
  <si>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</si>
  <si>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</si>
  <si>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</si>
  <si>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</si>
  <si>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</si>
  <si>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</si>
  <si>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impact: outage (tenant SLAs at stake), capacity (growth blocked), compliance (reportable breach), efficiency (energy and cost).</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</si>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</sst>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3500</v>
      </c>
      <c r="G14" s="6" t="s">
        <v>814</v>
      </c>
      <c r="H14" s="7">
        <v>0.8</v>
      </c>
      <c r="I14" s="7">
        <v>2800</v>
      </c>
      <c r="J14" s="7">
        <v>4533.3</v>
      </c>
      <c r="K14" s="7">
        <v>161.9</v>
      </c>
      <c r="L14" s="6" t="s">
        <v>820</v>
      </c>
      <c r="M14" s="6" t="s">
        <v>843</v>
      </c>
      <c r="N14" s="6">
        <v>97</v>
      </c>
      <c r="O14" s="6">
        <v>16</v>
      </c>
      <c r="P14" s="6" t="s">
        <v>844</v>
      </c>
    </row>
    <row r="15" ht="15" customHeight="1" spans="1:16" x14ac:dyDescent="0.25">
      <c r="A15" s="6" t="s">
        <v>843</v>
      </c>
      <c r="B15" s="6" t="s">
        <v>61</v>
      </c>
      <c r="C15" s="6" t="s">
        <v>831</v>
      </c>
      <c r="D15" s="6" t="s">
        <v>845</v>
      </c>
      <c r="E15" s="6" t="s">
        <v>804</v>
      </c>
      <c r="F15" s="8">
        <v>3500</v>
      </c>
      <c r="G15" s="6" t="s">
        <v>814</v>
      </c>
      <c r="H15" s="7">
        <v>0.8</v>
      </c>
      <c r="I15" s="7">
        <v>2800</v>
      </c>
      <c r="J15" s="7">
        <v>4533.3</v>
      </c>
      <c r="K15" s="7">
        <v>161.9</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2800</v>
      </c>
      <c r="G58" s="6" t="s">
        <v>805</v>
      </c>
      <c r="H58" s="7">
        <v>0.8</v>
      </c>
      <c r="I58" s="7">
        <v>2240</v>
      </c>
      <c r="J58" s="8">
        <v>4080</v>
      </c>
      <c r="K58" s="7">
        <v>182.1</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9000</v>
      </c>
      <c r="G77" s="6" t="s">
        <v>984</v>
      </c>
      <c r="H77" s="7">
        <v>0.85</v>
      </c>
      <c r="I77" s="7">
        <v>7650</v>
      </c>
      <c r="J77" s="7">
        <v>11677</v>
      </c>
      <c r="K77" s="7">
        <v>152.6</v>
      </c>
      <c r="L77" s="6" t="s">
        <v>820</v>
      </c>
      <c r="M77" s="6"/>
      <c r="N77" s="6">
        <v>110</v>
      </c>
      <c r="O77" s="6">
        <v>16</v>
      </c>
      <c r="P77" s="6" t="s">
        <v>985</v>
      </c>
    </row>
    <row r="78" ht="15" customHeight="1" spans="1:16" x14ac:dyDescent="0.25">
      <c r="A78" s="6" t="s">
        <v>204</v>
      </c>
      <c r="B78" s="6" t="s">
        <v>61</v>
      </c>
      <c r="C78" s="6" t="s">
        <v>988</v>
      </c>
      <c r="D78" s="6" t="s">
        <v>989</v>
      </c>
      <c r="E78" s="6" t="s">
        <v>972</v>
      </c>
      <c r="F78" s="6">
        <v>210</v>
      </c>
      <c r="G78" s="6" t="s">
        <v>805</v>
      </c>
      <c r="H78" s="7">
        <v>0.9</v>
      </c>
      <c r="I78" s="7">
        <v>189</v>
      </c>
      <c r="J78" s="7">
        <v>77.5</v>
      </c>
      <c r="K78" s="7">
        <v>41</v>
      </c>
      <c r="L78" s="6" t="s">
        <v>170</v>
      </c>
      <c r="M78" s="6"/>
      <c r="N78" s="6">
        <v>40</v>
      </c>
      <c r="O78" s="6">
        <v>8</v>
      </c>
      <c r="P78" s="6" t="s">
        <v>990</v>
      </c>
    </row>
    <row r="79" ht="15" customHeight="1" spans="1:16" x14ac:dyDescent="0.25">
      <c r="A79" s="6" t="s">
        <v>216</v>
      </c>
      <c r="B79" s="6" t="s">
        <v>61</v>
      </c>
      <c r="C79" s="6" t="s">
        <v>988</v>
      </c>
      <c r="D79" s="6" t="s">
        <v>991</v>
      </c>
      <c r="E79" s="6" t="s">
        <v>972</v>
      </c>
      <c r="F79" s="6">
        <v>210</v>
      </c>
      <c r="G79" s="6" t="s">
        <v>805</v>
      </c>
      <c r="H79" s="7">
        <v>0.9</v>
      </c>
      <c r="I79" s="7">
        <v>189</v>
      </c>
      <c r="J79" s="7">
        <v>77.5</v>
      </c>
      <c r="K79" s="7">
        <v>41</v>
      </c>
      <c r="L79" s="6" t="s">
        <v>170</v>
      </c>
      <c r="M79" s="6"/>
      <c r="N79" s="6">
        <v>40</v>
      </c>
      <c r="O79" s="6">
        <v>8</v>
      </c>
      <c r="P79" s="6" t="s">
        <v>990</v>
      </c>
    </row>
    <row r="80" ht="15" customHeight="1" spans="1:16" x14ac:dyDescent="0.25">
      <c r="A80" s="6" t="s">
        <v>229</v>
      </c>
      <c r="B80" s="6" t="s">
        <v>61</v>
      </c>
      <c r="C80" s="6" t="s">
        <v>988</v>
      </c>
      <c r="D80" s="6" t="s">
        <v>992</v>
      </c>
      <c r="E80" s="6" t="s">
        <v>972</v>
      </c>
      <c r="F80" s="6">
        <v>210</v>
      </c>
      <c r="G80" s="6" t="s">
        <v>805</v>
      </c>
      <c r="H80" s="7">
        <v>0.9</v>
      </c>
      <c r="I80" s="7">
        <v>189</v>
      </c>
      <c r="J80" s="7">
        <v>81</v>
      </c>
      <c r="K80" s="7">
        <v>42.9</v>
      </c>
      <c r="L80" s="6" t="s">
        <v>170</v>
      </c>
      <c r="M80" s="6"/>
      <c r="N80" s="6">
        <v>40</v>
      </c>
      <c r="O80" s="6">
        <v>8</v>
      </c>
      <c r="P80" s="6" t="s">
        <v>993</v>
      </c>
    </row>
    <row r="81" ht="15" customHeight="1" spans="1:16" x14ac:dyDescent="0.25">
      <c r="A81" s="6" t="s">
        <v>241</v>
      </c>
      <c r="B81" s="6" t="s">
        <v>61</v>
      </c>
      <c r="C81" s="6" t="s">
        <v>988</v>
      </c>
      <c r="D81" s="6" t="s">
        <v>994</v>
      </c>
      <c r="E81" s="6" t="s">
        <v>972</v>
      </c>
      <c r="F81" s="6">
        <v>210</v>
      </c>
      <c r="G81" s="6" t="s">
        <v>805</v>
      </c>
      <c r="H81" s="7">
        <v>0.9</v>
      </c>
      <c r="I81" s="7">
        <v>189</v>
      </c>
      <c r="J81" s="7">
        <v>81</v>
      </c>
      <c r="K81" s="7">
        <v>42.9</v>
      </c>
      <c r="L81" s="6" t="s">
        <v>170</v>
      </c>
      <c r="M81" s="6"/>
      <c r="N81" s="6">
        <v>40</v>
      </c>
      <c r="O81" s="6">
        <v>8</v>
      </c>
      <c r="P81" s="6" t="s">
        <v>993</v>
      </c>
    </row>
    <row r="82" ht="15" customHeight="1" spans="1:16" x14ac:dyDescent="0.25">
      <c r="A82" s="6" t="s">
        <v>254</v>
      </c>
      <c r="B82" s="6" t="s">
        <v>61</v>
      </c>
      <c r="C82" s="6" t="s">
        <v>988</v>
      </c>
      <c r="D82" s="6" t="s">
        <v>995</v>
      </c>
      <c r="E82" s="6" t="s">
        <v>972</v>
      </c>
      <c r="F82" s="6">
        <v>250</v>
      </c>
      <c r="G82" s="6" t="s">
        <v>805</v>
      </c>
      <c r="H82" s="7">
        <v>0.9</v>
      </c>
      <c r="I82" s="7">
        <v>225</v>
      </c>
      <c r="J82" s="7">
        <v>74</v>
      </c>
      <c r="K82" s="7">
        <v>32.9</v>
      </c>
      <c r="L82" s="6" t="s">
        <v>170</v>
      </c>
      <c r="M82" s="6"/>
      <c r="N82" s="6">
        <v>40</v>
      </c>
      <c r="O82" s="6">
        <v>8</v>
      </c>
      <c r="P82" s="6" t="s">
        <v>996</v>
      </c>
    </row>
    <row r="83" ht="15" customHeight="1" spans="1:16" x14ac:dyDescent="0.25">
      <c r="A83" s="6" t="s">
        <v>266</v>
      </c>
      <c r="B83" s="6" t="s">
        <v>61</v>
      </c>
      <c r="C83" s="6" t="s">
        <v>988</v>
      </c>
      <c r="D83" s="6" t="s">
        <v>997</v>
      </c>
      <c r="E83" s="6" t="s">
        <v>972</v>
      </c>
      <c r="F83" s="6">
        <v>250</v>
      </c>
      <c r="G83" s="6" t="s">
        <v>805</v>
      </c>
      <c r="H83" s="7">
        <v>0.9</v>
      </c>
      <c r="I83" s="7">
        <v>225</v>
      </c>
      <c r="J83" s="7">
        <v>74</v>
      </c>
      <c r="K83" s="7">
        <v>32.9</v>
      </c>
      <c r="L83" s="6" t="s">
        <v>170</v>
      </c>
      <c r="M83" s="6"/>
      <c r="N83" s="6">
        <v>40</v>
      </c>
      <c r="O83" s="6">
        <v>8</v>
      </c>
      <c r="P83" s="6" t="s">
        <v>996</v>
      </c>
    </row>
    <row r="84" ht="15" customHeight="1" spans="1:16" x14ac:dyDescent="0.25">
      <c r="A84" s="6" t="s">
        <v>280</v>
      </c>
      <c r="B84" s="6" t="s">
        <v>61</v>
      </c>
      <c r="C84" s="6" t="s">
        <v>988</v>
      </c>
      <c r="D84" s="6" t="s">
        <v>998</v>
      </c>
      <c r="E84" s="6" t="s">
        <v>972</v>
      </c>
      <c r="F84" s="6">
        <v>210</v>
      </c>
      <c r="G84" s="6" t="s">
        <v>805</v>
      </c>
      <c r="H84" s="7">
        <v>0.9</v>
      </c>
      <c r="I84" s="7">
        <v>189</v>
      </c>
      <c r="J84" s="7">
        <v>84</v>
      </c>
      <c r="K84" s="7">
        <v>44.4</v>
      </c>
      <c r="L84" s="6" t="s">
        <v>170</v>
      </c>
      <c r="M84" s="6"/>
      <c r="N84" s="6">
        <v>40</v>
      </c>
      <c r="O84" s="6">
        <v>8</v>
      </c>
      <c r="P84" s="6" t="s">
        <v>999</v>
      </c>
    </row>
    <row r="85" ht="15" customHeight="1" spans="1:16" x14ac:dyDescent="0.25">
      <c r="A85" s="6" t="s">
        <v>292</v>
      </c>
      <c r="B85" s="6" t="s">
        <v>61</v>
      </c>
      <c r="C85" s="6" t="s">
        <v>988</v>
      </c>
      <c r="D85" s="6" t="s">
        <v>1000</v>
      </c>
      <c r="E85" s="6" t="s">
        <v>972</v>
      </c>
      <c r="F85" s="6">
        <v>210</v>
      </c>
      <c r="G85" s="6" t="s">
        <v>805</v>
      </c>
      <c r="H85" s="7">
        <v>0.9</v>
      </c>
      <c r="I85" s="7">
        <v>189</v>
      </c>
      <c r="J85" s="7">
        <v>84</v>
      </c>
      <c r="K85" s="7">
        <v>44.4</v>
      </c>
      <c r="L85" s="6" t="s">
        <v>170</v>
      </c>
      <c r="M85" s="6"/>
      <c r="N85" s="6">
        <v>40</v>
      </c>
      <c r="O85" s="6">
        <v>8</v>
      </c>
      <c r="P85" s="6" t="s">
        <v>999</v>
      </c>
    </row>
    <row r="86" ht="15" customHeight="1" spans="1:16" x14ac:dyDescent="0.25">
      <c r="A86" s="6" t="s">
        <v>305</v>
      </c>
      <c r="B86" s="6" t="s">
        <v>61</v>
      </c>
      <c r="C86" s="6" t="s">
        <v>988</v>
      </c>
      <c r="D86" s="6" t="s">
        <v>1001</v>
      </c>
      <c r="E86" s="6" t="s">
        <v>972</v>
      </c>
      <c r="F86" s="6">
        <v>210</v>
      </c>
      <c r="G86" s="6" t="s">
        <v>805</v>
      </c>
      <c r="H86" s="7">
        <v>0.9</v>
      </c>
      <c r="I86" s="7">
        <v>189</v>
      </c>
      <c r="J86" s="7">
        <v>75.5</v>
      </c>
      <c r="K86" s="7">
        <v>39.9</v>
      </c>
      <c r="L86" s="6" t="s">
        <v>170</v>
      </c>
      <c r="M86" s="6"/>
      <c r="N86" s="6">
        <v>40</v>
      </c>
      <c r="O86" s="6">
        <v>8</v>
      </c>
      <c r="P86" s="6" t="s">
        <v>1002</v>
      </c>
    </row>
    <row r="87" ht="15" customHeight="1" spans="1:16" x14ac:dyDescent="0.25">
      <c r="A87" s="6" t="s">
        <v>317</v>
      </c>
      <c r="B87" s="6" t="s">
        <v>61</v>
      </c>
      <c r="C87" s="6" t="s">
        <v>988</v>
      </c>
      <c r="D87" s="6" t="s">
        <v>1003</v>
      </c>
      <c r="E87" s="6" t="s">
        <v>972</v>
      </c>
      <c r="F87" s="6">
        <v>210</v>
      </c>
      <c r="G87" s="6" t="s">
        <v>805</v>
      </c>
      <c r="H87" s="7">
        <v>0.9</v>
      </c>
      <c r="I87" s="7">
        <v>189</v>
      </c>
      <c r="J87" s="7">
        <v>75.5</v>
      </c>
      <c r="K87" s="7">
        <v>39.9</v>
      </c>
      <c r="L87" s="6" t="s">
        <v>170</v>
      </c>
      <c r="M87" s="6"/>
      <c r="N87" s="6">
        <v>40</v>
      </c>
      <c r="O87" s="6">
        <v>8</v>
      </c>
      <c r="P87" s="6" t="s">
        <v>1002</v>
      </c>
    </row>
    <row r="88" ht="15" customHeight="1" spans="1:16" x14ac:dyDescent="0.25">
      <c r="A88" s="6" t="s">
        <v>330</v>
      </c>
      <c r="B88" s="6" t="s">
        <v>61</v>
      </c>
      <c r="C88" s="6" t="s">
        <v>988</v>
      </c>
      <c r="D88" s="6" t="s">
        <v>1004</v>
      </c>
      <c r="E88" s="6" t="s">
        <v>972</v>
      </c>
      <c r="F88" s="6">
        <v>210</v>
      </c>
      <c r="G88" s="6" t="s">
        <v>805</v>
      </c>
      <c r="H88" s="7">
        <v>0.9</v>
      </c>
      <c r="I88" s="7">
        <v>189</v>
      </c>
      <c r="J88" s="7">
        <v>79.5</v>
      </c>
      <c r="K88" s="7">
        <v>42.1</v>
      </c>
      <c r="L88" s="6" t="s">
        <v>170</v>
      </c>
      <c r="M88" s="6"/>
      <c r="N88" s="6">
        <v>40</v>
      </c>
      <c r="O88" s="6">
        <v>8</v>
      </c>
      <c r="P88" s="6" t="s">
        <v>1005</v>
      </c>
    </row>
    <row r="89" ht="15" customHeight="1" spans="1:16" x14ac:dyDescent="0.25">
      <c r="A89" s="6" t="s">
        <v>342</v>
      </c>
      <c r="B89" s="6" t="s">
        <v>61</v>
      </c>
      <c r="C89" s="6" t="s">
        <v>988</v>
      </c>
      <c r="D89" s="6" t="s">
        <v>1006</v>
      </c>
      <c r="E89" s="6" t="s">
        <v>972</v>
      </c>
      <c r="F89" s="6">
        <v>210</v>
      </c>
      <c r="G89" s="6" t="s">
        <v>805</v>
      </c>
      <c r="H89" s="7">
        <v>0.9</v>
      </c>
      <c r="I89" s="7">
        <v>189</v>
      </c>
      <c r="J89" s="7">
        <v>79.5</v>
      </c>
      <c r="K89" s="7">
        <v>42.1</v>
      </c>
      <c r="L89" s="6" t="s">
        <v>170</v>
      </c>
      <c r="M89" s="6"/>
      <c r="N89" s="6">
        <v>40</v>
      </c>
      <c r="O89" s="6">
        <v>8</v>
      </c>
      <c r="P89" s="6" t="s">
        <v>1005</v>
      </c>
    </row>
    <row r="90" ht="15" customHeight="1" spans="1:16" x14ac:dyDescent="0.25">
      <c r="A90" s="6" t="s">
        <v>354</v>
      </c>
      <c r="B90" s="6" t="s">
        <v>61</v>
      </c>
      <c r="C90" s="6" t="s">
        <v>988</v>
      </c>
      <c r="D90" s="6" t="s">
        <v>1007</v>
      </c>
      <c r="E90" s="6" t="s">
        <v>972</v>
      </c>
      <c r="F90" s="6">
        <v>200</v>
      </c>
      <c r="G90" s="6" t="s">
        <v>805</v>
      </c>
      <c r="H90" s="7">
        <v>0.9</v>
      </c>
      <c r="I90" s="7">
        <v>180</v>
      </c>
      <c r="J90" s="7">
        <v>100</v>
      </c>
      <c r="K90" s="7">
        <v>55.6</v>
      </c>
      <c r="L90" s="6" t="s">
        <v>170</v>
      </c>
      <c r="M90" s="6"/>
      <c r="N90" s="6">
        <v>40</v>
      </c>
      <c r="O90" s="6">
        <v>8</v>
      </c>
      <c r="P90" s="6" t="s">
        <v>1008</v>
      </c>
    </row>
    <row r="91" ht="15" customHeight="1" spans="1:16" x14ac:dyDescent="0.25">
      <c r="A91" s="6" t="s">
        <v>366</v>
      </c>
      <c r="B91" s="6" t="s">
        <v>61</v>
      </c>
      <c r="C91" s="6" t="s">
        <v>988</v>
      </c>
      <c r="D91" s="6" t="s">
        <v>1009</v>
      </c>
      <c r="E91" s="6" t="s">
        <v>972</v>
      </c>
      <c r="F91" s="6">
        <v>200</v>
      </c>
      <c r="G91" s="6" t="s">
        <v>805</v>
      </c>
      <c r="H91" s="7">
        <v>0.9</v>
      </c>
      <c r="I91" s="7">
        <v>180</v>
      </c>
      <c r="J91" s="7">
        <v>100</v>
      </c>
      <c r="K91" s="7">
        <v>55.6</v>
      </c>
      <c r="L91" s="6" t="s">
        <v>170</v>
      </c>
      <c r="M91" s="6"/>
      <c r="N91" s="6">
        <v>40</v>
      </c>
      <c r="O91" s="6">
        <v>8</v>
      </c>
      <c r="P91" s="6" t="s">
        <v>1008</v>
      </c>
    </row>
    <row r="92" ht="15" customHeight="1" spans="1:16" x14ac:dyDescent="0.25">
      <c r="A92" s="6" t="s">
        <v>378</v>
      </c>
      <c r="B92" s="6" t="s">
        <v>61</v>
      </c>
      <c r="C92" s="6" t="s">
        <v>988</v>
      </c>
      <c r="D92" s="6" t="s">
        <v>1010</v>
      </c>
      <c r="E92" s="6" t="s">
        <v>972</v>
      </c>
      <c r="F92" s="6">
        <v>210</v>
      </c>
      <c r="G92" s="6" t="s">
        <v>805</v>
      </c>
      <c r="H92" s="7">
        <v>0.9</v>
      </c>
      <c r="I92" s="7">
        <v>189</v>
      </c>
      <c r="J92" s="7">
        <v>72.5</v>
      </c>
      <c r="K92" s="7">
        <v>38.4</v>
      </c>
      <c r="L92" s="6" t="s">
        <v>170</v>
      </c>
      <c r="M92" s="6"/>
      <c r="N92" s="6">
        <v>40</v>
      </c>
      <c r="O92" s="6">
        <v>8</v>
      </c>
      <c r="P92" s="6" t="s">
        <v>1011</v>
      </c>
    </row>
    <row r="93" ht="15" customHeight="1" spans="1:16" x14ac:dyDescent="0.25">
      <c r="A93" s="6" t="s">
        <v>390</v>
      </c>
      <c r="B93" s="6" t="s">
        <v>61</v>
      </c>
      <c r="C93" s="6" t="s">
        <v>988</v>
      </c>
      <c r="D93" s="6" t="s">
        <v>1012</v>
      </c>
      <c r="E93" s="6" t="s">
        <v>972</v>
      </c>
      <c r="F93" s="6">
        <v>210</v>
      </c>
      <c r="G93" s="6" t="s">
        <v>805</v>
      </c>
      <c r="H93" s="7">
        <v>0.9</v>
      </c>
      <c r="I93" s="7">
        <v>189</v>
      </c>
      <c r="J93" s="7">
        <v>72.5</v>
      </c>
      <c r="K93" s="7">
        <v>38.4</v>
      </c>
      <c r="L93" s="6" t="s">
        <v>170</v>
      </c>
      <c r="M93" s="6"/>
      <c r="N93" s="6">
        <v>40</v>
      </c>
      <c r="O93" s="6">
        <v>8</v>
      </c>
      <c r="P93" s="6" t="s">
        <v>1011</v>
      </c>
    </row>
    <row r="94" ht="15" customHeight="1" spans="1:16" x14ac:dyDescent="0.25">
      <c r="A94" s="6" t="s">
        <v>402</v>
      </c>
      <c r="B94" s="6" t="s">
        <v>61</v>
      </c>
      <c r="C94" s="6" t="s">
        <v>988</v>
      </c>
      <c r="D94" s="6" t="s">
        <v>1013</v>
      </c>
      <c r="E94" s="6" t="s">
        <v>972</v>
      </c>
      <c r="F94" s="6">
        <v>210</v>
      </c>
      <c r="G94" s="6" t="s">
        <v>805</v>
      </c>
      <c r="H94" s="7">
        <v>0.9</v>
      </c>
      <c r="I94" s="7">
        <v>189</v>
      </c>
      <c r="J94" s="7">
        <v>76</v>
      </c>
      <c r="K94" s="7">
        <v>40.2</v>
      </c>
      <c r="L94" s="6" t="s">
        <v>170</v>
      </c>
      <c r="M94" s="6"/>
      <c r="N94" s="6">
        <v>40</v>
      </c>
      <c r="O94" s="6">
        <v>8</v>
      </c>
      <c r="P94" s="6" t="s">
        <v>1014</v>
      </c>
    </row>
    <row r="95" ht="15" customHeight="1" spans="1:16" x14ac:dyDescent="0.25">
      <c r="A95" s="6" t="s">
        <v>414</v>
      </c>
      <c r="B95" s="6" t="s">
        <v>61</v>
      </c>
      <c r="C95" s="6" t="s">
        <v>988</v>
      </c>
      <c r="D95" s="6" t="s">
        <v>1015</v>
      </c>
      <c r="E95" s="6" t="s">
        <v>972</v>
      </c>
      <c r="F95" s="6">
        <v>210</v>
      </c>
      <c r="G95" s="6" t="s">
        <v>805</v>
      </c>
      <c r="H95" s="7">
        <v>0.9</v>
      </c>
      <c r="I95" s="7">
        <v>189</v>
      </c>
      <c r="J95" s="7">
        <v>76</v>
      </c>
      <c r="K95" s="7">
        <v>40.2</v>
      </c>
      <c r="L95" s="6" t="s">
        <v>170</v>
      </c>
      <c r="M95" s="6"/>
      <c r="N95" s="6">
        <v>40</v>
      </c>
      <c r="O95" s="6">
        <v>8</v>
      </c>
      <c r="P95" s="6" t="s">
        <v>1014</v>
      </c>
    </row>
    <row r="96" ht="15" customHeight="1" spans="1:16" x14ac:dyDescent="0.25">
      <c r="A96" s="6" t="s">
        <v>426</v>
      </c>
      <c r="B96" s="6" t="s">
        <v>61</v>
      </c>
      <c r="C96" s="6" t="s">
        <v>988</v>
      </c>
      <c r="D96" s="6" t="s">
        <v>1016</v>
      </c>
      <c r="E96" s="6" t="s">
        <v>972</v>
      </c>
      <c r="F96" s="6">
        <v>210</v>
      </c>
      <c r="G96" s="6" t="s">
        <v>805</v>
      </c>
      <c r="H96" s="7">
        <v>0.9</v>
      </c>
      <c r="I96" s="7">
        <v>189</v>
      </c>
      <c r="J96" s="7">
        <v>69</v>
      </c>
      <c r="K96" s="7">
        <v>36.5</v>
      </c>
      <c r="L96" s="6" t="s">
        <v>170</v>
      </c>
      <c r="M96" s="6"/>
      <c r="N96" s="6">
        <v>40</v>
      </c>
      <c r="O96" s="6">
        <v>8</v>
      </c>
      <c r="P96" s="6" t="s">
        <v>1017</v>
      </c>
    </row>
    <row r="97" ht="15" customHeight="1" spans="1:16" x14ac:dyDescent="0.25">
      <c r="A97" s="6" t="s">
        <v>438</v>
      </c>
      <c r="B97" s="6" t="s">
        <v>61</v>
      </c>
      <c r="C97" s="6" t="s">
        <v>988</v>
      </c>
      <c r="D97" s="6" t="s">
        <v>1018</v>
      </c>
      <c r="E97" s="6" t="s">
        <v>972</v>
      </c>
      <c r="F97" s="6">
        <v>210</v>
      </c>
      <c r="G97" s="6" t="s">
        <v>805</v>
      </c>
      <c r="H97" s="7">
        <v>0.9</v>
      </c>
      <c r="I97" s="7">
        <v>189</v>
      </c>
      <c r="J97" s="7">
        <v>69</v>
      </c>
      <c r="K97" s="7">
        <v>36.5</v>
      </c>
      <c r="L97" s="6" t="s">
        <v>170</v>
      </c>
      <c r="M97" s="6"/>
      <c r="N97" s="6">
        <v>40</v>
      </c>
      <c r="O97" s="6">
        <v>8</v>
      </c>
      <c r="P97" s="6" t="s">
        <v>1017</v>
      </c>
    </row>
    <row r="98" ht="15" customHeight="1" spans="1:16" x14ac:dyDescent="0.25">
      <c r="A98" s="6" t="s">
        <v>451</v>
      </c>
      <c r="B98" s="6" t="s">
        <v>61</v>
      </c>
      <c r="C98" s="6" t="s">
        <v>988</v>
      </c>
      <c r="D98" s="6" t="s">
        <v>1019</v>
      </c>
      <c r="E98" s="6" t="s">
        <v>972</v>
      </c>
      <c r="F98" s="6">
        <v>110</v>
      </c>
      <c r="G98" s="6" t="s">
        <v>805</v>
      </c>
      <c r="H98" s="7">
        <v>0.9</v>
      </c>
      <c r="I98" s="7">
        <v>99</v>
      </c>
      <c r="J98" s="7">
        <v>90</v>
      </c>
      <c r="K98" s="7">
        <v>90.9</v>
      </c>
      <c r="L98" s="6" t="s">
        <v>170</v>
      </c>
      <c r="M98" s="6"/>
      <c r="N98" s="6">
        <v>40</v>
      </c>
      <c r="O98" s="6">
        <v>8</v>
      </c>
      <c r="P98" s="6" t="s">
        <v>1020</v>
      </c>
    </row>
    <row r="99" ht="15" customHeight="1" spans="1:16" x14ac:dyDescent="0.25">
      <c r="A99" s="6" t="s">
        <v>463</v>
      </c>
      <c r="B99" s="6" t="s">
        <v>61</v>
      </c>
      <c r="C99" s="6" t="s">
        <v>988</v>
      </c>
      <c r="D99" s="6" t="s">
        <v>1021</v>
      </c>
      <c r="E99" s="6" t="s">
        <v>972</v>
      </c>
      <c r="F99" s="6">
        <v>110</v>
      </c>
      <c r="G99" s="6" t="s">
        <v>805</v>
      </c>
      <c r="H99" s="7">
        <v>0.9</v>
      </c>
      <c r="I99" s="7">
        <v>99</v>
      </c>
      <c r="J99" s="7">
        <v>90</v>
      </c>
      <c r="K99" s="7">
        <v>90.9</v>
      </c>
      <c r="L99" s="6" t="s">
        <v>170</v>
      </c>
      <c r="M99" s="6"/>
      <c r="N99" s="6">
        <v>40</v>
      </c>
      <c r="O99" s="6">
        <v>8</v>
      </c>
      <c r="P99" s="6" t="s">
        <v>1020</v>
      </c>
    </row>
    <row r="100" ht="15" customHeight="1" spans="1:16" x14ac:dyDescent="0.25">
      <c r="A100" s="6" t="s">
        <v>475</v>
      </c>
      <c r="B100" s="6" t="s">
        <v>61</v>
      </c>
      <c r="C100" s="6" t="s">
        <v>988</v>
      </c>
      <c r="D100" s="6" t="s">
        <v>1022</v>
      </c>
      <c r="E100" s="6" t="s">
        <v>972</v>
      </c>
      <c r="F100" s="6">
        <v>210</v>
      </c>
      <c r="G100" s="6" t="s">
        <v>805</v>
      </c>
      <c r="H100" s="7">
        <v>0.9</v>
      </c>
      <c r="I100" s="7">
        <v>189</v>
      </c>
      <c r="J100" s="7">
        <v>80.5</v>
      </c>
      <c r="K100" s="7">
        <v>42.6</v>
      </c>
      <c r="L100" s="6" t="s">
        <v>170</v>
      </c>
      <c r="M100" s="6"/>
      <c r="N100" s="6">
        <v>40</v>
      </c>
      <c r="O100" s="6">
        <v>8</v>
      </c>
      <c r="P100" s="6" t="s">
        <v>1023</v>
      </c>
    </row>
    <row r="101" ht="15" customHeight="1" spans="1:16" x14ac:dyDescent="0.25">
      <c r="A101" s="6" t="s">
        <v>487</v>
      </c>
      <c r="B101" s="6" t="s">
        <v>61</v>
      </c>
      <c r="C101" s="6" t="s">
        <v>988</v>
      </c>
      <c r="D101" s="6" t="s">
        <v>1024</v>
      </c>
      <c r="E101" s="6" t="s">
        <v>972</v>
      </c>
      <c r="F101" s="6">
        <v>210</v>
      </c>
      <c r="G101" s="6" t="s">
        <v>805</v>
      </c>
      <c r="H101" s="7">
        <v>0.9</v>
      </c>
      <c r="I101" s="7">
        <v>189</v>
      </c>
      <c r="J101" s="7">
        <v>80.5</v>
      </c>
      <c r="K101" s="7">
        <v>42.6</v>
      </c>
      <c r="L101" s="6" t="s">
        <v>170</v>
      </c>
      <c r="M101" s="6"/>
      <c r="N101" s="6">
        <v>40</v>
      </c>
      <c r="O101" s="6">
        <v>8</v>
      </c>
      <c r="P101" s="6" t="s">
        <v>1023</v>
      </c>
    </row>
    <row r="102" ht="15" customHeight="1" spans="1:16" x14ac:dyDescent="0.25">
      <c r="A102" s="6" t="s">
        <v>499</v>
      </c>
      <c r="B102" s="6" t="s">
        <v>61</v>
      </c>
      <c r="C102" s="6" t="s">
        <v>988</v>
      </c>
      <c r="D102" s="6" t="s">
        <v>1025</v>
      </c>
      <c r="E102" s="6" t="s">
        <v>972</v>
      </c>
      <c r="F102" s="6">
        <v>210</v>
      </c>
      <c r="G102" s="6" t="s">
        <v>805</v>
      </c>
      <c r="H102" s="7">
        <v>0.9</v>
      </c>
      <c r="I102" s="7">
        <v>189</v>
      </c>
      <c r="J102" s="7">
        <v>68</v>
      </c>
      <c r="K102" s="7">
        <v>36</v>
      </c>
      <c r="L102" s="6" t="s">
        <v>170</v>
      </c>
      <c r="M102" s="6"/>
      <c r="N102" s="6">
        <v>40</v>
      </c>
      <c r="O102" s="6">
        <v>8</v>
      </c>
      <c r="P102" s="6" t="s">
        <v>1026</v>
      </c>
    </row>
    <row r="103" ht="15" customHeight="1" spans="1:16" x14ac:dyDescent="0.25">
      <c r="A103" s="6" t="s">
        <v>511</v>
      </c>
      <c r="B103" s="6" t="s">
        <v>61</v>
      </c>
      <c r="C103" s="6" t="s">
        <v>988</v>
      </c>
      <c r="D103" s="6" t="s">
        <v>1027</v>
      </c>
      <c r="E103" s="6" t="s">
        <v>972</v>
      </c>
      <c r="F103" s="6">
        <v>210</v>
      </c>
      <c r="G103" s="6" t="s">
        <v>805</v>
      </c>
      <c r="H103" s="7">
        <v>0.9</v>
      </c>
      <c r="I103" s="7">
        <v>189</v>
      </c>
      <c r="J103" s="7">
        <v>68</v>
      </c>
      <c r="K103" s="7">
        <v>36</v>
      </c>
      <c r="L103" s="6" t="s">
        <v>170</v>
      </c>
      <c r="M103" s="6"/>
      <c r="N103" s="6">
        <v>40</v>
      </c>
      <c r="O103" s="6">
        <v>8</v>
      </c>
      <c r="P103" s="6" t="s">
        <v>1026</v>
      </c>
    </row>
    <row r="104" ht="15" customHeight="1" spans="1:16" x14ac:dyDescent="0.25">
      <c r="A104" s="6" t="s">
        <v>523</v>
      </c>
      <c r="B104" s="6" t="s">
        <v>61</v>
      </c>
      <c r="C104" s="6" t="s">
        <v>988</v>
      </c>
      <c r="D104" s="6" t="s">
        <v>1028</v>
      </c>
      <c r="E104" s="6" t="s">
        <v>972</v>
      </c>
      <c r="F104" s="6">
        <v>210</v>
      </c>
      <c r="G104" s="6" t="s">
        <v>805</v>
      </c>
      <c r="H104" s="7">
        <v>0.9</v>
      </c>
      <c r="I104" s="7">
        <v>189</v>
      </c>
      <c r="J104" s="7">
        <v>64.5</v>
      </c>
      <c r="K104" s="7">
        <v>34.1</v>
      </c>
      <c r="L104" s="6" t="s">
        <v>170</v>
      </c>
      <c r="M104" s="6"/>
      <c r="N104" s="6">
        <v>40</v>
      </c>
      <c r="O104" s="6">
        <v>8</v>
      </c>
      <c r="P104" s="6" t="s">
        <v>1029</v>
      </c>
    </row>
    <row r="105" ht="15" customHeight="1" spans="1:16" x14ac:dyDescent="0.25">
      <c r="A105" s="6" t="s">
        <v>535</v>
      </c>
      <c r="B105" s="6" t="s">
        <v>61</v>
      </c>
      <c r="C105" s="6" t="s">
        <v>988</v>
      </c>
      <c r="D105" s="6" t="s">
        <v>1030</v>
      </c>
      <c r="E105" s="6" t="s">
        <v>972</v>
      </c>
      <c r="F105" s="6">
        <v>210</v>
      </c>
      <c r="G105" s="6" t="s">
        <v>805</v>
      </c>
      <c r="H105" s="7">
        <v>0.9</v>
      </c>
      <c r="I105" s="7">
        <v>189</v>
      </c>
      <c r="J105" s="7">
        <v>64.5</v>
      </c>
      <c r="K105" s="7">
        <v>34.1</v>
      </c>
      <c r="L105" s="6" t="s">
        <v>170</v>
      </c>
      <c r="M105" s="6"/>
      <c r="N105" s="6">
        <v>40</v>
      </c>
      <c r="O105" s="6">
        <v>8</v>
      </c>
      <c r="P105" s="6" t="s">
        <v>1029</v>
      </c>
    </row>
    <row r="106" ht="15" customHeight="1" spans="1:16" x14ac:dyDescent="0.25">
      <c r="A106" s="6" t="s">
        <v>547</v>
      </c>
      <c r="B106" s="6" t="s">
        <v>61</v>
      </c>
      <c r="C106" s="6" t="s">
        <v>988</v>
      </c>
      <c r="D106" s="6" t="s">
        <v>1031</v>
      </c>
      <c r="E106" s="6" t="s">
        <v>972</v>
      </c>
      <c r="F106" s="6">
        <v>210</v>
      </c>
      <c r="G106" s="6" t="s">
        <v>805</v>
      </c>
      <c r="H106" s="7">
        <v>0.9</v>
      </c>
      <c r="I106" s="7">
        <v>189</v>
      </c>
      <c r="J106" s="7">
        <v>61.5</v>
      </c>
      <c r="K106" s="7">
        <v>32.5</v>
      </c>
      <c r="L106" s="6" t="s">
        <v>170</v>
      </c>
      <c r="M106" s="6"/>
      <c r="N106" s="6">
        <v>40</v>
      </c>
      <c r="O106" s="6">
        <v>8</v>
      </c>
      <c r="P106" s="6" t="s">
        <v>1032</v>
      </c>
    </row>
    <row r="107" ht="15" customHeight="1" spans="1:16" x14ac:dyDescent="0.25">
      <c r="A107" s="6" t="s">
        <v>559</v>
      </c>
      <c r="B107" s="6" t="s">
        <v>61</v>
      </c>
      <c r="C107" s="6" t="s">
        <v>988</v>
      </c>
      <c r="D107" s="6" t="s">
        <v>1033</v>
      </c>
      <c r="E107" s="6" t="s">
        <v>972</v>
      </c>
      <c r="F107" s="6">
        <v>210</v>
      </c>
      <c r="G107" s="6" t="s">
        <v>805</v>
      </c>
      <c r="H107" s="7">
        <v>0.9</v>
      </c>
      <c r="I107" s="7">
        <v>189</v>
      </c>
      <c r="J107" s="7">
        <v>61.5</v>
      </c>
      <c r="K107" s="7">
        <v>32.5</v>
      </c>
      <c r="L107" s="6" t="s">
        <v>170</v>
      </c>
      <c r="M107" s="6"/>
      <c r="N107" s="6">
        <v>40</v>
      </c>
      <c r="O107" s="6">
        <v>8</v>
      </c>
      <c r="P107" s="6" t="s">
        <v>1032</v>
      </c>
    </row>
    <row r="108" ht="15" customHeight="1" spans="1:16" x14ac:dyDescent="0.25">
      <c r="A108" s="6" t="s">
        <v>571</v>
      </c>
      <c r="B108" s="6" t="s">
        <v>61</v>
      </c>
      <c r="C108" s="6" t="s">
        <v>988</v>
      </c>
      <c r="D108" s="6" t="s">
        <v>1034</v>
      </c>
      <c r="E108" s="6" t="s">
        <v>972</v>
      </c>
      <c r="F108" s="6">
        <v>190</v>
      </c>
      <c r="G108" s="6" t="s">
        <v>805</v>
      </c>
      <c r="H108" s="7">
        <v>0.9</v>
      </c>
      <c r="I108" s="7">
        <v>171</v>
      </c>
      <c r="J108" s="7">
        <v>69</v>
      </c>
      <c r="K108" s="7">
        <v>40.4</v>
      </c>
      <c r="L108" s="6" t="s">
        <v>170</v>
      </c>
      <c r="M108" s="6"/>
      <c r="N108" s="6">
        <v>40</v>
      </c>
      <c r="O108" s="6">
        <v>8</v>
      </c>
      <c r="P108" s="6" t="s">
        <v>1035</v>
      </c>
    </row>
    <row r="109" ht="15" customHeight="1" spans="1:16" x14ac:dyDescent="0.25">
      <c r="A109" s="6" t="s">
        <v>583</v>
      </c>
      <c r="B109" s="6" t="s">
        <v>61</v>
      </c>
      <c r="C109" s="6" t="s">
        <v>988</v>
      </c>
      <c r="D109" s="6" t="s">
        <v>1036</v>
      </c>
      <c r="E109" s="6" t="s">
        <v>972</v>
      </c>
      <c r="F109" s="6">
        <v>190</v>
      </c>
      <c r="G109" s="6" t="s">
        <v>805</v>
      </c>
      <c r="H109" s="7">
        <v>0.9</v>
      </c>
      <c r="I109" s="7">
        <v>171</v>
      </c>
      <c r="J109" s="7">
        <v>69</v>
      </c>
      <c r="K109" s="7">
        <v>40.4</v>
      </c>
      <c r="L109" s="6" t="s">
        <v>170</v>
      </c>
      <c r="M109" s="6"/>
      <c r="N109" s="6">
        <v>40</v>
      </c>
      <c r="O109" s="6">
        <v>8</v>
      </c>
      <c r="P109" s="6" t="s">
        <v>1035</v>
      </c>
    </row>
    <row r="110" ht="15" customHeight="1" spans="1:16" x14ac:dyDescent="0.25">
      <c r="A110" s="6" t="s">
        <v>595</v>
      </c>
      <c r="B110" s="6" t="s">
        <v>61</v>
      </c>
      <c r="C110" s="6" t="s">
        <v>988</v>
      </c>
      <c r="D110" s="6" t="s">
        <v>1037</v>
      </c>
      <c r="E110" s="6" t="s">
        <v>972</v>
      </c>
      <c r="F110" s="6">
        <v>195</v>
      </c>
      <c r="G110" s="6" t="s">
        <v>805</v>
      </c>
      <c r="H110" s="7">
        <v>0.9</v>
      </c>
      <c r="I110" s="7">
        <v>175.5</v>
      </c>
      <c r="J110" s="7">
        <v>68.5</v>
      </c>
      <c r="K110" s="7">
        <v>39</v>
      </c>
      <c r="L110" s="6" t="s">
        <v>170</v>
      </c>
      <c r="M110" s="6"/>
      <c r="N110" s="6">
        <v>40</v>
      </c>
      <c r="O110" s="6">
        <v>8</v>
      </c>
      <c r="P110" s="6" t="s">
        <v>1038</v>
      </c>
    </row>
    <row r="111" ht="15" customHeight="1" spans="1:16" x14ac:dyDescent="0.25">
      <c r="A111" s="6" t="s">
        <v>607</v>
      </c>
      <c r="B111" s="6" t="s">
        <v>61</v>
      </c>
      <c r="C111" s="6" t="s">
        <v>988</v>
      </c>
      <c r="D111" s="6" t="s">
        <v>1039</v>
      </c>
      <c r="E111" s="6" t="s">
        <v>972</v>
      </c>
      <c r="F111" s="6">
        <v>195</v>
      </c>
      <c r="G111" s="6" t="s">
        <v>805</v>
      </c>
      <c r="H111" s="7">
        <v>0.9</v>
      </c>
      <c r="I111" s="7">
        <v>175.5</v>
      </c>
      <c r="J111" s="7">
        <v>68.5</v>
      </c>
      <c r="K111" s="7">
        <v>39</v>
      </c>
      <c r="L111" s="6" t="s">
        <v>170</v>
      </c>
      <c r="M111" s="6"/>
      <c r="N111" s="6">
        <v>40</v>
      </c>
      <c r="O111" s="6">
        <v>8</v>
      </c>
      <c r="P111" s="6" t="s">
        <v>1038</v>
      </c>
    </row>
    <row r="112" ht="15" customHeight="1" spans="1:16" x14ac:dyDescent="0.25">
      <c r="A112" s="6" t="s">
        <v>619</v>
      </c>
      <c r="B112" s="6" t="s">
        <v>61</v>
      </c>
      <c r="C112" s="6" t="s">
        <v>988</v>
      </c>
      <c r="D112" s="6" t="s">
        <v>1040</v>
      </c>
      <c r="E112" s="6" t="s">
        <v>972</v>
      </c>
      <c r="F112" s="6">
        <v>210</v>
      </c>
      <c r="G112" s="6" t="s">
        <v>805</v>
      </c>
      <c r="H112" s="7">
        <v>0.9</v>
      </c>
      <c r="I112" s="7">
        <v>189</v>
      </c>
      <c r="J112" s="7">
        <v>69</v>
      </c>
      <c r="K112" s="7">
        <v>36.5</v>
      </c>
      <c r="L112" s="6" t="s">
        <v>170</v>
      </c>
      <c r="M112" s="6"/>
      <c r="N112" s="6">
        <v>40</v>
      </c>
      <c r="O112" s="6">
        <v>8</v>
      </c>
      <c r="P112" s="6" t="s">
        <v>1041</v>
      </c>
    </row>
    <row r="113" ht="15" customHeight="1" spans="1:16" x14ac:dyDescent="0.25">
      <c r="A113" s="6" t="s">
        <v>631</v>
      </c>
      <c r="B113" s="6" t="s">
        <v>61</v>
      </c>
      <c r="C113" s="6" t="s">
        <v>988</v>
      </c>
      <c r="D113" s="6" t="s">
        <v>1042</v>
      </c>
      <c r="E113" s="6" t="s">
        <v>972</v>
      </c>
      <c r="F113" s="6">
        <v>210</v>
      </c>
      <c r="G113" s="6" t="s">
        <v>805</v>
      </c>
      <c r="H113" s="7">
        <v>0.9</v>
      </c>
      <c r="I113" s="7">
        <v>189</v>
      </c>
      <c r="J113" s="7">
        <v>69</v>
      </c>
      <c r="K113" s="7">
        <v>36.5</v>
      </c>
      <c r="L113" s="6" t="s">
        <v>170</v>
      </c>
      <c r="M113" s="6"/>
      <c r="N113" s="6">
        <v>40</v>
      </c>
      <c r="O113" s="6">
        <v>8</v>
      </c>
      <c r="P113" s="6" t="s">
        <v>1041</v>
      </c>
    </row>
    <row r="114" ht="15" customHeight="1" spans="1:16" x14ac:dyDescent="0.25">
      <c r="A114" s="6" t="s">
        <v>643</v>
      </c>
      <c r="B114" s="6" t="s">
        <v>61</v>
      </c>
      <c r="C114" s="6" t="s">
        <v>988</v>
      </c>
      <c r="D114" s="6" t="s">
        <v>1043</v>
      </c>
      <c r="E114" s="6" t="s">
        <v>972</v>
      </c>
      <c r="F114" s="6">
        <v>415</v>
      </c>
      <c r="G114" s="6" t="s">
        <v>805</v>
      </c>
      <c r="H114" s="7">
        <v>0.9</v>
      </c>
      <c r="I114" s="7">
        <v>373.5</v>
      </c>
      <c r="J114" s="7">
        <v>360</v>
      </c>
      <c r="K114" s="7">
        <v>96.4</v>
      </c>
      <c r="L114" s="6" t="s">
        <v>170</v>
      </c>
      <c r="M114" s="6"/>
      <c r="N114" s="6">
        <v>40</v>
      </c>
      <c r="O114" s="6">
        <v>8</v>
      </c>
      <c r="P114" s="6" t="s">
        <v>1044</v>
      </c>
    </row>
    <row r="115" ht="15" customHeight="1" spans="1:16" x14ac:dyDescent="0.25">
      <c r="A115" s="6" t="s">
        <v>655</v>
      </c>
      <c r="B115" s="6" t="s">
        <v>61</v>
      </c>
      <c r="C115" s="6" t="s">
        <v>988</v>
      </c>
      <c r="D115" s="6" t="s">
        <v>1045</v>
      </c>
      <c r="E115" s="6" t="s">
        <v>972</v>
      </c>
      <c r="F115" s="6">
        <v>415</v>
      </c>
      <c r="G115" s="6" t="s">
        <v>805</v>
      </c>
      <c r="H115" s="7">
        <v>0.9</v>
      </c>
      <c r="I115" s="7">
        <v>373.5</v>
      </c>
      <c r="J115" s="7">
        <v>360</v>
      </c>
      <c r="K115" s="7">
        <v>96.4</v>
      </c>
      <c r="L115" s="6" t="s">
        <v>170</v>
      </c>
      <c r="M115" s="6"/>
      <c r="N115" s="6">
        <v>40</v>
      </c>
      <c r="O115" s="6">
        <v>8</v>
      </c>
      <c r="P115" s="6" t="s">
        <v>1044</v>
      </c>
    </row>
    <row r="116" ht="15" customHeight="1" spans="1:16" x14ac:dyDescent="0.25">
      <c r="A116" s="6" t="s">
        <v>667</v>
      </c>
      <c r="B116" s="6" t="s">
        <v>61</v>
      </c>
      <c r="C116" s="6" t="s">
        <v>988</v>
      </c>
      <c r="D116" s="6" t="s">
        <v>1046</v>
      </c>
      <c r="E116" s="6" t="s">
        <v>972</v>
      </c>
      <c r="F116" s="6">
        <v>405</v>
      </c>
      <c r="G116" s="6" t="s">
        <v>805</v>
      </c>
      <c r="H116" s="7">
        <v>0.9</v>
      </c>
      <c r="I116" s="7">
        <v>364.5</v>
      </c>
      <c r="J116" s="7">
        <v>330</v>
      </c>
      <c r="K116" s="7">
        <v>90.5</v>
      </c>
      <c r="L116" s="6" t="s">
        <v>170</v>
      </c>
      <c r="M116" s="6"/>
      <c r="N116" s="6">
        <v>40</v>
      </c>
      <c r="O116" s="6">
        <v>8</v>
      </c>
      <c r="P116" s="6" t="s">
        <v>1047</v>
      </c>
    </row>
    <row r="117" ht="15" customHeight="1" spans="1:16" x14ac:dyDescent="0.25">
      <c r="A117" s="6" t="s">
        <v>679</v>
      </c>
      <c r="B117" s="6" t="s">
        <v>61</v>
      </c>
      <c r="C117" s="6" t="s">
        <v>988</v>
      </c>
      <c r="D117" s="6" t="s">
        <v>1048</v>
      </c>
      <c r="E117" s="6" t="s">
        <v>972</v>
      </c>
      <c r="F117" s="6">
        <v>405</v>
      </c>
      <c r="G117" s="6" t="s">
        <v>805</v>
      </c>
      <c r="H117" s="7">
        <v>0.9</v>
      </c>
      <c r="I117" s="7">
        <v>364.5</v>
      </c>
      <c r="J117" s="7">
        <v>330</v>
      </c>
      <c r="K117" s="7">
        <v>90.5</v>
      </c>
      <c r="L117" s="6" t="s">
        <v>170</v>
      </c>
      <c r="M117" s="6"/>
      <c r="N117" s="6">
        <v>40</v>
      </c>
      <c r="O117" s="6">
        <v>8</v>
      </c>
      <c r="P117" s="6" t="s">
        <v>1047</v>
      </c>
    </row>
    <row r="118" ht="15" customHeight="1" spans="1:16" x14ac:dyDescent="0.25">
      <c r="A118" s="6" t="s">
        <v>691</v>
      </c>
      <c r="B118" s="6" t="s">
        <v>61</v>
      </c>
      <c r="C118" s="6" t="s">
        <v>988</v>
      </c>
      <c r="D118" s="6" t="s">
        <v>1049</v>
      </c>
      <c r="E118" s="6" t="s">
        <v>972</v>
      </c>
      <c r="F118" s="6">
        <v>410</v>
      </c>
      <c r="G118" s="6" t="s">
        <v>805</v>
      </c>
      <c r="H118" s="7">
        <v>0.9</v>
      </c>
      <c r="I118" s="7">
        <v>369</v>
      </c>
      <c r="J118" s="7">
        <v>345</v>
      </c>
      <c r="K118" s="7">
        <v>93.5</v>
      </c>
      <c r="L118" s="6" t="s">
        <v>170</v>
      </c>
      <c r="M118" s="6"/>
      <c r="N118" s="6">
        <v>40</v>
      </c>
      <c r="O118" s="6">
        <v>8</v>
      </c>
      <c r="P118" s="6" t="s">
        <v>1050</v>
      </c>
    </row>
    <row r="119" ht="15" customHeight="1" spans="1:16" x14ac:dyDescent="0.25">
      <c r="A119" s="6" t="s">
        <v>703</v>
      </c>
      <c r="B119" s="6" t="s">
        <v>61</v>
      </c>
      <c r="C119" s="6" t="s">
        <v>988</v>
      </c>
      <c r="D119" s="6" t="s">
        <v>1051</v>
      </c>
      <c r="E119" s="6" t="s">
        <v>972</v>
      </c>
      <c r="F119" s="6">
        <v>410</v>
      </c>
      <c r="G119" s="6" t="s">
        <v>805</v>
      </c>
      <c r="H119" s="7">
        <v>0.9</v>
      </c>
      <c r="I119" s="7">
        <v>369</v>
      </c>
      <c r="J119" s="7">
        <v>345</v>
      </c>
      <c r="K119" s="7">
        <v>93.5</v>
      </c>
      <c r="L119" s="6" t="s">
        <v>170</v>
      </c>
      <c r="M119" s="6"/>
      <c r="N119" s="6">
        <v>40</v>
      </c>
      <c r="O119" s="6">
        <v>8</v>
      </c>
      <c r="P119" s="6" t="s">
        <v>1050</v>
      </c>
    </row>
    <row r="120" ht="15" customHeight="1" spans="1:16" x14ac:dyDescent="0.25">
      <c r="A120" s="6" t="s">
        <v>715</v>
      </c>
      <c r="B120" s="6" t="s">
        <v>61</v>
      </c>
      <c r="C120" s="6" t="s">
        <v>988</v>
      </c>
      <c r="D120" s="6" t="s">
        <v>1052</v>
      </c>
      <c r="E120" s="6" t="s">
        <v>972</v>
      </c>
      <c r="F120" s="6">
        <v>400</v>
      </c>
      <c r="G120" s="6" t="s">
        <v>805</v>
      </c>
      <c r="H120" s="7">
        <v>0.9</v>
      </c>
      <c r="I120" s="7">
        <v>360</v>
      </c>
      <c r="J120" s="7">
        <v>315</v>
      </c>
      <c r="K120" s="7">
        <v>87.5</v>
      </c>
      <c r="L120" s="6" t="s">
        <v>170</v>
      </c>
      <c r="M120" s="6"/>
      <c r="N120" s="6">
        <v>40</v>
      </c>
      <c r="O120" s="6">
        <v>8</v>
      </c>
      <c r="P120" s="6" t="s">
        <v>1053</v>
      </c>
    </row>
    <row r="121" ht="15" customHeight="1" spans="1:16" x14ac:dyDescent="0.25">
      <c r="A121" s="6" t="s">
        <v>727</v>
      </c>
      <c r="B121" s="6" t="s">
        <v>61</v>
      </c>
      <c r="C121" s="6" t="s">
        <v>988</v>
      </c>
      <c r="D121" s="6" t="s">
        <v>1054</v>
      </c>
      <c r="E121" s="6" t="s">
        <v>972</v>
      </c>
      <c r="F121" s="6">
        <v>400</v>
      </c>
      <c r="G121" s="6" t="s">
        <v>805</v>
      </c>
      <c r="H121" s="7">
        <v>0.9</v>
      </c>
      <c r="I121" s="7">
        <v>360</v>
      </c>
      <c r="J121" s="7">
        <v>315</v>
      </c>
      <c r="K121" s="7">
        <v>87.5</v>
      </c>
      <c r="L121" s="6" t="s">
        <v>170</v>
      </c>
      <c r="M121" s="6"/>
      <c r="N121" s="6">
        <v>40</v>
      </c>
      <c r="O121" s="6">
        <v>8</v>
      </c>
      <c r="P121" s="6" t="s">
        <v>1053</v>
      </c>
    </row>
    <row r="122" ht="15" customHeight="1" spans="1:16" x14ac:dyDescent="0.25">
      <c r="A122" s="6" t="s">
        <v>739</v>
      </c>
      <c r="B122" s="6" t="s">
        <v>61</v>
      </c>
      <c r="C122" s="6" t="s">
        <v>988</v>
      </c>
      <c r="D122" s="6" t="s">
        <v>1055</v>
      </c>
      <c r="E122" s="6" t="s">
        <v>972</v>
      </c>
      <c r="F122" s="6">
        <v>410</v>
      </c>
      <c r="G122" s="6" t="s">
        <v>805</v>
      </c>
      <c r="H122" s="7">
        <v>0.9</v>
      </c>
      <c r="I122" s="7">
        <v>369</v>
      </c>
      <c r="J122" s="7">
        <v>335</v>
      </c>
      <c r="K122" s="7">
        <v>90.8</v>
      </c>
      <c r="L122" s="6" t="s">
        <v>170</v>
      </c>
      <c r="M122" s="6"/>
      <c r="N122" s="6">
        <v>40</v>
      </c>
      <c r="O122" s="6">
        <v>8</v>
      </c>
      <c r="P122" s="6" t="s">
        <v>1056</v>
      </c>
    </row>
    <row r="123" ht="15" customHeight="1" spans="1:16" x14ac:dyDescent="0.25">
      <c r="A123" s="6" t="s">
        <v>751</v>
      </c>
      <c r="B123" s="6" t="s">
        <v>61</v>
      </c>
      <c r="C123" s="6" t="s">
        <v>988</v>
      </c>
      <c r="D123" s="6" t="s">
        <v>1057</v>
      </c>
      <c r="E123" s="6" t="s">
        <v>972</v>
      </c>
      <c r="F123" s="6">
        <v>410</v>
      </c>
      <c r="G123" s="6" t="s">
        <v>805</v>
      </c>
      <c r="H123" s="7">
        <v>0.9</v>
      </c>
      <c r="I123" s="7">
        <v>369</v>
      </c>
      <c r="J123" s="7">
        <v>335</v>
      </c>
      <c r="K123" s="7">
        <v>90.8</v>
      </c>
      <c r="L123" s="6" t="s">
        <v>170</v>
      </c>
      <c r="M123" s="6"/>
      <c r="N123" s="6">
        <v>40</v>
      </c>
      <c r="O123" s="6">
        <v>8</v>
      </c>
      <c r="P123" s="6" t="s">
        <v>1056</v>
      </c>
    </row>
    <row r="124" ht="15" customHeight="1" spans="1:16" x14ac:dyDescent="0.25">
      <c r="A124" s="6" t="s">
        <v>763</v>
      </c>
      <c r="B124" s="6" t="s">
        <v>61</v>
      </c>
      <c r="C124" s="6" t="s">
        <v>988</v>
      </c>
      <c r="D124" s="6" t="s">
        <v>1058</v>
      </c>
      <c r="E124" s="6" t="s">
        <v>972</v>
      </c>
      <c r="F124" s="6">
        <v>420</v>
      </c>
      <c r="G124" s="6" t="s">
        <v>805</v>
      </c>
      <c r="H124" s="7">
        <v>0.9</v>
      </c>
      <c r="I124" s="7">
        <v>378</v>
      </c>
      <c r="J124" s="7">
        <v>355</v>
      </c>
      <c r="K124" s="7">
        <v>93.9</v>
      </c>
      <c r="L124" s="6" t="s">
        <v>170</v>
      </c>
      <c r="M124" s="6"/>
      <c r="N124" s="6">
        <v>40</v>
      </c>
      <c r="O124" s="6">
        <v>8</v>
      </c>
      <c r="P124" s="6" t="s">
        <v>1059</v>
      </c>
    </row>
    <row r="125" ht="15" customHeight="1" spans="1:16" x14ac:dyDescent="0.25">
      <c r="A125" s="6" t="s">
        <v>775</v>
      </c>
      <c r="B125" s="6" t="s">
        <v>61</v>
      </c>
      <c r="C125" s="6" t="s">
        <v>988</v>
      </c>
      <c r="D125" s="6" t="s">
        <v>1060</v>
      </c>
      <c r="E125" s="6" t="s">
        <v>972</v>
      </c>
      <c r="F125" s="6">
        <v>420</v>
      </c>
      <c r="G125" s="6" t="s">
        <v>805</v>
      </c>
      <c r="H125" s="7">
        <v>0.9</v>
      </c>
      <c r="I125" s="7">
        <v>378</v>
      </c>
      <c r="J125" s="7">
        <v>355</v>
      </c>
      <c r="K125" s="7">
        <v>93.9</v>
      </c>
      <c r="L125" s="6" t="s">
        <v>170</v>
      </c>
      <c r="M125" s="6"/>
      <c r="N125" s="6">
        <v>40</v>
      </c>
      <c r="O125" s="6">
        <v>8</v>
      </c>
      <c r="P125" s="6" t="s">
        <v>1059</v>
      </c>
    </row>
    <row r="126" ht="15" customHeight="1" spans="1:16" x14ac:dyDescent="0.25">
      <c r="A126" s="6" t="s">
        <v>1061</v>
      </c>
      <c r="B126" s="6" t="s">
        <v>61</v>
      </c>
      <c r="C126" s="6" t="s">
        <v>1062</v>
      </c>
      <c r="D126" s="6" t="s">
        <v>1063</v>
      </c>
      <c r="E126" s="6" t="s">
        <v>1064</v>
      </c>
      <c r="F126" s="6">
        <v>400</v>
      </c>
      <c r="G126" s="6" t="s">
        <v>805</v>
      </c>
      <c r="H126" s="7">
        <v>1</v>
      </c>
      <c r="I126" s="7">
        <v>400</v>
      </c>
      <c r="J126" s="6">
        <v>155</v>
      </c>
      <c r="K126" s="7">
        <v>38.8</v>
      </c>
      <c r="L126" s="6" t="s">
        <v>170</v>
      </c>
      <c r="M126" s="6"/>
      <c r="N126" s="6">
        <v>0</v>
      </c>
      <c r="O126" s="6">
        <v>0</v>
      </c>
      <c r="P126" s="6"/>
    </row>
    <row r="127" ht="15" customHeight="1" spans="1:16" x14ac:dyDescent="0.25">
      <c r="A127" s="6" t="s">
        <v>1065</v>
      </c>
      <c r="B127" s="6" t="s">
        <v>61</v>
      </c>
      <c r="C127" s="6" t="s">
        <v>1062</v>
      </c>
      <c r="D127" s="6" t="s">
        <v>1066</v>
      </c>
      <c r="E127" s="6" t="s">
        <v>1064</v>
      </c>
      <c r="F127" s="6">
        <v>400</v>
      </c>
      <c r="G127" s="6" t="s">
        <v>805</v>
      </c>
      <c r="H127" s="7">
        <v>1</v>
      </c>
      <c r="I127" s="7">
        <v>400</v>
      </c>
      <c r="J127" s="6">
        <v>162</v>
      </c>
      <c r="K127" s="7">
        <v>40.5</v>
      </c>
      <c r="L127" s="6" t="s">
        <v>170</v>
      </c>
      <c r="M127" s="6"/>
      <c r="N127" s="6">
        <v>0</v>
      </c>
      <c r="O127" s="6">
        <v>0</v>
      </c>
      <c r="P127" s="6"/>
    </row>
    <row r="128" ht="15" customHeight="1" spans="1:16" x14ac:dyDescent="0.25">
      <c r="A128" s="6" t="s">
        <v>1067</v>
      </c>
      <c r="B128" s="6" t="s">
        <v>61</v>
      </c>
      <c r="C128" s="6" t="s">
        <v>1062</v>
      </c>
      <c r="D128" s="6" t="s">
        <v>1068</v>
      </c>
      <c r="E128" s="6" t="s">
        <v>1064</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1069</v>
      </c>
      <c r="B129" s="6" t="s">
        <v>61</v>
      </c>
      <c r="C129" s="6" t="s">
        <v>1062</v>
      </c>
      <c r="D129" s="6" t="s">
        <v>1070</v>
      </c>
      <c r="E129" s="6" t="s">
        <v>1064</v>
      </c>
      <c r="F129" s="6">
        <v>400</v>
      </c>
      <c r="G129" s="6" t="s">
        <v>805</v>
      </c>
      <c r="H129" s="7">
        <v>1</v>
      </c>
      <c r="I129" s="7">
        <v>400</v>
      </c>
      <c r="J129" s="6">
        <v>168</v>
      </c>
      <c r="K129" s="7">
        <v>42</v>
      </c>
      <c r="L129" s="6" t="s">
        <v>170</v>
      </c>
      <c r="M129" s="6"/>
      <c r="N129" s="6">
        <v>0</v>
      </c>
      <c r="O129" s="6">
        <v>0</v>
      </c>
      <c r="P129" s="6"/>
    </row>
    <row r="130" ht="15" customHeight="1" spans="1:16" x14ac:dyDescent="0.25">
      <c r="A130" s="6" t="s">
        <v>1071</v>
      </c>
      <c r="B130" s="6" t="s">
        <v>61</v>
      </c>
      <c r="C130" s="6" t="s">
        <v>1062</v>
      </c>
      <c r="D130" s="6" t="s">
        <v>1072</v>
      </c>
      <c r="E130" s="6" t="s">
        <v>1064</v>
      </c>
      <c r="F130" s="6">
        <v>400</v>
      </c>
      <c r="G130" s="6" t="s">
        <v>805</v>
      </c>
      <c r="H130" s="7">
        <v>1</v>
      </c>
      <c r="I130" s="7">
        <v>400</v>
      </c>
      <c r="J130" s="6">
        <v>151</v>
      </c>
      <c r="K130" s="7">
        <v>37.8</v>
      </c>
      <c r="L130" s="6" t="s">
        <v>170</v>
      </c>
      <c r="M130" s="6"/>
      <c r="N130" s="6">
        <v>0</v>
      </c>
      <c r="O130" s="6">
        <v>0</v>
      </c>
      <c r="P130" s="6"/>
    </row>
    <row r="131" ht="15" customHeight="1" spans="1:16" x14ac:dyDescent="0.25">
      <c r="A131" s="6" t="s">
        <v>1073</v>
      </c>
      <c r="B131" s="6" t="s">
        <v>61</v>
      </c>
      <c r="C131" s="6" t="s">
        <v>1062</v>
      </c>
      <c r="D131" s="6" t="s">
        <v>1074</v>
      </c>
      <c r="E131" s="6" t="s">
        <v>1064</v>
      </c>
      <c r="F131" s="6">
        <v>400</v>
      </c>
      <c r="G131" s="6" t="s">
        <v>805</v>
      </c>
      <c r="H131" s="7">
        <v>1</v>
      </c>
      <c r="I131" s="7">
        <v>400</v>
      </c>
      <c r="J131" s="6">
        <v>159</v>
      </c>
      <c r="K131" s="7">
        <v>39.8</v>
      </c>
      <c r="L131" s="6" t="s">
        <v>170</v>
      </c>
      <c r="M131" s="6"/>
      <c r="N131" s="6">
        <v>0</v>
      </c>
      <c r="O131" s="6">
        <v>0</v>
      </c>
      <c r="P131" s="6"/>
    </row>
    <row r="132" ht="15" customHeight="1" spans="1:16" x14ac:dyDescent="0.25">
      <c r="A132" s="6" t="s">
        <v>1075</v>
      </c>
      <c r="B132" s="6" t="s">
        <v>61</v>
      </c>
      <c r="C132" s="6" t="s">
        <v>1062</v>
      </c>
      <c r="D132" s="6" t="s">
        <v>1076</v>
      </c>
      <c r="E132" s="6" t="s">
        <v>1064</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1077</v>
      </c>
      <c r="B133" s="6" t="s">
        <v>61</v>
      </c>
      <c r="C133" s="6" t="s">
        <v>1062</v>
      </c>
      <c r="D133" s="6" t="s">
        <v>1078</v>
      </c>
      <c r="E133" s="6" t="s">
        <v>1064</v>
      </c>
      <c r="F133" s="6">
        <v>400</v>
      </c>
      <c r="G133" s="6" t="s">
        <v>805</v>
      </c>
      <c r="H133" s="7">
        <v>1</v>
      </c>
      <c r="I133" s="7">
        <v>400</v>
      </c>
      <c r="J133" s="6">
        <v>145</v>
      </c>
      <c r="K133" s="7">
        <v>36.2</v>
      </c>
      <c r="L133" s="6" t="s">
        <v>170</v>
      </c>
      <c r="M133" s="6"/>
      <c r="N133" s="6">
        <v>0</v>
      </c>
      <c r="O133" s="6">
        <v>0</v>
      </c>
      <c r="P133" s="6"/>
    </row>
    <row r="134" ht="15" customHeight="1" spans="1:16" x14ac:dyDescent="0.25">
      <c r="A134" s="6" t="s">
        <v>1079</v>
      </c>
      <c r="B134" s="6" t="s">
        <v>61</v>
      </c>
      <c r="C134" s="6" t="s">
        <v>1062</v>
      </c>
      <c r="D134" s="6" t="s">
        <v>1080</v>
      </c>
      <c r="E134" s="6" t="s">
        <v>1064</v>
      </c>
      <c r="F134" s="6">
        <v>400</v>
      </c>
      <c r="G134" s="6" t="s">
        <v>805</v>
      </c>
      <c r="H134" s="7">
        <v>1</v>
      </c>
      <c r="I134" s="7">
        <v>400</v>
      </c>
      <c r="J134" s="6">
        <v>152</v>
      </c>
      <c r="K134" s="7">
        <v>38</v>
      </c>
      <c r="L134" s="6" t="s">
        <v>170</v>
      </c>
      <c r="M134" s="6"/>
      <c r="N134" s="6">
        <v>0</v>
      </c>
      <c r="O134" s="6">
        <v>0</v>
      </c>
      <c r="P134" s="6"/>
    </row>
    <row r="135" ht="15" customHeight="1" spans="1:16" x14ac:dyDescent="0.25">
      <c r="A135" s="6" t="s">
        <v>1081</v>
      </c>
      <c r="B135" s="6" t="s">
        <v>61</v>
      </c>
      <c r="C135" s="6" t="s">
        <v>1062</v>
      </c>
      <c r="D135" s="6" t="s">
        <v>1082</v>
      </c>
      <c r="E135" s="6" t="s">
        <v>1064</v>
      </c>
      <c r="F135" s="6">
        <v>400</v>
      </c>
      <c r="G135" s="6" t="s">
        <v>805</v>
      </c>
      <c r="H135" s="7">
        <v>1</v>
      </c>
      <c r="I135" s="7">
        <v>400</v>
      </c>
      <c r="J135" s="6">
        <v>138</v>
      </c>
      <c r="K135" s="7">
        <v>34.5</v>
      </c>
      <c r="L135" s="6" t="s">
        <v>170</v>
      </c>
      <c r="M135" s="6"/>
      <c r="N135" s="6">
        <v>0</v>
      </c>
      <c r="O135" s="6">
        <v>0</v>
      </c>
      <c r="P135" s="6"/>
    </row>
    <row r="136" ht="15" customHeight="1" spans="1:16" x14ac:dyDescent="0.25">
      <c r="A136" s="6" t="s">
        <v>1083</v>
      </c>
      <c r="B136" s="6" t="s">
        <v>61</v>
      </c>
      <c r="C136" s="6" t="s">
        <v>1062</v>
      </c>
      <c r="D136" s="6" t="s">
        <v>1084</v>
      </c>
      <c r="E136" s="6" t="s">
        <v>1064</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1085</v>
      </c>
      <c r="B137" s="6" t="s">
        <v>61</v>
      </c>
      <c r="C137" s="6" t="s">
        <v>1062</v>
      </c>
      <c r="D137" s="6" t="s">
        <v>1086</v>
      </c>
      <c r="E137" s="6" t="s">
        <v>1064</v>
      </c>
      <c r="F137" s="6">
        <v>400</v>
      </c>
      <c r="G137" s="6" t="s">
        <v>805</v>
      </c>
      <c r="H137" s="7">
        <v>1</v>
      </c>
      <c r="I137" s="7">
        <v>400</v>
      </c>
      <c r="J137" s="6">
        <v>161</v>
      </c>
      <c r="K137" s="7">
        <v>40.2</v>
      </c>
      <c r="L137" s="6" t="s">
        <v>170</v>
      </c>
      <c r="M137" s="6"/>
      <c r="N137" s="6">
        <v>0</v>
      </c>
      <c r="O137" s="6">
        <v>0</v>
      </c>
      <c r="P137" s="6"/>
    </row>
    <row r="138" ht="15" customHeight="1" spans="1:16" x14ac:dyDescent="0.25">
      <c r="A138" s="6" t="s">
        <v>1087</v>
      </c>
      <c r="B138" s="6" t="s">
        <v>61</v>
      </c>
      <c r="C138" s="6" t="s">
        <v>1062</v>
      </c>
      <c r="D138" s="6" t="s">
        <v>1088</v>
      </c>
      <c r="E138" s="6" t="s">
        <v>1064</v>
      </c>
      <c r="F138" s="6">
        <v>400</v>
      </c>
      <c r="G138" s="6" t="s">
        <v>805</v>
      </c>
      <c r="H138" s="7">
        <v>1</v>
      </c>
      <c r="I138" s="7">
        <v>400</v>
      </c>
      <c r="J138" s="6">
        <v>136</v>
      </c>
      <c r="K138" s="7">
        <v>34</v>
      </c>
      <c r="L138" s="6" t="s">
        <v>170</v>
      </c>
      <c r="M138" s="6"/>
      <c r="N138" s="6">
        <v>0</v>
      </c>
      <c r="O138" s="6">
        <v>0</v>
      </c>
      <c r="P138" s="6"/>
    </row>
    <row r="139" ht="15" customHeight="1" spans="1:16" x14ac:dyDescent="0.25">
      <c r="A139" s="6" t="s">
        <v>1089</v>
      </c>
      <c r="B139" s="6" t="s">
        <v>61</v>
      </c>
      <c r="C139" s="6" t="s">
        <v>1062</v>
      </c>
      <c r="D139" s="6" t="s">
        <v>1090</v>
      </c>
      <c r="E139" s="6" t="s">
        <v>1064</v>
      </c>
      <c r="F139" s="6">
        <v>400</v>
      </c>
      <c r="G139" s="6" t="s">
        <v>805</v>
      </c>
      <c r="H139" s="7">
        <v>1</v>
      </c>
      <c r="I139" s="7">
        <v>400</v>
      </c>
      <c r="J139" s="6">
        <v>129</v>
      </c>
      <c r="K139" s="7">
        <v>32.2</v>
      </c>
      <c r="L139" s="6" t="s">
        <v>170</v>
      </c>
      <c r="M139" s="6"/>
      <c r="N139" s="6">
        <v>0</v>
      </c>
      <c r="O139" s="6">
        <v>0</v>
      </c>
      <c r="P139" s="6"/>
    </row>
    <row r="140" ht="15" customHeight="1" spans="1:16" x14ac:dyDescent="0.25">
      <c r="A140" s="6" t="s">
        <v>1091</v>
      </c>
      <c r="B140" s="6" t="s">
        <v>61</v>
      </c>
      <c r="C140" s="6" t="s">
        <v>1062</v>
      </c>
      <c r="D140" s="6" t="s">
        <v>1092</v>
      </c>
      <c r="E140" s="6" t="s">
        <v>1064</v>
      </c>
      <c r="F140" s="6">
        <v>400</v>
      </c>
      <c r="G140" s="6" t="s">
        <v>805</v>
      </c>
      <c r="H140" s="7">
        <v>1</v>
      </c>
      <c r="I140" s="7">
        <v>400</v>
      </c>
      <c r="J140" s="6">
        <v>123</v>
      </c>
      <c r="K140" s="7">
        <v>30.8</v>
      </c>
      <c r="L140" s="6" t="s">
        <v>170</v>
      </c>
      <c r="M140" s="6"/>
      <c r="N140" s="6">
        <v>0</v>
      </c>
      <c r="O140" s="6">
        <v>0</v>
      </c>
      <c r="P140" s="6"/>
    </row>
    <row r="141" ht="15" customHeight="1" spans="1:16" x14ac:dyDescent="0.25">
      <c r="A141" s="6" t="s">
        <v>1093</v>
      </c>
      <c r="B141" s="6" t="s">
        <v>61</v>
      </c>
      <c r="C141" s="6" t="s">
        <v>1062</v>
      </c>
      <c r="D141" s="6" t="s">
        <v>1094</v>
      </c>
      <c r="E141" s="6" t="s">
        <v>1064</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1095</v>
      </c>
      <c r="B142" s="6" t="s">
        <v>61</v>
      </c>
      <c r="C142" s="6" t="s">
        <v>1062</v>
      </c>
      <c r="D142" s="6" t="s">
        <v>1096</v>
      </c>
      <c r="E142" s="6" t="s">
        <v>1064</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1097</v>
      </c>
      <c r="B143" s="6" t="s">
        <v>61</v>
      </c>
      <c r="C143" s="6" t="s">
        <v>1062</v>
      </c>
      <c r="D143" s="6" t="s">
        <v>1098</v>
      </c>
      <c r="E143" s="6" t="s">
        <v>1064</v>
      </c>
      <c r="F143" s="6">
        <v>400</v>
      </c>
      <c r="G143" s="6" t="s">
        <v>805</v>
      </c>
      <c r="H143" s="7">
        <v>1</v>
      </c>
      <c r="I143" s="7">
        <v>400</v>
      </c>
      <c r="J143" s="6">
        <v>138</v>
      </c>
      <c r="K143" s="7">
        <v>34.5</v>
      </c>
      <c r="L143" s="6" t="s">
        <v>170</v>
      </c>
      <c r="M143" s="6"/>
      <c r="N143" s="6">
        <v>0</v>
      </c>
      <c r="O143" s="6">
        <v>0</v>
      </c>
      <c r="P143" s="6"/>
    </row>
    <row r="144" ht="15" customHeight="1" spans="1:16" x14ac:dyDescent="0.25">
      <c r="A144" s="6" t="s">
        <v>1099</v>
      </c>
      <c r="B144" s="6" t="s">
        <v>61</v>
      </c>
      <c r="C144" s="6" t="s">
        <v>1062</v>
      </c>
      <c r="D144" s="6" t="s">
        <v>1100</v>
      </c>
      <c r="E144" s="6" t="s">
        <v>1064</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1101</v>
      </c>
      <c r="B145" s="6" t="s">
        <v>61</v>
      </c>
      <c r="C145" s="6" t="s">
        <v>1062</v>
      </c>
      <c r="D145" s="6" t="s">
        <v>1102</v>
      </c>
      <c r="E145" s="6" t="s">
        <v>1064</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1103</v>
      </c>
      <c r="B146" s="6" t="s">
        <v>61</v>
      </c>
      <c r="C146" s="6" t="s">
        <v>1062</v>
      </c>
      <c r="D146" s="6" t="s">
        <v>1104</v>
      </c>
      <c r="E146" s="6" t="s">
        <v>1064</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1105</v>
      </c>
      <c r="B147" s="6" t="s">
        <v>61</v>
      </c>
      <c r="C147" s="6" t="s">
        <v>1062</v>
      </c>
      <c r="D147" s="6" t="s">
        <v>1106</v>
      </c>
      <c r="E147" s="6" t="s">
        <v>1064</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1107</v>
      </c>
      <c r="B148" s="6" t="s">
        <v>61</v>
      </c>
      <c r="C148" s="6" t="s">
        <v>1062</v>
      </c>
      <c r="D148" s="6" t="s">
        <v>1108</v>
      </c>
      <c r="E148" s="6" t="s">
        <v>1064</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1109</v>
      </c>
      <c r="B149" s="6" t="s">
        <v>61</v>
      </c>
      <c r="C149" s="6" t="s">
        <v>1062</v>
      </c>
      <c r="D149" s="6" t="s">
        <v>1110</v>
      </c>
      <c r="E149" s="6" t="s">
        <v>1064</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1111</v>
      </c>
      <c r="G1" s="5" t="s">
        <v>107</v>
      </c>
    </row>
    <row r="2" ht="15" customHeight="1" spans="1:7" x14ac:dyDescent="0.25">
      <c r="A2" s="6" t="s">
        <v>830</v>
      </c>
      <c r="B2" s="6" t="s">
        <v>61</v>
      </c>
      <c r="C2" s="7">
        <v>-14</v>
      </c>
      <c r="D2" s="7">
        <v>0</v>
      </c>
      <c r="E2" s="7">
        <v>4</v>
      </c>
      <c r="F2" s="6" t="s">
        <v>1112</v>
      </c>
      <c r="G2" s="6"/>
    </row>
    <row r="3" ht="15" customHeight="1" spans="1:7" x14ac:dyDescent="0.25">
      <c r="A3" s="6" t="s">
        <v>833</v>
      </c>
      <c r="B3" s="6" t="s">
        <v>61</v>
      </c>
      <c r="C3" s="7">
        <v>-14</v>
      </c>
      <c r="D3" s="7">
        <v>0</v>
      </c>
      <c r="E3" s="7">
        <v>8</v>
      </c>
      <c r="F3" s="6" t="s">
        <v>1112</v>
      </c>
      <c r="G3" s="6"/>
    </row>
    <row r="4" ht="15" customHeight="1" spans="1:7" x14ac:dyDescent="0.25">
      <c r="A4" s="6" t="s">
        <v>836</v>
      </c>
      <c r="B4" s="6" t="s">
        <v>61</v>
      </c>
      <c r="C4" s="7">
        <v>-14</v>
      </c>
      <c r="D4" s="7">
        <v>0</v>
      </c>
      <c r="E4" s="7">
        <v>12</v>
      </c>
      <c r="F4" s="6" t="s">
        <v>1112</v>
      </c>
      <c r="G4" s="6"/>
    </row>
    <row r="5" ht="15" customHeight="1" spans="1:7" x14ac:dyDescent="0.25">
      <c r="A5" s="6" t="s">
        <v>838</v>
      </c>
      <c r="B5" s="6" t="s">
        <v>61</v>
      </c>
      <c r="C5" s="7">
        <v>-14</v>
      </c>
      <c r="D5" s="7">
        <v>0</v>
      </c>
      <c r="E5" s="7">
        <v>16</v>
      </c>
      <c r="F5" s="6" t="s">
        <v>1112</v>
      </c>
      <c r="G5" s="6"/>
    </row>
    <row r="6" ht="15" customHeight="1" spans="1:7" x14ac:dyDescent="0.25">
      <c r="A6" s="6" t="s">
        <v>841</v>
      </c>
      <c r="B6" s="6" t="s">
        <v>61</v>
      </c>
      <c r="C6" s="7">
        <v>-14</v>
      </c>
      <c r="D6" s="7">
        <v>0</v>
      </c>
      <c r="E6" s="7">
        <v>20</v>
      </c>
      <c r="F6" s="6" t="s">
        <v>1112</v>
      </c>
      <c r="G6" s="6"/>
    </row>
    <row r="7" ht="15" customHeight="1" spans="1:7" x14ac:dyDescent="0.25">
      <c r="A7" s="6" t="s">
        <v>843</v>
      </c>
      <c r="B7" s="6" t="s">
        <v>61</v>
      </c>
      <c r="C7" s="7">
        <v>-14</v>
      </c>
      <c r="D7" s="7">
        <v>0</v>
      </c>
      <c r="E7" s="7">
        <v>24</v>
      </c>
      <c r="F7" s="6" t="s">
        <v>1112</v>
      </c>
      <c r="G7" s="6"/>
    </row>
    <row r="8" ht="15" customHeight="1" spans="1:7" x14ac:dyDescent="0.25">
      <c r="A8" s="6" t="s">
        <v>825</v>
      </c>
      <c r="B8" s="6" t="s">
        <v>61</v>
      </c>
      <c r="C8" s="7">
        <v>-9</v>
      </c>
      <c r="D8" s="7">
        <v>0</v>
      </c>
      <c r="E8" s="7">
        <v>6</v>
      </c>
      <c r="F8" s="6" t="s">
        <v>1112</v>
      </c>
      <c r="G8" s="6"/>
    </row>
    <row r="9" ht="15" customHeight="1" spans="1:7" x14ac:dyDescent="0.25">
      <c r="A9" s="6" t="s">
        <v>828</v>
      </c>
      <c r="B9" s="6" t="s">
        <v>61</v>
      </c>
      <c r="C9" s="7">
        <v>-9</v>
      </c>
      <c r="D9" s="7">
        <v>0</v>
      </c>
      <c r="E9" s="7">
        <v>14</v>
      </c>
      <c r="F9" s="6" t="s">
        <v>1112</v>
      </c>
      <c r="G9" s="6"/>
    </row>
    <row r="10" ht="15" customHeight="1" spans="1:7" x14ac:dyDescent="0.25">
      <c r="A10" s="6" t="s">
        <v>811</v>
      </c>
      <c r="B10" s="6" t="s">
        <v>61</v>
      </c>
      <c r="C10" s="7">
        <v>-5</v>
      </c>
      <c r="D10" s="7">
        <v>0</v>
      </c>
      <c r="E10" s="7">
        <v>6</v>
      </c>
      <c r="F10" s="6" t="s">
        <v>1112</v>
      </c>
      <c r="G10" s="6"/>
    </row>
    <row r="11" ht="15" customHeight="1" spans="1:7" x14ac:dyDescent="0.25">
      <c r="A11" s="6" t="s">
        <v>815</v>
      </c>
      <c r="B11" s="6" t="s">
        <v>61</v>
      </c>
      <c r="C11" s="7">
        <v>-5</v>
      </c>
      <c r="D11" s="7">
        <v>0</v>
      </c>
      <c r="E11" s="7">
        <v>14</v>
      </c>
      <c r="F11" s="6" t="s">
        <v>1112</v>
      </c>
      <c r="G11" s="6"/>
    </row>
    <row r="12" ht="15" customHeight="1" spans="1:7" x14ac:dyDescent="0.25">
      <c r="A12" s="6" t="s">
        <v>846</v>
      </c>
      <c r="B12" s="6" t="s">
        <v>61</v>
      </c>
      <c r="C12" s="7">
        <v>-2</v>
      </c>
      <c r="D12" s="7">
        <v>0</v>
      </c>
      <c r="E12" s="7">
        <v>4</v>
      </c>
      <c r="F12" s="6" t="s">
        <v>1112</v>
      </c>
      <c r="G12" s="6"/>
    </row>
    <row r="13" ht="15" customHeight="1" spans="1:7" x14ac:dyDescent="0.25">
      <c r="A13" s="6" t="s">
        <v>879</v>
      </c>
      <c r="B13" s="6" t="s">
        <v>61</v>
      </c>
      <c r="C13" s="7">
        <v>-2</v>
      </c>
      <c r="D13" s="7">
        <v>0</v>
      </c>
      <c r="E13" s="7">
        <v>10</v>
      </c>
      <c r="F13" s="6" t="s">
        <v>1112</v>
      </c>
      <c r="G13" s="6"/>
    </row>
    <row r="14" ht="15" customHeight="1" spans="1:7" x14ac:dyDescent="0.25">
      <c r="A14" s="6" t="s">
        <v>909</v>
      </c>
      <c r="B14" s="6" t="s">
        <v>61</v>
      </c>
      <c r="C14" s="7">
        <v>-2</v>
      </c>
      <c r="D14" s="7">
        <v>0</v>
      </c>
      <c r="E14" s="7">
        <v>18</v>
      </c>
      <c r="F14" s="6" t="s">
        <v>1112</v>
      </c>
      <c r="G14" s="6"/>
    </row>
    <row r="15" ht="15" customHeight="1" spans="1:7" x14ac:dyDescent="0.25">
      <c r="A15" s="6" t="s">
        <v>939</v>
      </c>
      <c r="B15" s="6" t="s">
        <v>61</v>
      </c>
      <c r="C15" s="7">
        <v>-2</v>
      </c>
      <c r="D15" s="7">
        <v>0</v>
      </c>
      <c r="E15" s="7">
        <v>26</v>
      </c>
      <c r="F15" s="6" t="s">
        <v>1112</v>
      </c>
      <c r="G15" s="6"/>
    </row>
    <row r="16" ht="15" customHeight="1" spans="1:7" x14ac:dyDescent="0.25">
      <c r="A16" s="6" t="s">
        <v>801</v>
      </c>
      <c r="B16" s="6" t="s">
        <v>61</v>
      </c>
      <c r="C16" s="7">
        <v>-6</v>
      </c>
      <c r="D16" s="7">
        <v>0</v>
      </c>
      <c r="E16" s="7">
        <v>-14</v>
      </c>
      <c r="F16" s="6" t="s">
        <v>1113</v>
      </c>
      <c r="G16" s="6"/>
    </row>
    <row r="17" ht="15" customHeight="1" spans="1:7" x14ac:dyDescent="0.25">
      <c r="A17" s="6" t="s">
        <v>807</v>
      </c>
      <c r="B17" s="6" t="s">
        <v>61</v>
      </c>
      <c r="C17" s="7">
        <v>2</v>
      </c>
      <c r="D17" s="7">
        <v>0</v>
      </c>
      <c r="E17" s="7">
        <v>-14</v>
      </c>
      <c r="F17" s="6" t="s">
        <v>1113</v>
      </c>
      <c r="G17" s="6"/>
    </row>
    <row r="18" ht="15" customHeight="1" spans="1:7" x14ac:dyDescent="0.25">
      <c r="A18" s="6" t="s">
        <v>817</v>
      </c>
      <c r="B18" s="6" t="s">
        <v>61</v>
      </c>
      <c r="C18" s="7">
        <v>10</v>
      </c>
      <c r="D18" s="7">
        <v>0</v>
      </c>
      <c r="E18" s="7">
        <v>-12</v>
      </c>
      <c r="F18" s="6" t="s">
        <v>1113</v>
      </c>
      <c r="G18" s="6"/>
    </row>
    <row r="19" ht="15" customHeight="1" spans="1:7" x14ac:dyDescent="0.25">
      <c r="A19" s="6" t="s">
        <v>821</v>
      </c>
      <c r="B19" s="6" t="s">
        <v>61</v>
      </c>
      <c r="C19" s="7">
        <v>16</v>
      </c>
      <c r="D19" s="7">
        <v>0</v>
      </c>
      <c r="E19" s="7">
        <v>-12</v>
      </c>
      <c r="F19" s="6" t="s">
        <v>1113</v>
      </c>
      <c r="G19" s="6"/>
    </row>
    <row r="20" ht="15" customHeight="1" spans="1:7" x14ac:dyDescent="0.25">
      <c r="A20" s="6" t="s">
        <v>976</v>
      </c>
      <c r="B20" s="6" t="s">
        <v>61</v>
      </c>
      <c r="C20" s="7">
        <v>24</v>
      </c>
      <c r="D20" s="7">
        <v>0</v>
      </c>
      <c r="E20" s="7">
        <v>-12</v>
      </c>
      <c r="F20" s="6" t="s">
        <v>1113</v>
      </c>
      <c r="G20" s="6"/>
    </row>
    <row r="21" ht="15" customHeight="1" spans="1:7" x14ac:dyDescent="0.25">
      <c r="A21" s="6" t="s">
        <v>979</v>
      </c>
      <c r="B21" s="6" t="s">
        <v>61</v>
      </c>
      <c r="C21" s="7">
        <v>30</v>
      </c>
      <c r="D21" s="7">
        <v>0</v>
      </c>
      <c r="E21" s="7">
        <v>-12</v>
      </c>
      <c r="F21" s="6" t="s">
        <v>1113</v>
      </c>
      <c r="G21" s="6"/>
    </row>
    <row r="22" ht="15" customHeight="1" spans="1:7" x14ac:dyDescent="0.25">
      <c r="A22" s="6" t="s">
        <v>969</v>
      </c>
      <c r="B22" s="6" t="s">
        <v>61</v>
      </c>
      <c r="C22" s="7">
        <v>36</v>
      </c>
      <c r="D22" s="7">
        <v>0</v>
      </c>
      <c r="E22" s="7">
        <v>-12</v>
      </c>
      <c r="F22" s="6" t="s">
        <v>1113</v>
      </c>
      <c r="G22" s="6"/>
    </row>
    <row r="23" ht="15" customHeight="1" spans="1:7" x14ac:dyDescent="0.25">
      <c r="A23" s="6" t="s">
        <v>974</v>
      </c>
      <c r="B23" s="6" t="s">
        <v>61</v>
      </c>
      <c r="C23" s="7">
        <v>42</v>
      </c>
      <c r="D23" s="7">
        <v>0</v>
      </c>
      <c r="E23" s="7">
        <v>-12</v>
      </c>
      <c r="F23" s="6" t="s">
        <v>1113</v>
      </c>
      <c r="G23" s="6"/>
    </row>
    <row r="24" ht="15" customHeight="1" spans="1:7" x14ac:dyDescent="0.25">
      <c r="A24" s="6" t="s">
        <v>981</v>
      </c>
      <c r="B24" s="6" t="s">
        <v>61</v>
      </c>
      <c r="C24" s="7">
        <v>26</v>
      </c>
      <c r="D24" s="7">
        <v>0</v>
      </c>
      <c r="E24" s="7">
        <v>-6</v>
      </c>
      <c r="F24" s="6" t="s">
        <v>1113</v>
      </c>
      <c r="G24" s="6"/>
    </row>
    <row r="25" ht="15" customHeight="1" spans="1:7" x14ac:dyDescent="0.25">
      <c r="A25" s="6" t="s">
        <v>986</v>
      </c>
      <c r="B25" s="6" t="s">
        <v>61</v>
      </c>
      <c r="C25" s="7">
        <v>34</v>
      </c>
      <c r="D25" s="7">
        <v>0</v>
      </c>
      <c r="E25" s="7">
        <v>-6</v>
      </c>
      <c r="F25" s="6" t="s">
        <v>1113</v>
      </c>
      <c r="G25" s="6"/>
    </row>
    <row r="26" ht="15" customHeight="1" spans="1:7" x14ac:dyDescent="0.25">
      <c r="A26" s="6" t="s">
        <v>850</v>
      </c>
      <c r="B26" s="6" t="s">
        <v>61</v>
      </c>
      <c r="C26" s="7">
        <v>8</v>
      </c>
      <c r="D26" s="7">
        <v>3.5</v>
      </c>
      <c r="E26" s="7">
        <v>1</v>
      </c>
      <c r="F26" s="6" t="s">
        <v>1114</v>
      </c>
      <c r="G26" s="6" t="s">
        <v>1115</v>
      </c>
    </row>
    <row r="27" ht="15" customHeight="1" spans="1:7" x14ac:dyDescent="0.25">
      <c r="A27" s="6" t="s">
        <v>882</v>
      </c>
      <c r="B27" s="6" t="s">
        <v>61</v>
      </c>
      <c r="C27" s="7">
        <v>28</v>
      </c>
      <c r="D27" s="7">
        <v>3.5</v>
      </c>
      <c r="E27" s="7">
        <v>1</v>
      </c>
      <c r="F27" s="6" t="s">
        <v>1114</v>
      </c>
      <c r="G27" s="6" t="s">
        <v>1115</v>
      </c>
    </row>
    <row r="28" ht="15" customHeight="1" spans="1:7" x14ac:dyDescent="0.25">
      <c r="A28" s="6" t="s">
        <v>912</v>
      </c>
      <c r="B28" s="6" t="s">
        <v>61</v>
      </c>
      <c r="C28" s="7">
        <v>8</v>
      </c>
      <c r="D28" s="7">
        <v>3.5</v>
      </c>
      <c r="E28" s="7">
        <v>45</v>
      </c>
      <c r="F28" s="6" t="s">
        <v>1114</v>
      </c>
      <c r="G28" s="6" t="s">
        <v>1115</v>
      </c>
    </row>
    <row r="29" ht="15" customHeight="1" spans="1:7" x14ac:dyDescent="0.25">
      <c r="A29" s="6" t="s">
        <v>942</v>
      </c>
      <c r="B29" s="6" t="s">
        <v>61</v>
      </c>
      <c r="C29" s="7">
        <v>28</v>
      </c>
      <c r="D29" s="7">
        <v>3.5</v>
      </c>
      <c r="E29" s="7">
        <v>45</v>
      </c>
      <c r="F29" s="6" t="s">
        <v>1114</v>
      </c>
      <c r="G29" s="6" t="s">
        <v>1115</v>
      </c>
    </row>
    <row r="30" ht="15" customHeight="1" spans="1:7" x14ac:dyDescent="0.25">
      <c r="A30" s="6" t="s">
        <v>203</v>
      </c>
      <c r="B30" s="6" t="s">
        <v>61</v>
      </c>
      <c r="C30" s="7">
        <v>0.8</v>
      </c>
      <c r="D30" s="7">
        <v>0</v>
      </c>
      <c r="E30" s="7">
        <v>3</v>
      </c>
      <c r="F30" s="6" t="s">
        <v>1116</v>
      </c>
      <c r="G30" s="6" t="s">
        <v>1117</v>
      </c>
    </row>
    <row r="31" ht="15" customHeight="1" spans="1:7" x14ac:dyDescent="0.25">
      <c r="A31" s="6" t="s">
        <v>215</v>
      </c>
      <c r="B31" s="6" t="s">
        <v>61</v>
      </c>
      <c r="C31" s="7">
        <v>15.2</v>
      </c>
      <c r="D31" s="7">
        <v>0</v>
      </c>
      <c r="E31" s="7">
        <v>3</v>
      </c>
      <c r="F31" s="6" t="s">
        <v>1116</v>
      </c>
      <c r="G31" s="6" t="s">
        <v>1118</v>
      </c>
    </row>
    <row r="32" ht="15" customHeight="1" spans="1:7" x14ac:dyDescent="0.25">
      <c r="A32" s="6" t="s">
        <v>204</v>
      </c>
      <c r="B32" s="6" t="s">
        <v>61</v>
      </c>
      <c r="C32" s="7">
        <v>-0.6</v>
      </c>
      <c r="D32" s="7">
        <v>0</v>
      </c>
      <c r="E32" s="7">
        <v>3</v>
      </c>
      <c r="F32" s="6" t="s">
        <v>1116</v>
      </c>
      <c r="G32" s="6" t="s">
        <v>1119</v>
      </c>
    </row>
    <row r="33" ht="15" customHeight="1" spans="1:7" x14ac:dyDescent="0.25">
      <c r="A33" s="6" t="s">
        <v>216</v>
      </c>
      <c r="B33" s="6" t="s">
        <v>61</v>
      </c>
      <c r="C33" s="7">
        <v>16.6</v>
      </c>
      <c r="D33" s="7">
        <v>0</v>
      </c>
      <c r="E33" s="7">
        <v>3</v>
      </c>
      <c r="F33" s="6" t="s">
        <v>1116</v>
      </c>
      <c r="G33" s="6" t="s">
        <v>1120</v>
      </c>
    </row>
    <row r="34" ht="15" customHeight="1" spans="1:7" x14ac:dyDescent="0.25">
      <c r="A34" s="6" t="s">
        <v>228</v>
      </c>
      <c r="B34" s="6" t="s">
        <v>61</v>
      </c>
      <c r="C34" s="7">
        <v>0.8</v>
      </c>
      <c r="D34" s="7">
        <v>0</v>
      </c>
      <c r="E34" s="7">
        <v>5.4</v>
      </c>
      <c r="F34" s="6" t="s">
        <v>1116</v>
      </c>
      <c r="G34" s="6" t="s">
        <v>1121</v>
      </c>
    </row>
    <row r="35" ht="15" customHeight="1" spans="1:7" x14ac:dyDescent="0.25">
      <c r="A35" s="6" t="s">
        <v>240</v>
      </c>
      <c r="B35" s="6" t="s">
        <v>61</v>
      </c>
      <c r="C35" s="7">
        <v>15.2</v>
      </c>
      <c r="D35" s="7">
        <v>0</v>
      </c>
      <c r="E35" s="7">
        <v>5.4</v>
      </c>
      <c r="F35" s="6" t="s">
        <v>1116</v>
      </c>
      <c r="G35" s="6" t="s">
        <v>1122</v>
      </c>
    </row>
    <row r="36" ht="15" customHeight="1" spans="1:7" x14ac:dyDescent="0.25">
      <c r="A36" s="6" t="s">
        <v>229</v>
      </c>
      <c r="B36" s="6" t="s">
        <v>61</v>
      </c>
      <c r="C36" s="7">
        <v>-0.6</v>
      </c>
      <c r="D36" s="7">
        <v>0</v>
      </c>
      <c r="E36" s="7">
        <v>5.4</v>
      </c>
      <c r="F36" s="6" t="s">
        <v>1116</v>
      </c>
      <c r="G36" s="6" t="s">
        <v>1123</v>
      </c>
    </row>
    <row r="37" ht="15" customHeight="1" spans="1:7" x14ac:dyDescent="0.25">
      <c r="A37" s="6" t="s">
        <v>241</v>
      </c>
      <c r="B37" s="6" t="s">
        <v>61</v>
      </c>
      <c r="C37" s="7">
        <v>16.6</v>
      </c>
      <c r="D37" s="7">
        <v>0</v>
      </c>
      <c r="E37" s="7">
        <v>5.4</v>
      </c>
      <c r="F37" s="6" t="s">
        <v>1116</v>
      </c>
      <c r="G37" s="6" t="s">
        <v>1124</v>
      </c>
    </row>
    <row r="38" ht="15" customHeight="1" spans="1:7" x14ac:dyDescent="0.25">
      <c r="A38" s="6" t="s">
        <v>253</v>
      </c>
      <c r="B38" s="6" t="s">
        <v>61</v>
      </c>
      <c r="C38" s="7">
        <v>0.8</v>
      </c>
      <c r="D38" s="7">
        <v>0</v>
      </c>
      <c r="E38" s="7">
        <v>7.8</v>
      </c>
      <c r="F38" s="6" t="s">
        <v>1116</v>
      </c>
      <c r="G38" s="6" t="s">
        <v>1125</v>
      </c>
    </row>
    <row r="39" ht="15" customHeight="1" spans="1:7" x14ac:dyDescent="0.25">
      <c r="A39" s="6" t="s">
        <v>265</v>
      </c>
      <c r="B39" s="6" t="s">
        <v>61</v>
      </c>
      <c r="C39" s="7">
        <v>15.2</v>
      </c>
      <c r="D39" s="7">
        <v>0</v>
      </c>
      <c r="E39" s="7">
        <v>7.8</v>
      </c>
      <c r="F39" s="6" t="s">
        <v>1116</v>
      </c>
      <c r="G39" s="6" t="s">
        <v>1126</v>
      </c>
    </row>
    <row r="40" ht="15" customHeight="1" spans="1:7" x14ac:dyDescent="0.25">
      <c r="A40" s="6" t="s">
        <v>254</v>
      </c>
      <c r="B40" s="6" t="s">
        <v>61</v>
      </c>
      <c r="C40" s="7">
        <v>-0.6</v>
      </c>
      <c r="D40" s="7">
        <v>0</v>
      </c>
      <c r="E40" s="7">
        <v>7.8</v>
      </c>
      <c r="F40" s="6" t="s">
        <v>1116</v>
      </c>
      <c r="G40" s="6" t="s">
        <v>1127</v>
      </c>
    </row>
    <row r="41" ht="15" customHeight="1" spans="1:7" x14ac:dyDescent="0.25">
      <c r="A41" s="6" t="s">
        <v>266</v>
      </c>
      <c r="B41" s="6" t="s">
        <v>61</v>
      </c>
      <c r="C41" s="7">
        <v>16.6</v>
      </c>
      <c r="D41" s="7">
        <v>0</v>
      </c>
      <c r="E41" s="7">
        <v>7.8</v>
      </c>
      <c r="F41" s="6" t="s">
        <v>1116</v>
      </c>
      <c r="G41" s="6" t="s">
        <v>1128</v>
      </c>
    </row>
    <row r="42" ht="15" customHeight="1" spans="1:7" x14ac:dyDescent="0.25">
      <c r="A42" s="6" t="s">
        <v>279</v>
      </c>
      <c r="B42" s="6" t="s">
        <v>61</v>
      </c>
      <c r="C42" s="7">
        <v>0.8</v>
      </c>
      <c r="D42" s="7">
        <v>0</v>
      </c>
      <c r="E42" s="7">
        <v>10.2</v>
      </c>
      <c r="F42" s="6" t="s">
        <v>1116</v>
      </c>
      <c r="G42" s="6" t="s">
        <v>1129</v>
      </c>
    </row>
    <row r="43" ht="15" customHeight="1" spans="1:7" x14ac:dyDescent="0.25">
      <c r="A43" s="6" t="s">
        <v>291</v>
      </c>
      <c r="B43" s="6" t="s">
        <v>61</v>
      </c>
      <c r="C43" s="7">
        <v>15.2</v>
      </c>
      <c r="D43" s="7">
        <v>0</v>
      </c>
      <c r="E43" s="7">
        <v>10.2</v>
      </c>
      <c r="F43" s="6" t="s">
        <v>1116</v>
      </c>
      <c r="G43" s="6" t="s">
        <v>1130</v>
      </c>
    </row>
    <row r="44" ht="15" customHeight="1" spans="1:7" x14ac:dyDescent="0.25">
      <c r="A44" s="6" t="s">
        <v>280</v>
      </c>
      <c r="B44" s="6" t="s">
        <v>61</v>
      </c>
      <c r="C44" s="7">
        <v>-0.6</v>
      </c>
      <c r="D44" s="7">
        <v>0</v>
      </c>
      <c r="E44" s="7">
        <v>10.2</v>
      </c>
      <c r="F44" s="6" t="s">
        <v>1116</v>
      </c>
      <c r="G44" s="6" t="s">
        <v>1131</v>
      </c>
    </row>
    <row r="45" ht="15" customHeight="1" spans="1:7" x14ac:dyDescent="0.25">
      <c r="A45" s="6" t="s">
        <v>292</v>
      </c>
      <c r="B45" s="6" t="s">
        <v>61</v>
      </c>
      <c r="C45" s="7">
        <v>16.6</v>
      </c>
      <c r="D45" s="7">
        <v>0</v>
      </c>
      <c r="E45" s="7">
        <v>10.2</v>
      </c>
      <c r="F45" s="6" t="s">
        <v>1116</v>
      </c>
      <c r="G45" s="6" t="s">
        <v>1132</v>
      </c>
    </row>
    <row r="46" ht="15" customHeight="1" spans="1:7" x14ac:dyDescent="0.25">
      <c r="A46" s="6" t="s">
        <v>304</v>
      </c>
      <c r="B46" s="6" t="s">
        <v>61</v>
      </c>
      <c r="C46" s="7">
        <v>0.8</v>
      </c>
      <c r="D46" s="7">
        <v>0</v>
      </c>
      <c r="E46" s="7">
        <v>12.6</v>
      </c>
      <c r="F46" s="6" t="s">
        <v>1116</v>
      </c>
      <c r="G46" s="6" t="s">
        <v>1133</v>
      </c>
    </row>
    <row r="47" ht="15" customHeight="1" spans="1:7" x14ac:dyDescent="0.25">
      <c r="A47" s="6" t="s">
        <v>316</v>
      </c>
      <c r="B47" s="6" t="s">
        <v>61</v>
      </c>
      <c r="C47" s="7">
        <v>15.2</v>
      </c>
      <c r="D47" s="7">
        <v>0</v>
      </c>
      <c r="E47" s="7">
        <v>12.6</v>
      </c>
      <c r="F47" s="6" t="s">
        <v>1116</v>
      </c>
      <c r="G47" s="6" t="s">
        <v>1134</v>
      </c>
    </row>
    <row r="48" ht="15" customHeight="1" spans="1:7" x14ac:dyDescent="0.25">
      <c r="A48" s="6" t="s">
        <v>305</v>
      </c>
      <c r="B48" s="6" t="s">
        <v>61</v>
      </c>
      <c r="C48" s="7">
        <v>-0.6</v>
      </c>
      <c r="D48" s="7">
        <v>0</v>
      </c>
      <c r="E48" s="7">
        <v>12.6</v>
      </c>
      <c r="F48" s="6" t="s">
        <v>1116</v>
      </c>
      <c r="G48" s="6" t="s">
        <v>1135</v>
      </c>
    </row>
    <row r="49" ht="15" customHeight="1" spans="1:7" x14ac:dyDescent="0.25">
      <c r="A49" s="6" t="s">
        <v>317</v>
      </c>
      <c r="B49" s="6" t="s">
        <v>61</v>
      </c>
      <c r="C49" s="7">
        <v>16.6</v>
      </c>
      <c r="D49" s="7">
        <v>0</v>
      </c>
      <c r="E49" s="7">
        <v>12.6</v>
      </c>
      <c r="F49" s="6" t="s">
        <v>1116</v>
      </c>
      <c r="G49" s="6" t="s">
        <v>1136</v>
      </c>
    </row>
    <row r="50" ht="15" customHeight="1" spans="1:7" x14ac:dyDescent="0.25">
      <c r="A50" s="6" t="s">
        <v>329</v>
      </c>
      <c r="B50" s="6" t="s">
        <v>61</v>
      </c>
      <c r="C50" s="7">
        <v>0.8</v>
      </c>
      <c r="D50" s="7">
        <v>0</v>
      </c>
      <c r="E50" s="7">
        <v>15</v>
      </c>
      <c r="F50" s="6" t="s">
        <v>1116</v>
      </c>
      <c r="G50" s="6" t="s">
        <v>1137</v>
      </c>
    </row>
    <row r="51" ht="15" customHeight="1" spans="1:7" x14ac:dyDescent="0.25">
      <c r="A51" s="6" t="s">
        <v>341</v>
      </c>
      <c r="B51" s="6" t="s">
        <v>61</v>
      </c>
      <c r="C51" s="7">
        <v>15.2</v>
      </c>
      <c r="D51" s="7">
        <v>0</v>
      </c>
      <c r="E51" s="7">
        <v>15</v>
      </c>
      <c r="F51" s="6" t="s">
        <v>1116</v>
      </c>
      <c r="G51" s="6" t="s">
        <v>1138</v>
      </c>
    </row>
    <row r="52" ht="15" customHeight="1" spans="1:7" x14ac:dyDescent="0.25">
      <c r="A52" s="6" t="s">
        <v>330</v>
      </c>
      <c r="B52" s="6" t="s">
        <v>61</v>
      </c>
      <c r="C52" s="7">
        <v>-0.6</v>
      </c>
      <c r="D52" s="7">
        <v>0</v>
      </c>
      <c r="E52" s="7">
        <v>15</v>
      </c>
      <c r="F52" s="6" t="s">
        <v>1116</v>
      </c>
      <c r="G52" s="6" t="s">
        <v>1139</v>
      </c>
    </row>
    <row r="53" ht="15" customHeight="1" spans="1:7" x14ac:dyDescent="0.25">
      <c r="A53" s="6" t="s">
        <v>342</v>
      </c>
      <c r="B53" s="6" t="s">
        <v>61</v>
      </c>
      <c r="C53" s="7">
        <v>16.6</v>
      </c>
      <c r="D53" s="7">
        <v>0</v>
      </c>
      <c r="E53" s="7">
        <v>15</v>
      </c>
      <c r="F53" s="6" t="s">
        <v>1116</v>
      </c>
      <c r="G53" s="6" t="s">
        <v>1140</v>
      </c>
    </row>
    <row r="54" ht="15" customHeight="1" spans="1:7" x14ac:dyDescent="0.25">
      <c r="A54" s="6" t="s">
        <v>353</v>
      </c>
      <c r="B54" s="6" t="s">
        <v>61</v>
      </c>
      <c r="C54" s="7">
        <v>20.8</v>
      </c>
      <c r="D54" s="7">
        <v>0</v>
      </c>
      <c r="E54" s="7">
        <v>3</v>
      </c>
      <c r="F54" s="6" t="s">
        <v>1116</v>
      </c>
      <c r="G54" s="6" t="s">
        <v>1141</v>
      </c>
    </row>
    <row r="55" ht="15" customHeight="1" spans="1:7" x14ac:dyDescent="0.25">
      <c r="A55" s="6" t="s">
        <v>365</v>
      </c>
      <c r="B55" s="6" t="s">
        <v>61</v>
      </c>
      <c r="C55" s="7">
        <v>35.2</v>
      </c>
      <c r="D55" s="7">
        <v>0</v>
      </c>
      <c r="E55" s="7">
        <v>3</v>
      </c>
      <c r="F55" s="6" t="s">
        <v>1116</v>
      </c>
      <c r="G55" s="6" t="s">
        <v>1142</v>
      </c>
    </row>
    <row r="56" ht="15" customHeight="1" spans="1:7" x14ac:dyDescent="0.25">
      <c r="A56" s="6" t="s">
        <v>354</v>
      </c>
      <c r="B56" s="6" t="s">
        <v>61</v>
      </c>
      <c r="C56" s="7">
        <v>19.4</v>
      </c>
      <c r="D56" s="7">
        <v>0</v>
      </c>
      <c r="E56" s="7">
        <v>3</v>
      </c>
      <c r="F56" s="6" t="s">
        <v>1116</v>
      </c>
      <c r="G56" s="6" t="s">
        <v>1143</v>
      </c>
    </row>
    <row r="57" ht="15" customHeight="1" spans="1:7" x14ac:dyDescent="0.25">
      <c r="A57" s="6" t="s">
        <v>366</v>
      </c>
      <c r="B57" s="6" t="s">
        <v>61</v>
      </c>
      <c r="C57" s="7">
        <v>36.6</v>
      </c>
      <c r="D57" s="7">
        <v>0</v>
      </c>
      <c r="E57" s="7">
        <v>3</v>
      </c>
      <c r="F57" s="6" t="s">
        <v>1116</v>
      </c>
      <c r="G57" s="6" t="s">
        <v>1144</v>
      </c>
    </row>
    <row r="58" ht="15" customHeight="1" spans="1:7" x14ac:dyDescent="0.25">
      <c r="A58" s="6" t="s">
        <v>377</v>
      </c>
      <c r="B58" s="6" t="s">
        <v>61</v>
      </c>
      <c r="C58" s="7">
        <v>20.8</v>
      </c>
      <c r="D58" s="7">
        <v>0</v>
      </c>
      <c r="E58" s="7">
        <v>5.4</v>
      </c>
      <c r="F58" s="6" t="s">
        <v>1116</v>
      </c>
      <c r="G58" s="6" t="s">
        <v>1145</v>
      </c>
    </row>
    <row r="59" ht="15" customHeight="1" spans="1:7" x14ac:dyDescent="0.25">
      <c r="A59" s="6" t="s">
        <v>389</v>
      </c>
      <c r="B59" s="6" t="s">
        <v>61</v>
      </c>
      <c r="C59" s="7">
        <v>35.2</v>
      </c>
      <c r="D59" s="7">
        <v>0</v>
      </c>
      <c r="E59" s="7">
        <v>5.4</v>
      </c>
      <c r="F59" s="6" t="s">
        <v>1116</v>
      </c>
      <c r="G59" s="6" t="s">
        <v>1146</v>
      </c>
    </row>
    <row r="60" ht="15" customHeight="1" spans="1:7" x14ac:dyDescent="0.25">
      <c r="A60" s="6" t="s">
        <v>378</v>
      </c>
      <c r="B60" s="6" t="s">
        <v>61</v>
      </c>
      <c r="C60" s="7">
        <v>19.4</v>
      </c>
      <c r="D60" s="7">
        <v>0</v>
      </c>
      <c r="E60" s="7">
        <v>5.4</v>
      </c>
      <c r="F60" s="6" t="s">
        <v>1116</v>
      </c>
      <c r="G60" s="6" t="s">
        <v>1147</v>
      </c>
    </row>
    <row r="61" ht="15" customHeight="1" spans="1:7" x14ac:dyDescent="0.25">
      <c r="A61" s="6" t="s">
        <v>390</v>
      </c>
      <c r="B61" s="6" t="s">
        <v>61</v>
      </c>
      <c r="C61" s="7">
        <v>36.6</v>
      </c>
      <c r="D61" s="7">
        <v>0</v>
      </c>
      <c r="E61" s="7">
        <v>5.4</v>
      </c>
      <c r="F61" s="6" t="s">
        <v>1116</v>
      </c>
      <c r="G61" s="6" t="s">
        <v>1148</v>
      </c>
    </row>
    <row r="62" ht="15" customHeight="1" spans="1:7" x14ac:dyDescent="0.25">
      <c r="A62" s="6" t="s">
        <v>401</v>
      </c>
      <c r="B62" s="6" t="s">
        <v>61</v>
      </c>
      <c r="C62" s="7">
        <v>20.8</v>
      </c>
      <c r="D62" s="7">
        <v>0</v>
      </c>
      <c r="E62" s="7">
        <v>7.8</v>
      </c>
      <c r="F62" s="6" t="s">
        <v>1116</v>
      </c>
      <c r="G62" s="6" t="s">
        <v>1149</v>
      </c>
    </row>
    <row r="63" ht="15" customHeight="1" spans="1:7" x14ac:dyDescent="0.25">
      <c r="A63" s="6" t="s">
        <v>413</v>
      </c>
      <c r="B63" s="6" t="s">
        <v>61</v>
      </c>
      <c r="C63" s="7">
        <v>35.2</v>
      </c>
      <c r="D63" s="7">
        <v>0</v>
      </c>
      <c r="E63" s="7">
        <v>7.8</v>
      </c>
      <c r="F63" s="6" t="s">
        <v>1116</v>
      </c>
      <c r="G63" s="6" t="s">
        <v>1150</v>
      </c>
    </row>
    <row r="64" ht="15" customHeight="1" spans="1:7" x14ac:dyDescent="0.25">
      <c r="A64" s="6" t="s">
        <v>402</v>
      </c>
      <c r="B64" s="6" t="s">
        <v>61</v>
      </c>
      <c r="C64" s="7">
        <v>19.4</v>
      </c>
      <c r="D64" s="7">
        <v>0</v>
      </c>
      <c r="E64" s="7">
        <v>7.8</v>
      </c>
      <c r="F64" s="6" t="s">
        <v>1116</v>
      </c>
      <c r="G64" s="6" t="s">
        <v>1151</v>
      </c>
    </row>
    <row r="65" ht="15" customHeight="1" spans="1:7" x14ac:dyDescent="0.25">
      <c r="A65" s="6" t="s">
        <v>414</v>
      </c>
      <c r="B65" s="6" t="s">
        <v>61</v>
      </c>
      <c r="C65" s="7">
        <v>36.6</v>
      </c>
      <c r="D65" s="7">
        <v>0</v>
      </c>
      <c r="E65" s="7">
        <v>7.8</v>
      </c>
      <c r="F65" s="6" t="s">
        <v>1116</v>
      </c>
      <c r="G65" s="6" t="s">
        <v>1152</v>
      </c>
    </row>
    <row r="66" ht="15" customHeight="1" spans="1:7" x14ac:dyDescent="0.25">
      <c r="A66" s="6" t="s">
        <v>425</v>
      </c>
      <c r="B66" s="6" t="s">
        <v>61</v>
      </c>
      <c r="C66" s="7">
        <v>20.8</v>
      </c>
      <c r="D66" s="7">
        <v>0</v>
      </c>
      <c r="E66" s="7">
        <v>10.2</v>
      </c>
      <c r="F66" s="6" t="s">
        <v>1116</v>
      </c>
      <c r="G66" s="6" t="s">
        <v>1153</v>
      </c>
    </row>
    <row r="67" ht="15" customHeight="1" spans="1:7" x14ac:dyDescent="0.25">
      <c r="A67" s="6" t="s">
        <v>437</v>
      </c>
      <c r="B67" s="6" t="s">
        <v>61</v>
      </c>
      <c r="C67" s="7">
        <v>35.2</v>
      </c>
      <c r="D67" s="7">
        <v>0</v>
      </c>
      <c r="E67" s="7">
        <v>10.2</v>
      </c>
      <c r="F67" s="6" t="s">
        <v>1116</v>
      </c>
      <c r="G67" s="6" t="s">
        <v>1154</v>
      </c>
    </row>
    <row r="68" ht="15" customHeight="1" spans="1:7" x14ac:dyDescent="0.25">
      <c r="A68" s="6" t="s">
        <v>426</v>
      </c>
      <c r="B68" s="6" t="s">
        <v>61</v>
      </c>
      <c r="C68" s="7">
        <v>19.4</v>
      </c>
      <c r="D68" s="7">
        <v>0</v>
      </c>
      <c r="E68" s="7">
        <v>10.2</v>
      </c>
      <c r="F68" s="6" t="s">
        <v>1116</v>
      </c>
      <c r="G68" s="6" t="s">
        <v>1155</v>
      </c>
    </row>
    <row r="69" ht="15" customHeight="1" spans="1:7" x14ac:dyDescent="0.25">
      <c r="A69" s="6" t="s">
        <v>438</v>
      </c>
      <c r="B69" s="6" t="s">
        <v>61</v>
      </c>
      <c r="C69" s="7">
        <v>36.6</v>
      </c>
      <c r="D69" s="7">
        <v>0</v>
      </c>
      <c r="E69" s="7">
        <v>10.2</v>
      </c>
      <c r="F69" s="6" t="s">
        <v>1116</v>
      </c>
      <c r="G69" s="6" t="s">
        <v>1156</v>
      </c>
    </row>
    <row r="70" ht="15" customHeight="1" spans="1:7" x14ac:dyDescent="0.25">
      <c r="A70" s="6" t="s">
        <v>450</v>
      </c>
      <c r="B70" s="6" t="s">
        <v>61</v>
      </c>
      <c r="C70" s="7">
        <v>20.8</v>
      </c>
      <c r="D70" s="7">
        <v>0</v>
      </c>
      <c r="E70" s="7">
        <v>12.6</v>
      </c>
      <c r="F70" s="6" t="s">
        <v>1116</v>
      </c>
      <c r="G70" s="6" t="s">
        <v>1157</v>
      </c>
    </row>
    <row r="71" ht="15" customHeight="1" spans="1:7" x14ac:dyDescent="0.25">
      <c r="A71" s="6" t="s">
        <v>462</v>
      </c>
      <c r="B71" s="6" t="s">
        <v>61</v>
      </c>
      <c r="C71" s="7">
        <v>35.2</v>
      </c>
      <c r="D71" s="7">
        <v>0</v>
      </c>
      <c r="E71" s="7">
        <v>12.6</v>
      </c>
      <c r="F71" s="6" t="s">
        <v>1116</v>
      </c>
      <c r="G71" s="6" t="s">
        <v>1158</v>
      </c>
    </row>
    <row r="72" ht="15" customHeight="1" spans="1:7" x14ac:dyDescent="0.25">
      <c r="A72" s="6" t="s">
        <v>451</v>
      </c>
      <c r="B72" s="6" t="s">
        <v>61</v>
      </c>
      <c r="C72" s="7">
        <v>19.4</v>
      </c>
      <c r="D72" s="7">
        <v>0</v>
      </c>
      <c r="E72" s="7">
        <v>12.6</v>
      </c>
      <c r="F72" s="6" t="s">
        <v>1116</v>
      </c>
      <c r="G72" s="6" t="s">
        <v>1159</v>
      </c>
    </row>
    <row r="73" ht="15" customHeight="1" spans="1:7" x14ac:dyDescent="0.25">
      <c r="A73" s="6" t="s">
        <v>463</v>
      </c>
      <c r="B73" s="6" t="s">
        <v>61</v>
      </c>
      <c r="C73" s="7">
        <v>36.6</v>
      </c>
      <c r="D73" s="7">
        <v>0</v>
      </c>
      <c r="E73" s="7">
        <v>12.6</v>
      </c>
      <c r="F73" s="6" t="s">
        <v>1116</v>
      </c>
      <c r="G73" s="6" t="s">
        <v>1160</v>
      </c>
    </row>
    <row r="74" ht="15" customHeight="1" spans="1:7" x14ac:dyDescent="0.25">
      <c r="A74" s="6" t="s">
        <v>474</v>
      </c>
      <c r="B74" s="6" t="s">
        <v>61</v>
      </c>
      <c r="C74" s="7">
        <v>20.8</v>
      </c>
      <c r="D74" s="7">
        <v>0</v>
      </c>
      <c r="E74" s="7">
        <v>15</v>
      </c>
      <c r="F74" s="6" t="s">
        <v>1116</v>
      </c>
      <c r="G74" s="6" t="s">
        <v>1161</v>
      </c>
    </row>
    <row r="75" ht="15" customHeight="1" spans="1:7" x14ac:dyDescent="0.25">
      <c r="A75" s="6" t="s">
        <v>486</v>
      </c>
      <c r="B75" s="6" t="s">
        <v>61</v>
      </c>
      <c r="C75" s="7">
        <v>35.2</v>
      </c>
      <c r="D75" s="7">
        <v>0</v>
      </c>
      <c r="E75" s="7">
        <v>15</v>
      </c>
      <c r="F75" s="6" t="s">
        <v>1116</v>
      </c>
      <c r="G75" s="6" t="s">
        <v>1162</v>
      </c>
    </row>
    <row r="76" ht="15" customHeight="1" spans="1:7" x14ac:dyDescent="0.25">
      <c r="A76" s="6" t="s">
        <v>475</v>
      </c>
      <c r="B76" s="6" t="s">
        <v>61</v>
      </c>
      <c r="C76" s="7">
        <v>19.4</v>
      </c>
      <c r="D76" s="7">
        <v>0</v>
      </c>
      <c r="E76" s="7">
        <v>15</v>
      </c>
      <c r="F76" s="6" t="s">
        <v>1116</v>
      </c>
      <c r="G76" s="6" t="s">
        <v>1163</v>
      </c>
    </row>
    <row r="77" ht="15" customHeight="1" spans="1:7" x14ac:dyDescent="0.25">
      <c r="A77" s="6" t="s">
        <v>487</v>
      </c>
      <c r="B77" s="6" t="s">
        <v>61</v>
      </c>
      <c r="C77" s="7">
        <v>36.6</v>
      </c>
      <c r="D77" s="7">
        <v>0</v>
      </c>
      <c r="E77" s="7">
        <v>15</v>
      </c>
      <c r="F77" s="6" t="s">
        <v>1116</v>
      </c>
      <c r="G77" s="6" t="s">
        <v>1164</v>
      </c>
    </row>
    <row r="78" ht="15" customHeight="1" spans="1:7" x14ac:dyDescent="0.25">
      <c r="A78" s="6" t="s">
        <v>498</v>
      </c>
      <c r="B78" s="6" t="s">
        <v>61</v>
      </c>
      <c r="C78" s="7">
        <v>0.8</v>
      </c>
      <c r="D78" s="7">
        <v>0</v>
      </c>
      <c r="E78" s="7">
        <v>25</v>
      </c>
      <c r="F78" s="6" t="s">
        <v>1116</v>
      </c>
      <c r="G78" s="6" t="s">
        <v>1165</v>
      </c>
    </row>
    <row r="79" ht="15" customHeight="1" spans="1:7" x14ac:dyDescent="0.25">
      <c r="A79" s="6" t="s">
        <v>510</v>
      </c>
      <c r="B79" s="6" t="s">
        <v>61</v>
      </c>
      <c r="C79" s="7">
        <v>15.2</v>
      </c>
      <c r="D79" s="7">
        <v>0</v>
      </c>
      <c r="E79" s="7">
        <v>25</v>
      </c>
      <c r="F79" s="6" t="s">
        <v>1116</v>
      </c>
      <c r="G79" s="6" t="s">
        <v>1166</v>
      </c>
    </row>
    <row r="80" ht="15" customHeight="1" spans="1:7" x14ac:dyDescent="0.25">
      <c r="A80" s="6" t="s">
        <v>499</v>
      </c>
      <c r="B80" s="6" t="s">
        <v>61</v>
      </c>
      <c r="C80" s="7">
        <v>-0.6</v>
      </c>
      <c r="D80" s="7">
        <v>0</v>
      </c>
      <c r="E80" s="7">
        <v>25</v>
      </c>
      <c r="F80" s="6" t="s">
        <v>1116</v>
      </c>
      <c r="G80" s="6" t="s">
        <v>1167</v>
      </c>
    </row>
    <row r="81" ht="15" customHeight="1" spans="1:7" x14ac:dyDescent="0.25">
      <c r="A81" s="6" t="s">
        <v>511</v>
      </c>
      <c r="B81" s="6" t="s">
        <v>61</v>
      </c>
      <c r="C81" s="7">
        <v>16.6</v>
      </c>
      <c r="D81" s="7">
        <v>0</v>
      </c>
      <c r="E81" s="7">
        <v>25</v>
      </c>
      <c r="F81" s="6" t="s">
        <v>1116</v>
      </c>
      <c r="G81" s="6" t="s">
        <v>1168</v>
      </c>
    </row>
    <row r="82" ht="15" customHeight="1" spans="1:7" x14ac:dyDescent="0.25">
      <c r="A82" s="6" t="s">
        <v>522</v>
      </c>
      <c r="B82" s="6" t="s">
        <v>61</v>
      </c>
      <c r="C82" s="7">
        <v>0.8</v>
      </c>
      <c r="D82" s="7">
        <v>0</v>
      </c>
      <c r="E82" s="7">
        <v>27.4</v>
      </c>
      <c r="F82" s="6" t="s">
        <v>1116</v>
      </c>
      <c r="G82" s="6" t="s">
        <v>1169</v>
      </c>
    </row>
    <row r="83" ht="15" customHeight="1" spans="1:7" x14ac:dyDescent="0.25">
      <c r="A83" s="6" t="s">
        <v>534</v>
      </c>
      <c r="B83" s="6" t="s">
        <v>61</v>
      </c>
      <c r="C83" s="7">
        <v>15.2</v>
      </c>
      <c r="D83" s="7">
        <v>0</v>
      </c>
      <c r="E83" s="7">
        <v>27.4</v>
      </c>
      <c r="F83" s="6" t="s">
        <v>1116</v>
      </c>
      <c r="G83" s="6" t="s">
        <v>1170</v>
      </c>
    </row>
    <row r="84" ht="15" customHeight="1" spans="1:7" x14ac:dyDescent="0.25">
      <c r="A84" s="6" t="s">
        <v>523</v>
      </c>
      <c r="B84" s="6" t="s">
        <v>61</v>
      </c>
      <c r="C84" s="7">
        <v>-0.6</v>
      </c>
      <c r="D84" s="7">
        <v>0</v>
      </c>
      <c r="E84" s="7">
        <v>27.4</v>
      </c>
      <c r="F84" s="6" t="s">
        <v>1116</v>
      </c>
      <c r="G84" s="6" t="s">
        <v>1171</v>
      </c>
    </row>
    <row r="85" ht="15" customHeight="1" spans="1:7" x14ac:dyDescent="0.25">
      <c r="A85" s="6" t="s">
        <v>535</v>
      </c>
      <c r="B85" s="6" t="s">
        <v>61</v>
      </c>
      <c r="C85" s="7">
        <v>16.6</v>
      </c>
      <c r="D85" s="7">
        <v>0</v>
      </c>
      <c r="E85" s="7">
        <v>27.4</v>
      </c>
      <c r="F85" s="6" t="s">
        <v>1116</v>
      </c>
      <c r="G85" s="6" t="s">
        <v>1172</v>
      </c>
    </row>
    <row r="86" ht="15" customHeight="1" spans="1:7" x14ac:dyDescent="0.25">
      <c r="A86" s="6" t="s">
        <v>546</v>
      </c>
      <c r="B86" s="6" t="s">
        <v>61</v>
      </c>
      <c r="C86" s="7">
        <v>0.8</v>
      </c>
      <c r="D86" s="7">
        <v>0</v>
      </c>
      <c r="E86" s="7">
        <v>29.8</v>
      </c>
      <c r="F86" s="6" t="s">
        <v>1116</v>
      </c>
      <c r="G86" s="6" t="s">
        <v>1173</v>
      </c>
    </row>
    <row r="87" ht="15" customHeight="1" spans="1:7" x14ac:dyDescent="0.25">
      <c r="A87" s="6" t="s">
        <v>558</v>
      </c>
      <c r="B87" s="6" t="s">
        <v>61</v>
      </c>
      <c r="C87" s="7">
        <v>15.2</v>
      </c>
      <c r="D87" s="7">
        <v>0</v>
      </c>
      <c r="E87" s="7">
        <v>29.8</v>
      </c>
      <c r="F87" s="6" t="s">
        <v>1116</v>
      </c>
      <c r="G87" s="6" t="s">
        <v>1174</v>
      </c>
    </row>
    <row r="88" ht="15" customHeight="1" spans="1:7" x14ac:dyDescent="0.25">
      <c r="A88" s="6" t="s">
        <v>547</v>
      </c>
      <c r="B88" s="6" t="s">
        <v>61</v>
      </c>
      <c r="C88" s="7">
        <v>-0.6</v>
      </c>
      <c r="D88" s="7">
        <v>0</v>
      </c>
      <c r="E88" s="7">
        <v>29.8</v>
      </c>
      <c r="F88" s="6" t="s">
        <v>1116</v>
      </c>
      <c r="G88" s="6" t="s">
        <v>1175</v>
      </c>
    </row>
    <row r="89" ht="15" customHeight="1" spans="1:7" x14ac:dyDescent="0.25">
      <c r="A89" s="6" t="s">
        <v>559</v>
      </c>
      <c r="B89" s="6" t="s">
        <v>61</v>
      </c>
      <c r="C89" s="7">
        <v>16.6</v>
      </c>
      <c r="D89" s="7">
        <v>0</v>
      </c>
      <c r="E89" s="7">
        <v>29.8</v>
      </c>
      <c r="F89" s="6" t="s">
        <v>1116</v>
      </c>
      <c r="G89" s="6" t="s">
        <v>1176</v>
      </c>
    </row>
    <row r="90" ht="15" customHeight="1" spans="1:7" x14ac:dyDescent="0.25">
      <c r="A90" s="6" t="s">
        <v>570</v>
      </c>
      <c r="B90" s="6" t="s">
        <v>61</v>
      </c>
      <c r="C90" s="7">
        <v>0.8</v>
      </c>
      <c r="D90" s="7">
        <v>0</v>
      </c>
      <c r="E90" s="7">
        <v>32.2</v>
      </c>
      <c r="F90" s="6" t="s">
        <v>1116</v>
      </c>
      <c r="G90" s="6" t="s">
        <v>1177</v>
      </c>
    </row>
    <row r="91" ht="15" customHeight="1" spans="1:7" x14ac:dyDescent="0.25">
      <c r="A91" s="6" t="s">
        <v>582</v>
      </c>
      <c r="B91" s="6" t="s">
        <v>61</v>
      </c>
      <c r="C91" s="7">
        <v>15.2</v>
      </c>
      <c r="D91" s="7">
        <v>0</v>
      </c>
      <c r="E91" s="7">
        <v>32.2</v>
      </c>
      <c r="F91" s="6" t="s">
        <v>1116</v>
      </c>
      <c r="G91" s="6" t="s">
        <v>1178</v>
      </c>
    </row>
    <row r="92" ht="15" customHeight="1" spans="1:7" x14ac:dyDescent="0.25">
      <c r="A92" s="6" t="s">
        <v>571</v>
      </c>
      <c r="B92" s="6" t="s">
        <v>61</v>
      </c>
      <c r="C92" s="7">
        <v>-0.6</v>
      </c>
      <c r="D92" s="7">
        <v>0</v>
      </c>
      <c r="E92" s="7">
        <v>32.2</v>
      </c>
      <c r="F92" s="6" t="s">
        <v>1116</v>
      </c>
      <c r="G92" s="6" t="s">
        <v>1179</v>
      </c>
    </row>
    <row r="93" ht="15" customHeight="1" spans="1:7" x14ac:dyDescent="0.25">
      <c r="A93" s="6" t="s">
        <v>583</v>
      </c>
      <c r="B93" s="6" t="s">
        <v>61</v>
      </c>
      <c r="C93" s="7">
        <v>16.6</v>
      </c>
      <c r="D93" s="7">
        <v>0</v>
      </c>
      <c r="E93" s="7">
        <v>32.2</v>
      </c>
      <c r="F93" s="6" t="s">
        <v>1116</v>
      </c>
      <c r="G93" s="6" t="s">
        <v>1180</v>
      </c>
    </row>
    <row r="94" ht="15" customHeight="1" spans="1:7" x14ac:dyDescent="0.25">
      <c r="A94" s="6" t="s">
        <v>594</v>
      </c>
      <c r="B94" s="6" t="s">
        <v>61</v>
      </c>
      <c r="C94" s="7">
        <v>0.8</v>
      </c>
      <c r="D94" s="7">
        <v>0</v>
      </c>
      <c r="E94" s="7">
        <v>34.6</v>
      </c>
      <c r="F94" s="6" t="s">
        <v>1116</v>
      </c>
      <c r="G94" s="6" t="s">
        <v>1181</v>
      </c>
    </row>
    <row r="95" ht="15" customHeight="1" spans="1:7" x14ac:dyDescent="0.25">
      <c r="A95" s="6" t="s">
        <v>606</v>
      </c>
      <c r="B95" s="6" t="s">
        <v>61</v>
      </c>
      <c r="C95" s="7">
        <v>15.2</v>
      </c>
      <c r="D95" s="7">
        <v>0</v>
      </c>
      <c r="E95" s="7">
        <v>34.6</v>
      </c>
      <c r="F95" s="6" t="s">
        <v>1116</v>
      </c>
      <c r="G95" s="6" t="s">
        <v>1182</v>
      </c>
    </row>
    <row r="96" ht="15" customHeight="1" spans="1:7" x14ac:dyDescent="0.25">
      <c r="A96" s="6" t="s">
        <v>595</v>
      </c>
      <c r="B96" s="6" t="s">
        <v>61</v>
      </c>
      <c r="C96" s="7">
        <v>-0.6</v>
      </c>
      <c r="D96" s="7">
        <v>0</v>
      </c>
      <c r="E96" s="7">
        <v>34.6</v>
      </c>
      <c r="F96" s="6" t="s">
        <v>1116</v>
      </c>
      <c r="G96" s="6" t="s">
        <v>1183</v>
      </c>
    </row>
    <row r="97" ht="15" customHeight="1" spans="1:7" x14ac:dyDescent="0.25">
      <c r="A97" s="6" t="s">
        <v>607</v>
      </c>
      <c r="B97" s="6" t="s">
        <v>61</v>
      </c>
      <c r="C97" s="7">
        <v>16.6</v>
      </c>
      <c r="D97" s="7">
        <v>0</v>
      </c>
      <c r="E97" s="7">
        <v>34.6</v>
      </c>
      <c r="F97" s="6" t="s">
        <v>1116</v>
      </c>
      <c r="G97" s="6" t="s">
        <v>1184</v>
      </c>
    </row>
    <row r="98" ht="15" customHeight="1" spans="1:7" x14ac:dyDescent="0.25">
      <c r="A98" s="6" t="s">
        <v>618</v>
      </c>
      <c r="B98" s="6" t="s">
        <v>61</v>
      </c>
      <c r="C98" s="7">
        <v>0.8</v>
      </c>
      <c r="D98" s="7">
        <v>0</v>
      </c>
      <c r="E98" s="7">
        <v>37</v>
      </c>
      <c r="F98" s="6" t="s">
        <v>1116</v>
      </c>
      <c r="G98" s="6" t="s">
        <v>1185</v>
      </c>
    </row>
    <row r="99" ht="15" customHeight="1" spans="1:7" x14ac:dyDescent="0.25">
      <c r="A99" s="6" t="s">
        <v>630</v>
      </c>
      <c r="B99" s="6" t="s">
        <v>61</v>
      </c>
      <c r="C99" s="7">
        <v>15.2</v>
      </c>
      <c r="D99" s="7">
        <v>0</v>
      </c>
      <c r="E99" s="7">
        <v>37</v>
      </c>
      <c r="F99" s="6" t="s">
        <v>1116</v>
      </c>
      <c r="G99" s="6" t="s">
        <v>1186</v>
      </c>
    </row>
    <row r="100" ht="15" customHeight="1" spans="1:7" x14ac:dyDescent="0.25">
      <c r="A100" s="6" t="s">
        <v>619</v>
      </c>
      <c r="B100" s="6" t="s">
        <v>61</v>
      </c>
      <c r="C100" s="7">
        <v>-0.6</v>
      </c>
      <c r="D100" s="7">
        <v>0</v>
      </c>
      <c r="E100" s="7">
        <v>37</v>
      </c>
      <c r="F100" s="6" t="s">
        <v>1116</v>
      </c>
      <c r="G100" s="6" t="s">
        <v>1187</v>
      </c>
    </row>
    <row r="101" ht="15" customHeight="1" spans="1:7" x14ac:dyDescent="0.25">
      <c r="A101" s="6" t="s">
        <v>631</v>
      </c>
      <c r="B101" s="6" t="s">
        <v>61</v>
      </c>
      <c r="C101" s="7">
        <v>16.6</v>
      </c>
      <c r="D101" s="7">
        <v>0</v>
      </c>
      <c r="E101" s="7">
        <v>37</v>
      </c>
      <c r="F101" s="6" t="s">
        <v>1116</v>
      </c>
      <c r="G101" s="6" t="s">
        <v>1188</v>
      </c>
    </row>
    <row r="102" ht="15" customHeight="1" spans="1:7" x14ac:dyDescent="0.25">
      <c r="A102" s="6" t="s">
        <v>642</v>
      </c>
      <c r="B102" s="6" t="s">
        <v>61</v>
      </c>
      <c r="C102" s="7">
        <v>20.8</v>
      </c>
      <c r="D102" s="7">
        <v>0</v>
      </c>
      <c r="E102" s="7">
        <v>25</v>
      </c>
      <c r="F102" s="6" t="s">
        <v>1116</v>
      </c>
      <c r="G102" s="6" t="s">
        <v>1189</v>
      </c>
    </row>
    <row r="103" ht="15" customHeight="1" spans="1:7" x14ac:dyDescent="0.25">
      <c r="A103" s="6" t="s">
        <v>654</v>
      </c>
      <c r="B103" s="6" t="s">
        <v>61</v>
      </c>
      <c r="C103" s="7">
        <v>35.2</v>
      </c>
      <c r="D103" s="7">
        <v>0</v>
      </c>
      <c r="E103" s="7">
        <v>25</v>
      </c>
      <c r="F103" s="6" t="s">
        <v>1116</v>
      </c>
      <c r="G103" s="6" t="s">
        <v>1190</v>
      </c>
    </row>
    <row r="104" ht="15" customHeight="1" spans="1:7" x14ac:dyDescent="0.25">
      <c r="A104" s="6" t="s">
        <v>643</v>
      </c>
      <c r="B104" s="6" t="s">
        <v>61</v>
      </c>
      <c r="C104" s="7">
        <v>19.4</v>
      </c>
      <c r="D104" s="7">
        <v>0</v>
      </c>
      <c r="E104" s="7">
        <v>25</v>
      </c>
      <c r="F104" s="6" t="s">
        <v>1116</v>
      </c>
      <c r="G104" s="6" t="s">
        <v>1191</v>
      </c>
    </row>
    <row r="105" ht="15" customHeight="1" spans="1:7" x14ac:dyDescent="0.25">
      <c r="A105" s="6" t="s">
        <v>655</v>
      </c>
      <c r="B105" s="6" t="s">
        <v>61</v>
      </c>
      <c r="C105" s="7">
        <v>36.6</v>
      </c>
      <c r="D105" s="7">
        <v>0</v>
      </c>
      <c r="E105" s="7">
        <v>25</v>
      </c>
      <c r="F105" s="6" t="s">
        <v>1116</v>
      </c>
      <c r="G105" s="6" t="s">
        <v>1192</v>
      </c>
    </row>
    <row r="106" ht="15" customHeight="1" spans="1:7" x14ac:dyDescent="0.25">
      <c r="A106" s="6" t="s">
        <v>666</v>
      </c>
      <c r="B106" s="6" t="s">
        <v>61</v>
      </c>
      <c r="C106" s="7">
        <v>20.8</v>
      </c>
      <c r="D106" s="7">
        <v>0</v>
      </c>
      <c r="E106" s="7">
        <v>27.4</v>
      </c>
      <c r="F106" s="6" t="s">
        <v>1116</v>
      </c>
      <c r="G106" s="6" t="s">
        <v>1193</v>
      </c>
    </row>
    <row r="107" ht="15" customHeight="1" spans="1:7" x14ac:dyDescent="0.25">
      <c r="A107" s="6" t="s">
        <v>678</v>
      </c>
      <c r="B107" s="6" t="s">
        <v>61</v>
      </c>
      <c r="C107" s="7">
        <v>35.2</v>
      </c>
      <c r="D107" s="7">
        <v>0</v>
      </c>
      <c r="E107" s="7">
        <v>27.4</v>
      </c>
      <c r="F107" s="6" t="s">
        <v>1116</v>
      </c>
      <c r="G107" s="6" t="s">
        <v>1194</v>
      </c>
    </row>
    <row r="108" ht="15" customHeight="1" spans="1:7" x14ac:dyDescent="0.25">
      <c r="A108" s="6" t="s">
        <v>667</v>
      </c>
      <c r="B108" s="6" t="s">
        <v>61</v>
      </c>
      <c r="C108" s="7">
        <v>19.4</v>
      </c>
      <c r="D108" s="7">
        <v>0</v>
      </c>
      <c r="E108" s="7">
        <v>27.4</v>
      </c>
      <c r="F108" s="6" t="s">
        <v>1116</v>
      </c>
      <c r="G108" s="6" t="s">
        <v>1195</v>
      </c>
    </row>
    <row r="109" ht="15" customHeight="1" spans="1:7" x14ac:dyDescent="0.25">
      <c r="A109" s="6" t="s">
        <v>679</v>
      </c>
      <c r="B109" s="6" t="s">
        <v>61</v>
      </c>
      <c r="C109" s="7">
        <v>36.6</v>
      </c>
      <c r="D109" s="7">
        <v>0</v>
      </c>
      <c r="E109" s="7">
        <v>27.4</v>
      </c>
      <c r="F109" s="6" t="s">
        <v>1116</v>
      </c>
      <c r="G109" s="6" t="s">
        <v>1196</v>
      </c>
    </row>
    <row r="110" ht="15" customHeight="1" spans="1:7" x14ac:dyDescent="0.25">
      <c r="A110" s="6" t="s">
        <v>690</v>
      </c>
      <c r="B110" s="6" t="s">
        <v>61</v>
      </c>
      <c r="C110" s="7">
        <v>20.8</v>
      </c>
      <c r="D110" s="7">
        <v>0</v>
      </c>
      <c r="E110" s="7">
        <v>29.8</v>
      </c>
      <c r="F110" s="6" t="s">
        <v>1116</v>
      </c>
      <c r="G110" s="6" t="s">
        <v>1197</v>
      </c>
    </row>
    <row r="111" ht="15" customHeight="1" spans="1:7" x14ac:dyDescent="0.25">
      <c r="A111" s="6" t="s">
        <v>702</v>
      </c>
      <c r="B111" s="6" t="s">
        <v>61</v>
      </c>
      <c r="C111" s="7">
        <v>35.2</v>
      </c>
      <c r="D111" s="7">
        <v>0</v>
      </c>
      <c r="E111" s="7">
        <v>29.8</v>
      </c>
      <c r="F111" s="6" t="s">
        <v>1116</v>
      </c>
      <c r="G111" s="6" t="s">
        <v>1198</v>
      </c>
    </row>
    <row r="112" ht="15" customHeight="1" spans="1:7" x14ac:dyDescent="0.25">
      <c r="A112" s="6" t="s">
        <v>691</v>
      </c>
      <c r="B112" s="6" t="s">
        <v>61</v>
      </c>
      <c r="C112" s="7">
        <v>19.4</v>
      </c>
      <c r="D112" s="7">
        <v>0</v>
      </c>
      <c r="E112" s="7">
        <v>29.8</v>
      </c>
      <c r="F112" s="6" t="s">
        <v>1116</v>
      </c>
      <c r="G112" s="6" t="s">
        <v>1199</v>
      </c>
    </row>
    <row r="113" ht="15" customHeight="1" spans="1:7" x14ac:dyDescent="0.25">
      <c r="A113" s="6" t="s">
        <v>703</v>
      </c>
      <c r="B113" s="6" t="s">
        <v>61</v>
      </c>
      <c r="C113" s="7">
        <v>36.6</v>
      </c>
      <c r="D113" s="7">
        <v>0</v>
      </c>
      <c r="E113" s="7">
        <v>29.8</v>
      </c>
      <c r="F113" s="6" t="s">
        <v>1116</v>
      </c>
      <c r="G113" s="6" t="s">
        <v>1200</v>
      </c>
    </row>
    <row r="114" ht="15" customHeight="1" spans="1:7" x14ac:dyDescent="0.25">
      <c r="A114" s="6" t="s">
        <v>714</v>
      </c>
      <c r="B114" s="6" t="s">
        <v>61</v>
      </c>
      <c r="C114" s="7">
        <v>20.8</v>
      </c>
      <c r="D114" s="7">
        <v>0</v>
      </c>
      <c r="E114" s="7">
        <v>32.2</v>
      </c>
      <c r="F114" s="6" t="s">
        <v>1116</v>
      </c>
      <c r="G114" s="6" t="s">
        <v>1201</v>
      </c>
    </row>
    <row r="115" ht="15" customHeight="1" spans="1:7" x14ac:dyDescent="0.25">
      <c r="A115" s="6" t="s">
        <v>726</v>
      </c>
      <c r="B115" s="6" t="s">
        <v>61</v>
      </c>
      <c r="C115" s="7">
        <v>35.2</v>
      </c>
      <c r="D115" s="7">
        <v>0</v>
      </c>
      <c r="E115" s="7">
        <v>32.2</v>
      </c>
      <c r="F115" s="6" t="s">
        <v>1116</v>
      </c>
      <c r="G115" s="6" t="s">
        <v>1202</v>
      </c>
    </row>
    <row r="116" ht="15" customHeight="1" spans="1:7" x14ac:dyDescent="0.25">
      <c r="A116" s="6" t="s">
        <v>715</v>
      </c>
      <c r="B116" s="6" t="s">
        <v>61</v>
      </c>
      <c r="C116" s="7">
        <v>19.4</v>
      </c>
      <c r="D116" s="7">
        <v>0</v>
      </c>
      <c r="E116" s="7">
        <v>32.2</v>
      </c>
      <c r="F116" s="6" t="s">
        <v>1116</v>
      </c>
      <c r="G116" s="6" t="s">
        <v>1203</v>
      </c>
    </row>
    <row r="117" ht="15" customHeight="1" spans="1:7" x14ac:dyDescent="0.25">
      <c r="A117" s="6" t="s">
        <v>727</v>
      </c>
      <c r="B117" s="6" t="s">
        <v>61</v>
      </c>
      <c r="C117" s="7">
        <v>36.6</v>
      </c>
      <c r="D117" s="7">
        <v>0</v>
      </c>
      <c r="E117" s="7">
        <v>32.2</v>
      </c>
      <c r="F117" s="6" t="s">
        <v>1116</v>
      </c>
      <c r="G117" s="6" t="s">
        <v>1204</v>
      </c>
    </row>
    <row r="118" ht="15" customHeight="1" spans="1:7" x14ac:dyDescent="0.25">
      <c r="A118" s="6" t="s">
        <v>738</v>
      </c>
      <c r="B118" s="6" t="s">
        <v>61</v>
      </c>
      <c r="C118" s="7">
        <v>20.8</v>
      </c>
      <c r="D118" s="7">
        <v>0</v>
      </c>
      <c r="E118" s="7">
        <v>34.6</v>
      </c>
      <c r="F118" s="6" t="s">
        <v>1116</v>
      </c>
      <c r="G118" s="6" t="s">
        <v>1205</v>
      </c>
    </row>
    <row r="119" ht="15" customHeight="1" spans="1:7" x14ac:dyDescent="0.25">
      <c r="A119" s="6" t="s">
        <v>750</v>
      </c>
      <c r="B119" s="6" t="s">
        <v>61</v>
      </c>
      <c r="C119" s="7">
        <v>35.2</v>
      </c>
      <c r="D119" s="7">
        <v>0</v>
      </c>
      <c r="E119" s="7">
        <v>34.6</v>
      </c>
      <c r="F119" s="6" t="s">
        <v>1116</v>
      </c>
      <c r="G119" s="6" t="s">
        <v>1206</v>
      </c>
    </row>
    <row r="120" ht="15" customHeight="1" spans="1:7" x14ac:dyDescent="0.25">
      <c r="A120" s="6" t="s">
        <v>739</v>
      </c>
      <c r="B120" s="6" t="s">
        <v>61</v>
      </c>
      <c r="C120" s="7">
        <v>19.4</v>
      </c>
      <c r="D120" s="7">
        <v>0</v>
      </c>
      <c r="E120" s="7">
        <v>34.6</v>
      </c>
      <c r="F120" s="6" t="s">
        <v>1116</v>
      </c>
      <c r="G120" s="6" t="s">
        <v>1207</v>
      </c>
    </row>
    <row r="121" ht="15" customHeight="1" spans="1:7" x14ac:dyDescent="0.25">
      <c r="A121" s="6" t="s">
        <v>751</v>
      </c>
      <c r="B121" s="6" t="s">
        <v>61</v>
      </c>
      <c r="C121" s="7">
        <v>36.6</v>
      </c>
      <c r="D121" s="7">
        <v>0</v>
      </c>
      <c r="E121" s="7">
        <v>34.6</v>
      </c>
      <c r="F121" s="6" t="s">
        <v>1116</v>
      </c>
      <c r="G121" s="6" t="s">
        <v>1208</v>
      </c>
    </row>
    <row r="122" ht="15" customHeight="1" spans="1:7" x14ac:dyDescent="0.25">
      <c r="A122" s="6" t="s">
        <v>762</v>
      </c>
      <c r="B122" s="6" t="s">
        <v>61</v>
      </c>
      <c r="C122" s="7">
        <v>20.8</v>
      </c>
      <c r="D122" s="7">
        <v>0</v>
      </c>
      <c r="E122" s="7">
        <v>37</v>
      </c>
      <c r="F122" s="6" t="s">
        <v>1116</v>
      </c>
      <c r="G122" s="6" t="s">
        <v>1209</v>
      </c>
    </row>
    <row r="123" ht="15" customHeight="1" spans="1:7" x14ac:dyDescent="0.25">
      <c r="A123" s="6" t="s">
        <v>774</v>
      </c>
      <c r="B123" s="6" t="s">
        <v>61</v>
      </c>
      <c r="C123" s="7">
        <v>35.2</v>
      </c>
      <c r="D123" s="7">
        <v>0</v>
      </c>
      <c r="E123" s="7">
        <v>37</v>
      </c>
      <c r="F123" s="6" t="s">
        <v>1116</v>
      </c>
      <c r="G123" s="6" t="s">
        <v>1210</v>
      </c>
    </row>
    <row r="124" ht="15" customHeight="1" spans="1:7" x14ac:dyDescent="0.25">
      <c r="A124" s="6" t="s">
        <v>763</v>
      </c>
      <c r="B124" s="6" t="s">
        <v>61</v>
      </c>
      <c r="C124" s="7">
        <v>19.4</v>
      </c>
      <c r="D124" s="7">
        <v>0</v>
      </c>
      <c r="E124" s="7">
        <v>37</v>
      </c>
      <c r="F124" s="6" t="s">
        <v>1116</v>
      </c>
      <c r="G124" s="6" t="s">
        <v>1211</v>
      </c>
    </row>
    <row r="125" ht="15" customHeight="1" spans="1:7" x14ac:dyDescent="0.25">
      <c r="A125" s="6" t="s">
        <v>775</v>
      </c>
      <c r="B125" s="6" t="s">
        <v>61</v>
      </c>
      <c r="C125" s="7">
        <v>36.6</v>
      </c>
      <c r="D125" s="7">
        <v>0</v>
      </c>
      <c r="E125" s="7">
        <v>37</v>
      </c>
      <c r="F125" s="6" t="s">
        <v>1116</v>
      </c>
      <c r="G125" s="6" t="s">
        <v>1212</v>
      </c>
    </row>
    <row r="126" ht="15" customHeight="1" spans="1:7" x14ac:dyDescent="0.25">
      <c r="A126" s="6" t="s">
        <v>1061</v>
      </c>
      <c r="B126" s="6" t="s">
        <v>61</v>
      </c>
      <c r="C126" s="7">
        <v>8</v>
      </c>
      <c r="D126" s="7">
        <v>1</v>
      </c>
      <c r="E126" s="7">
        <v>3</v>
      </c>
      <c r="F126" s="6" t="s">
        <v>1213</v>
      </c>
      <c r="G126" s="6" t="s">
        <v>1214</v>
      </c>
    </row>
    <row r="127" ht="15" customHeight="1" spans="1:7" x14ac:dyDescent="0.25">
      <c r="A127" s="6" t="s">
        <v>1065</v>
      </c>
      <c r="B127" s="6" t="s">
        <v>61</v>
      </c>
      <c r="C127" s="7">
        <v>8</v>
      </c>
      <c r="D127" s="7">
        <v>1</v>
      </c>
      <c r="E127" s="7">
        <v>5.4</v>
      </c>
      <c r="F127" s="6" t="s">
        <v>1213</v>
      </c>
      <c r="G127" s="6" t="s">
        <v>1215</v>
      </c>
    </row>
    <row r="128" ht="15" customHeight="1" spans="1:7" x14ac:dyDescent="0.25">
      <c r="A128" s="6" t="s">
        <v>1067</v>
      </c>
      <c r="B128" s="6" t="s">
        <v>61</v>
      </c>
      <c r="C128" s="7">
        <v>8</v>
      </c>
      <c r="D128" s="7">
        <v>1</v>
      </c>
      <c r="E128" s="7">
        <v>7.8</v>
      </c>
      <c r="F128" s="6" t="s">
        <v>1213</v>
      </c>
      <c r="G128" s="6" t="s">
        <v>1216</v>
      </c>
    </row>
    <row r="129" ht="15" customHeight="1" spans="1:7" x14ac:dyDescent="0.25">
      <c r="A129" s="6" t="s">
        <v>1069</v>
      </c>
      <c r="B129" s="6" t="s">
        <v>61</v>
      </c>
      <c r="C129" s="7">
        <v>8</v>
      </c>
      <c r="D129" s="7">
        <v>1</v>
      </c>
      <c r="E129" s="7">
        <v>10.2</v>
      </c>
      <c r="F129" s="6" t="s">
        <v>1213</v>
      </c>
      <c r="G129" s="6" t="s">
        <v>1217</v>
      </c>
    </row>
    <row r="130" ht="15" customHeight="1" spans="1:7" x14ac:dyDescent="0.25">
      <c r="A130" s="6" t="s">
        <v>1071</v>
      </c>
      <c r="B130" s="6" t="s">
        <v>61</v>
      </c>
      <c r="C130" s="7">
        <v>8</v>
      </c>
      <c r="D130" s="7">
        <v>1</v>
      </c>
      <c r="E130" s="7">
        <v>12.6</v>
      </c>
      <c r="F130" s="6" t="s">
        <v>1213</v>
      </c>
      <c r="G130" s="6" t="s">
        <v>1218</v>
      </c>
    </row>
    <row r="131" ht="15" customHeight="1" spans="1:7" x14ac:dyDescent="0.25">
      <c r="A131" s="6" t="s">
        <v>1073</v>
      </c>
      <c r="B131" s="6" t="s">
        <v>61</v>
      </c>
      <c r="C131" s="7">
        <v>8</v>
      </c>
      <c r="D131" s="7">
        <v>1</v>
      </c>
      <c r="E131" s="7">
        <v>15</v>
      </c>
      <c r="F131" s="6" t="s">
        <v>1213</v>
      </c>
      <c r="G131" s="6" t="s">
        <v>1219</v>
      </c>
    </row>
    <row r="132" ht="15" customHeight="1" spans="1:7" x14ac:dyDescent="0.25">
      <c r="A132" s="6" t="s">
        <v>1075</v>
      </c>
      <c r="B132" s="6" t="s">
        <v>61</v>
      </c>
      <c r="C132" s="7">
        <v>28</v>
      </c>
      <c r="D132" s="7">
        <v>1</v>
      </c>
      <c r="E132" s="7">
        <v>3</v>
      </c>
      <c r="F132" s="6" t="s">
        <v>1213</v>
      </c>
      <c r="G132" s="6" t="s">
        <v>1220</v>
      </c>
    </row>
    <row r="133" ht="15" customHeight="1" spans="1:7" x14ac:dyDescent="0.25">
      <c r="A133" s="6" t="s">
        <v>1077</v>
      </c>
      <c r="B133" s="6" t="s">
        <v>61</v>
      </c>
      <c r="C133" s="7">
        <v>28</v>
      </c>
      <c r="D133" s="7">
        <v>1</v>
      </c>
      <c r="E133" s="7">
        <v>5.4</v>
      </c>
      <c r="F133" s="6" t="s">
        <v>1213</v>
      </c>
      <c r="G133" s="6" t="s">
        <v>1221</v>
      </c>
    </row>
    <row r="134" ht="15" customHeight="1" spans="1:7" x14ac:dyDescent="0.25">
      <c r="A134" s="6" t="s">
        <v>1079</v>
      </c>
      <c r="B134" s="6" t="s">
        <v>61</v>
      </c>
      <c r="C134" s="7">
        <v>28</v>
      </c>
      <c r="D134" s="7">
        <v>1</v>
      </c>
      <c r="E134" s="7">
        <v>7.8</v>
      </c>
      <c r="F134" s="6" t="s">
        <v>1213</v>
      </c>
      <c r="G134" s="6" t="s">
        <v>1222</v>
      </c>
    </row>
    <row r="135" ht="15" customHeight="1" spans="1:7" x14ac:dyDescent="0.25">
      <c r="A135" s="6" t="s">
        <v>1081</v>
      </c>
      <c r="B135" s="6" t="s">
        <v>61</v>
      </c>
      <c r="C135" s="7">
        <v>28</v>
      </c>
      <c r="D135" s="7">
        <v>1</v>
      </c>
      <c r="E135" s="7">
        <v>10.2</v>
      </c>
      <c r="F135" s="6" t="s">
        <v>1213</v>
      </c>
      <c r="G135" s="6" t="s">
        <v>1223</v>
      </c>
    </row>
    <row r="136" ht="15" customHeight="1" spans="1:7" x14ac:dyDescent="0.25">
      <c r="A136" s="6" t="s">
        <v>1083</v>
      </c>
      <c r="B136" s="6" t="s">
        <v>61</v>
      </c>
      <c r="C136" s="7">
        <v>28</v>
      </c>
      <c r="D136" s="7">
        <v>1</v>
      </c>
      <c r="E136" s="7">
        <v>12.6</v>
      </c>
      <c r="F136" s="6" t="s">
        <v>1213</v>
      </c>
      <c r="G136" s="6" t="s">
        <v>1224</v>
      </c>
    </row>
    <row r="137" ht="15" customHeight="1" spans="1:7" x14ac:dyDescent="0.25">
      <c r="A137" s="6" t="s">
        <v>1085</v>
      </c>
      <c r="B137" s="6" t="s">
        <v>61</v>
      </c>
      <c r="C137" s="7">
        <v>28</v>
      </c>
      <c r="D137" s="7">
        <v>1</v>
      </c>
      <c r="E137" s="7">
        <v>15</v>
      </c>
      <c r="F137" s="6" t="s">
        <v>1213</v>
      </c>
      <c r="G137" s="6" t="s">
        <v>1225</v>
      </c>
    </row>
    <row r="138" ht="15" customHeight="1" spans="1:7" x14ac:dyDescent="0.25">
      <c r="A138" s="6" t="s">
        <v>1087</v>
      </c>
      <c r="B138" s="6" t="s">
        <v>61</v>
      </c>
      <c r="C138" s="7">
        <v>8</v>
      </c>
      <c r="D138" s="7">
        <v>1</v>
      </c>
      <c r="E138" s="7">
        <v>25</v>
      </c>
      <c r="F138" s="6" t="s">
        <v>1213</v>
      </c>
      <c r="G138" s="6" t="s">
        <v>1226</v>
      </c>
    </row>
    <row r="139" ht="15" customHeight="1" spans="1:7" x14ac:dyDescent="0.25">
      <c r="A139" s="6" t="s">
        <v>1089</v>
      </c>
      <c r="B139" s="6" t="s">
        <v>61</v>
      </c>
      <c r="C139" s="7">
        <v>8</v>
      </c>
      <c r="D139" s="7">
        <v>1</v>
      </c>
      <c r="E139" s="7">
        <v>27.4</v>
      </c>
      <c r="F139" s="6" t="s">
        <v>1213</v>
      </c>
      <c r="G139" s="6" t="s">
        <v>1227</v>
      </c>
    </row>
    <row r="140" ht="15" customHeight="1" spans="1:7" x14ac:dyDescent="0.25">
      <c r="A140" s="6" t="s">
        <v>1091</v>
      </c>
      <c r="B140" s="6" t="s">
        <v>61</v>
      </c>
      <c r="C140" s="7">
        <v>8</v>
      </c>
      <c r="D140" s="7">
        <v>1</v>
      </c>
      <c r="E140" s="7">
        <v>29.8</v>
      </c>
      <c r="F140" s="6" t="s">
        <v>1213</v>
      </c>
      <c r="G140" s="6" t="s">
        <v>1228</v>
      </c>
    </row>
    <row r="141" ht="15" customHeight="1" spans="1:7" x14ac:dyDescent="0.25">
      <c r="A141" s="6" t="s">
        <v>1093</v>
      </c>
      <c r="B141" s="6" t="s">
        <v>61</v>
      </c>
      <c r="C141" s="7">
        <v>8</v>
      </c>
      <c r="D141" s="7">
        <v>1</v>
      </c>
      <c r="E141" s="7">
        <v>32.2</v>
      </c>
      <c r="F141" s="6" t="s">
        <v>1213</v>
      </c>
      <c r="G141" s="6" t="s">
        <v>1229</v>
      </c>
    </row>
    <row r="142" ht="15" customHeight="1" spans="1:7" x14ac:dyDescent="0.25">
      <c r="A142" s="6" t="s">
        <v>1095</v>
      </c>
      <c r="B142" s="6" t="s">
        <v>61</v>
      </c>
      <c r="C142" s="7">
        <v>8</v>
      </c>
      <c r="D142" s="7">
        <v>1</v>
      </c>
      <c r="E142" s="7">
        <v>34.6</v>
      </c>
      <c r="F142" s="6" t="s">
        <v>1213</v>
      </c>
      <c r="G142" s="6" t="s">
        <v>1230</v>
      </c>
    </row>
    <row r="143" ht="15" customHeight="1" spans="1:7" x14ac:dyDescent="0.25">
      <c r="A143" s="6" t="s">
        <v>1097</v>
      </c>
      <c r="B143" s="6" t="s">
        <v>61</v>
      </c>
      <c r="C143" s="7">
        <v>8</v>
      </c>
      <c r="D143" s="7">
        <v>1</v>
      </c>
      <c r="E143" s="7">
        <v>37</v>
      </c>
      <c r="F143" s="6" t="s">
        <v>1213</v>
      </c>
      <c r="G143" s="6" t="s">
        <v>1231</v>
      </c>
    </row>
    <row r="144" ht="15" customHeight="1" spans="1:7" x14ac:dyDescent="0.25">
      <c r="A144" s="6" t="s">
        <v>1099</v>
      </c>
      <c r="B144" s="6" t="s">
        <v>61</v>
      </c>
      <c r="C144" s="7">
        <v>28</v>
      </c>
      <c r="D144" s="7">
        <v>1</v>
      </c>
      <c r="E144" s="7">
        <v>25</v>
      </c>
      <c r="F144" s="6" t="s">
        <v>1213</v>
      </c>
      <c r="G144" s="6" t="s">
        <v>1232</v>
      </c>
    </row>
    <row r="145" ht="15" customHeight="1" spans="1:7" x14ac:dyDescent="0.25">
      <c r="A145" s="6" t="s">
        <v>1101</v>
      </c>
      <c r="B145" s="6" t="s">
        <v>61</v>
      </c>
      <c r="C145" s="7">
        <v>28</v>
      </c>
      <c r="D145" s="7">
        <v>1</v>
      </c>
      <c r="E145" s="7">
        <v>27.4</v>
      </c>
      <c r="F145" s="6" t="s">
        <v>1213</v>
      </c>
      <c r="G145" s="6" t="s">
        <v>1233</v>
      </c>
    </row>
    <row r="146" ht="15" customHeight="1" spans="1:7" x14ac:dyDescent="0.25">
      <c r="A146" s="6" t="s">
        <v>1103</v>
      </c>
      <c r="B146" s="6" t="s">
        <v>61</v>
      </c>
      <c r="C146" s="7">
        <v>28</v>
      </c>
      <c r="D146" s="7">
        <v>1</v>
      </c>
      <c r="E146" s="7">
        <v>29.8</v>
      </c>
      <c r="F146" s="6" t="s">
        <v>1213</v>
      </c>
      <c r="G146" s="6" t="s">
        <v>1234</v>
      </c>
    </row>
    <row r="147" ht="15" customHeight="1" spans="1:7" x14ac:dyDescent="0.25">
      <c r="A147" s="6" t="s">
        <v>1105</v>
      </c>
      <c r="B147" s="6" t="s">
        <v>61</v>
      </c>
      <c r="C147" s="7">
        <v>28</v>
      </c>
      <c r="D147" s="7">
        <v>1</v>
      </c>
      <c r="E147" s="7">
        <v>32.2</v>
      </c>
      <c r="F147" s="6" t="s">
        <v>1213</v>
      </c>
      <c r="G147" s="6" t="s">
        <v>1235</v>
      </c>
    </row>
    <row r="148" ht="15" customHeight="1" spans="1:7" x14ac:dyDescent="0.25">
      <c r="A148" s="6" t="s">
        <v>1107</v>
      </c>
      <c r="B148" s="6" t="s">
        <v>61</v>
      </c>
      <c r="C148" s="7">
        <v>28</v>
      </c>
      <c r="D148" s="7">
        <v>1</v>
      </c>
      <c r="E148" s="7">
        <v>34.6</v>
      </c>
      <c r="F148" s="6" t="s">
        <v>1213</v>
      </c>
      <c r="G148" s="6" t="s">
        <v>1236</v>
      </c>
    </row>
    <row r="149" ht="15" customHeight="1" spans="1:7" x14ac:dyDescent="0.25">
      <c r="A149" s="6" t="s">
        <v>1109</v>
      </c>
      <c r="B149" s="6" t="s">
        <v>61</v>
      </c>
      <c r="C149" s="7">
        <v>28</v>
      </c>
      <c r="D149" s="7">
        <v>1</v>
      </c>
      <c r="E149" s="7">
        <v>37</v>
      </c>
      <c r="F149" s="6" t="s">
        <v>1213</v>
      </c>
      <c r="G149" s="6" t="s">
        <v>1237</v>
      </c>
    </row>
    <row r="151" ht="15" customHeight="1" spans="1:1" x14ac:dyDescent="0.25">
      <c r="A151" s="9" t="s">
        <v>1238</v>
      </c>
    </row>
    <row r="152" ht="15" customHeight="1" spans="1:1" x14ac:dyDescent="0.25">
      <c r="A152" s="9" t="s">
        <v>1239</v>
      </c>
    </row>
    <row r="153" ht="15" customHeight="1" spans="1:1" x14ac:dyDescent="0.25">
      <c r="A153" s="9" t="s">
        <v>1240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1241</v>
      </c>
      <c r="B1" s="5" t="s">
        <v>1242</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1061</v>
      </c>
      <c r="C126" s="6" t="s">
        <v>804</v>
      </c>
    </row>
    <row r="127" ht="15" customHeight="1" spans="1:3" x14ac:dyDescent="0.25">
      <c r="A127" s="6" t="s">
        <v>215</v>
      </c>
      <c r="B127" s="6" t="s">
        <v>1061</v>
      </c>
      <c r="C127" s="6" t="s">
        <v>804</v>
      </c>
    </row>
    <row r="128" ht="15" customHeight="1" spans="1:3" x14ac:dyDescent="0.25">
      <c r="A128" s="6" t="s">
        <v>1061</v>
      </c>
      <c r="B128" s="6" t="s">
        <v>204</v>
      </c>
      <c r="C128" s="6" t="s">
        <v>972</v>
      </c>
    </row>
    <row r="129" ht="15" customHeight="1" spans="1:3" x14ac:dyDescent="0.25">
      <c r="A129" s="6" t="s">
        <v>1061</v>
      </c>
      <c r="B129" s="6" t="s">
        <v>216</v>
      </c>
      <c r="C129" s="6" t="s">
        <v>972</v>
      </c>
    </row>
    <row r="130" ht="15" customHeight="1" spans="1:3" x14ac:dyDescent="0.25">
      <c r="A130" s="6" t="s">
        <v>228</v>
      </c>
      <c r="B130" s="6" t="s">
        <v>1065</v>
      </c>
      <c r="C130" s="6" t="s">
        <v>804</v>
      </c>
    </row>
    <row r="131" ht="15" customHeight="1" spans="1:3" x14ac:dyDescent="0.25">
      <c r="A131" s="6" t="s">
        <v>240</v>
      </c>
      <c r="B131" s="6" t="s">
        <v>1065</v>
      </c>
      <c r="C131" s="6" t="s">
        <v>804</v>
      </c>
    </row>
    <row r="132" ht="15" customHeight="1" spans="1:3" x14ac:dyDescent="0.25">
      <c r="A132" s="6" t="s">
        <v>1065</v>
      </c>
      <c r="B132" s="6" t="s">
        <v>229</v>
      </c>
      <c r="C132" s="6" t="s">
        <v>972</v>
      </c>
    </row>
    <row r="133" ht="15" customHeight="1" spans="1:3" x14ac:dyDescent="0.25">
      <c r="A133" s="6" t="s">
        <v>1065</v>
      </c>
      <c r="B133" s="6" t="s">
        <v>241</v>
      </c>
      <c r="C133" s="6" t="s">
        <v>972</v>
      </c>
    </row>
    <row r="134" ht="15" customHeight="1" spans="1:3" x14ac:dyDescent="0.25">
      <c r="A134" s="6" t="s">
        <v>253</v>
      </c>
      <c r="B134" s="6" t="s">
        <v>1067</v>
      </c>
      <c r="C134" s="6" t="s">
        <v>804</v>
      </c>
    </row>
    <row r="135" ht="15" customHeight="1" spans="1:3" x14ac:dyDescent="0.25">
      <c r="A135" s="6" t="s">
        <v>265</v>
      </c>
      <c r="B135" s="6" t="s">
        <v>1067</v>
      </c>
      <c r="C135" s="6" t="s">
        <v>804</v>
      </c>
    </row>
    <row r="136" ht="15" customHeight="1" spans="1:3" x14ac:dyDescent="0.25">
      <c r="A136" s="6" t="s">
        <v>1067</v>
      </c>
      <c r="B136" s="6" t="s">
        <v>254</v>
      </c>
      <c r="C136" s="6" t="s">
        <v>972</v>
      </c>
    </row>
    <row r="137" ht="15" customHeight="1" spans="1:3" x14ac:dyDescent="0.25">
      <c r="A137" s="6" t="s">
        <v>1067</v>
      </c>
      <c r="B137" s="6" t="s">
        <v>266</v>
      </c>
      <c r="C137" s="6" t="s">
        <v>972</v>
      </c>
    </row>
    <row r="138" ht="15" customHeight="1" spans="1:3" x14ac:dyDescent="0.25">
      <c r="A138" s="6" t="s">
        <v>279</v>
      </c>
      <c r="B138" s="6" t="s">
        <v>1069</v>
      </c>
      <c r="C138" s="6" t="s">
        <v>804</v>
      </c>
    </row>
    <row r="139" ht="15" customHeight="1" spans="1:3" x14ac:dyDescent="0.25">
      <c r="A139" s="6" t="s">
        <v>291</v>
      </c>
      <c r="B139" s="6" t="s">
        <v>1069</v>
      </c>
      <c r="C139" s="6" t="s">
        <v>804</v>
      </c>
    </row>
    <row r="140" ht="15" customHeight="1" spans="1:3" x14ac:dyDescent="0.25">
      <c r="A140" s="6" t="s">
        <v>1069</v>
      </c>
      <c r="B140" s="6" t="s">
        <v>280</v>
      </c>
      <c r="C140" s="6" t="s">
        <v>972</v>
      </c>
    </row>
    <row r="141" ht="15" customHeight="1" spans="1:3" x14ac:dyDescent="0.25">
      <c r="A141" s="6" t="s">
        <v>1069</v>
      </c>
      <c r="B141" s="6" t="s">
        <v>292</v>
      </c>
      <c r="C141" s="6" t="s">
        <v>972</v>
      </c>
    </row>
    <row r="142" ht="15" customHeight="1" spans="1:3" x14ac:dyDescent="0.25">
      <c r="A142" s="6" t="s">
        <v>304</v>
      </c>
      <c r="B142" s="6" t="s">
        <v>1071</v>
      </c>
      <c r="C142" s="6" t="s">
        <v>804</v>
      </c>
    </row>
    <row r="143" ht="15" customHeight="1" spans="1:3" x14ac:dyDescent="0.25">
      <c r="A143" s="6" t="s">
        <v>316</v>
      </c>
      <c r="B143" s="6" t="s">
        <v>1071</v>
      </c>
      <c r="C143" s="6" t="s">
        <v>804</v>
      </c>
    </row>
    <row r="144" ht="15" customHeight="1" spans="1:3" x14ac:dyDescent="0.25">
      <c r="A144" s="6" t="s">
        <v>1071</v>
      </c>
      <c r="B144" s="6" t="s">
        <v>305</v>
      </c>
      <c r="C144" s="6" t="s">
        <v>972</v>
      </c>
    </row>
    <row r="145" ht="15" customHeight="1" spans="1:3" x14ac:dyDescent="0.25">
      <c r="A145" s="6" t="s">
        <v>1071</v>
      </c>
      <c r="B145" s="6" t="s">
        <v>317</v>
      </c>
      <c r="C145" s="6" t="s">
        <v>972</v>
      </c>
    </row>
    <row r="146" ht="15" customHeight="1" spans="1:3" x14ac:dyDescent="0.25">
      <c r="A146" s="6" t="s">
        <v>329</v>
      </c>
      <c r="B146" s="6" t="s">
        <v>1073</v>
      </c>
      <c r="C146" s="6" t="s">
        <v>804</v>
      </c>
    </row>
    <row r="147" ht="15" customHeight="1" spans="1:3" x14ac:dyDescent="0.25">
      <c r="A147" s="6" t="s">
        <v>341</v>
      </c>
      <c r="B147" s="6" t="s">
        <v>1073</v>
      </c>
      <c r="C147" s="6" t="s">
        <v>804</v>
      </c>
    </row>
    <row r="148" ht="15" customHeight="1" spans="1:3" x14ac:dyDescent="0.25">
      <c r="A148" s="6" t="s">
        <v>1073</v>
      </c>
      <c r="B148" s="6" t="s">
        <v>330</v>
      </c>
      <c r="C148" s="6" t="s">
        <v>972</v>
      </c>
    </row>
    <row r="149" ht="15" customHeight="1" spans="1:3" x14ac:dyDescent="0.25">
      <c r="A149" s="6" t="s">
        <v>1073</v>
      </c>
      <c r="B149" s="6" t="s">
        <v>342</v>
      </c>
      <c r="C149" s="6" t="s">
        <v>972</v>
      </c>
    </row>
    <row r="150" ht="15" customHeight="1" spans="1:3" x14ac:dyDescent="0.25">
      <c r="A150" s="6" t="s">
        <v>353</v>
      </c>
      <c r="B150" s="6" t="s">
        <v>1075</v>
      </c>
      <c r="C150" s="6" t="s">
        <v>804</v>
      </c>
    </row>
    <row r="151" ht="15" customHeight="1" spans="1:3" x14ac:dyDescent="0.25">
      <c r="A151" s="6" t="s">
        <v>365</v>
      </c>
      <c r="B151" s="6" t="s">
        <v>1075</v>
      </c>
      <c r="C151" s="6" t="s">
        <v>804</v>
      </c>
    </row>
    <row r="152" ht="15" customHeight="1" spans="1:3" x14ac:dyDescent="0.25">
      <c r="A152" s="6" t="s">
        <v>1075</v>
      </c>
      <c r="B152" s="6" t="s">
        <v>354</v>
      </c>
      <c r="C152" s="6" t="s">
        <v>972</v>
      </c>
    </row>
    <row r="153" ht="15" customHeight="1" spans="1:3" x14ac:dyDescent="0.25">
      <c r="A153" s="6" t="s">
        <v>1075</v>
      </c>
      <c r="B153" s="6" t="s">
        <v>366</v>
      </c>
      <c r="C153" s="6" t="s">
        <v>972</v>
      </c>
    </row>
    <row r="154" ht="15" customHeight="1" spans="1:3" x14ac:dyDescent="0.25">
      <c r="A154" s="6" t="s">
        <v>377</v>
      </c>
      <c r="B154" s="6" t="s">
        <v>1077</v>
      </c>
      <c r="C154" s="6" t="s">
        <v>804</v>
      </c>
    </row>
    <row r="155" ht="15" customHeight="1" spans="1:3" x14ac:dyDescent="0.25">
      <c r="A155" s="6" t="s">
        <v>389</v>
      </c>
      <c r="B155" s="6" t="s">
        <v>1077</v>
      </c>
      <c r="C155" s="6" t="s">
        <v>804</v>
      </c>
    </row>
    <row r="156" ht="15" customHeight="1" spans="1:3" x14ac:dyDescent="0.25">
      <c r="A156" s="6" t="s">
        <v>1077</v>
      </c>
      <c r="B156" s="6" t="s">
        <v>378</v>
      </c>
      <c r="C156" s="6" t="s">
        <v>972</v>
      </c>
    </row>
    <row r="157" ht="15" customHeight="1" spans="1:3" x14ac:dyDescent="0.25">
      <c r="A157" s="6" t="s">
        <v>1077</v>
      </c>
      <c r="B157" s="6" t="s">
        <v>390</v>
      </c>
      <c r="C157" s="6" t="s">
        <v>972</v>
      </c>
    </row>
    <row r="158" ht="15" customHeight="1" spans="1:3" x14ac:dyDescent="0.25">
      <c r="A158" s="6" t="s">
        <v>401</v>
      </c>
      <c r="B158" s="6" t="s">
        <v>1079</v>
      </c>
      <c r="C158" s="6" t="s">
        <v>804</v>
      </c>
    </row>
    <row r="159" ht="15" customHeight="1" spans="1:3" x14ac:dyDescent="0.25">
      <c r="A159" s="6" t="s">
        <v>413</v>
      </c>
      <c r="B159" s="6" t="s">
        <v>1079</v>
      </c>
      <c r="C159" s="6" t="s">
        <v>804</v>
      </c>
    </row>
    <row r="160" ht="15" customHeight="1" spans="1:3" x14ac:dyDescent="0.25">
      <c r="A160" s="6" t="s">
        <v>1079</v>
      </c>
      <c r="B160" s="6" t="s">
        <v>402</v>
      </c>
      <c r="C160" s="6" t="s">
        <v>972</v>
      </c>
    </row>
    <row r="161" ht="15" customHeight="1" spans="1:3" x14ac:dyDescent="0.25">
      <c r="A161" s="6" t="s">
        <v>1079</v>
      </c>
      <c r="B161" s="6" t="s">
        <v>414</v>
      </c>
      <c r="C161" s="6" t="s">
        <v>972</v>
      </c>
    </row>
    <row r="162" ht="15" customHeight="1" spans="1:3" x14ac:dyDescent="0.25">
      <c r="A162" s="6" t="s">
        <v>425</v>
      </c>
      <c r="B162" s="6" t="s">
        <v>1081</v>
      </c>
      <c r="C162" s="6" t="s">
        <v>804</v>
      </c>
    </row>
    <row r="163" ht="15" customHeight="1" spans="1:3" x14ac:dyDescent="0.25">
      <c r="A163" s="6" t="s">
        <v>437</v>
      </c>
      <c r="B163" s="6" t="s">
        <v>1081</v>
      </c>
      <c r="C163" s="6" t="s">
        <v>804</v>
      </c>
    </row>
    <row r="164" ht="15" customHeight="1" spans="1:3" x14ac:dyDescent="0.25">
      <c r="A164" s="6" t="s">
        <v>1081</v>
      </c>
      <c r="B164" s="6" t="s">
        <v>426</v>
      </c>
      <c r="C164" s="6" t="s">
        <v>972</v>
      </c>
    </row>
    <row r="165" ht="15" customHeight="1" spans="1:3" x14ac:dyDescent="0.25">
      <c r="A165" s="6" t="s">
        <v>1081</v>
      </c>
      <c r="B165" s="6" t="s">
        <v>438</v>
      </c>
      <c r="C165" s="6" t="s">
        <v>972</v>
      </c>
    </row>
    <row r="166" ht="15" customHeight="1" spans="1:3" x14ac:dyDescent="0.25">
      <c r="A166" s="6" t="s">
        <v>450</v>
      </c>
      <c r="B166" s="6" t="s">
        <v>1083</v>
      </c>
      <c r="C166" s="6" t="s">
        <v>804</v>
      </c>
    </row>
    <row r="167" ht="15" customHeight="1" spans="1:3" x14ac:dyDescent="0.25">
      <c r="A167" s="6" t="s">
        <v>462</v>
      </c>
      <c r="B167" s="6" t="s">
        <v>1083</v>
      </c>
      <c r="C167" s="6" t="s">
        <v>804</v>
      </c>
    </row>
    <row r="168" ht="15" customHeight="1" spans="1:3" x14ac:dyDescent="0.25">
      <c r="A168" s="6" t="s">
        <v>1083</v>
      </c>
      <c r="B168" s="6" t="s">
        <v>451</v>
      </c>
      <c r="C168" s="6" t="s">
        <v>972</v>
      </c>
    </row>
    <row r="169" ht="15" customHeight="1" spans="1:3" x14ac:dyDescent="0.25">
      <c r="A169" s="6" t="s">
        <v>1083</v>
      </c>
      <c r="B169" s="6" t="s">
        <v>463</v>
      </c>
      <c r="C169" s="6" t="s">
        <v>972</v>
      </c>
    </row>
    <row r="170" ht="15" customHeight="1" spans="1:3" x14ac:dyDescent="0.25">
      <c r="A170" s="6" t="s">
        <v>474</v>
      </c>
      <c r="B170" s="6" t="s">
        <v>1085</v>
      </c>
      <c r="C170" s="6" t="s">
        <v>804</v>
      </c>
    </row>
    <row r="171" ht="15" customHeight="1" spans="1:3" x14ac:dyDescent="0.25">
      <c r="A171" s="6" t="s">
        <v>486</v>
      </c>
      <c r="B171" s="6" t="s">
        <v>1085</v>
      </c>
      <c r="C171" s="6" t="s">
        <v>804</v>
      </c>
    </row>
    <row r="172" ht="15" customHeight="1" spans="1:3" x14ac:dyDescent="0.25">
      <c r="A172" s="6" t="s">
        <v>1085</v>
      </c>
      <c r="B172" s="6" t="s">
        <v>475</v>
      </c>
      <c r="C172" s="6" t="s">
        <v>972</v>
      </c>
    </row>
    <row r="173" ht="15" customHeight="1" spans="1:3" x14ac:dyDescent="0.25">
      <c r="A173" s="6" t="s">
        <v>1085</v>
      </c>
      <c r="B173" s="6" t="s">
        <v>487</v>
      </c>
      <c r="C173" s="6" t="s">
        <v>972</v>
      </c>
    </row>
    <row r="174" ht="15" customHeight="1" spans="1:3" x14ac:dyDescent="0.25">
      <c r="A174" s="6" t="s">
        <v>498</v>
      </c>
      <c r="B174" s="6" t="s">
        <v>1087</v>
      </c>
      <c r="C174" s="6" t="s">
        <v>804</v>
      </c>
    </row>
    <row r="175" ht="15" customHeight="1" spans="1:3" x14ac:dyDescent="0.25">
      <c r="A175" s="6" t="s">
        <v>510</v>
      </c>
      <c r="B175" s="6" t="s">
        <v>1087</v>
      </c>
      <c r="C175" s="6" t="s">
        <v>804</v>
      </c>
    </row>
    <row r="176" ht="15" customHeight="1" spans="1:3" x14ac:dyDescent="0.25">
      <c r="A176" s="6" t="s">
        <v>1087</v>
      </c>
      <c r="B176" s="6" t="s">
        <v>499</v>
      </c>
      <c r="C176" s="6" t="s">
        <v>972</v>
      </c>
    </row>
    <row r="177" ht="15" customHeight="1" spans="1:3" x14ac:dyDescent="0.25">
      <c r="A177" s="6" t="s">
        <v>1087</v>
      </c>
      <c r="B177" s="6" t="s">
        <v>511</v>
      </c>
      <c r="C177" s="6" t="s">
        <v>972</v>
      </c>
    </row>
    <row r="178" ht="15" customHeight="1" spans="1:3" x14ac:dyDescent="0.25">
      <c r="A178" s="6" t="s">
        <v>522</v>
      </c>
      <c r="B178" s="6" t="s">
        <v>1089</v>
      </c>
      <c r="C178" s="6" t="s">
        <v>804</v>
      </c>
    </row>
    <row r="179" ht="15" customHeight="1" spans="1:3" x14ac:dyDescent="0.25">
      <c r="A179" s="6" t="s">
        <v>534</v>
      </c>
      <c r="B179" s="6" t="s">
        <v>1089</v>
      </c>
      <c r="C179" s="6" t="s">
        <v>804</v>
      </c>
    </row>
    <row r="180" ht="15" customHeight="1" spans="1:3" x14ac:dyDescent="0.25">
      <c r="A180" s="6" t="s">
        <v>1089</v>
      </c>
      <c r="B180" s="6" t="s">
        <v>523</v>
      </c>
      <c r="C180" s="6" t="s">
        <v>972</v>
      </c>
    </row>
    <row r="181" ht="15" customHeight="1" spans="1:3" x14ac:dyDescent="0.25">
      <c r="A181" s="6" t="s">
        <v>1089</v>
      </c>
      <c r="B181" s="6" t="s">
        <v>535</v>
      </c>
      <c r="C181" s="6" t="s">
        <v>972</v>
      </c>
    </row>
    <row r="182" ht="15" customHeight="1" spans="1:3" x14ac:dyDescent="0.25">
      <c r="A182" s="6" t="s">
        <v>546</v>
      </c>
      <c r="B182" s="6" t="s">
        <v>1091</v>
      </c>
      <c r="C182" s="6" t="s">
        <v>804</v>
      </c>
    </row>
    <row r="183" ht="15" customHeight="1" spans="1:3" x14ac:dyDescent="0.25">
      <c r="A183" s="6" t="s">
        <v>558</v>
      </c>
      <c r="B183" s="6" t="s">
        <v>1091</v>
      </c>
      <c r="C183" s="6" t="s">
        <v>804</v>
      </c>
    </row>
    <row r="184" ht="15" customHeight="1" spans="1:3" x14ac:dyDescent="0.25">
      <c r="A184" s="6" t="s">
        <v>1091</v>
      </c>
      <c r="B184" s="6" t="s">
        <v>547</v>
      </c>
      <c r="C184" s="6" t="s">
        <v>972</v>
      </c>
    </row>
    <row r="185" ht="15" customHeight="1" spans="1:3" x14ac:dyDescent="0.25">
      <c r="A185" s="6" t="s">
        <v>1091</v>
      </c>
      <c r="B185" s="6" t="s">
        <v>559</v>
      </c>
      <c r="C185" s="6" t="s">
        <v>972</v>
      </c>
    </row>
    <row r="186" ht="15" customHeight="1" spans="1:3" x14ac:dyDescent="0.25">
      <c r="A186" s="6" t="s">
        <v>570</v>
      </c>
      <c r="B186" s="6" t="s">
        <v>1093</v>
      </c>
      <c r="C186" s="6" t="s">
        <v>804</v>
      </c>
    </row>
    <row r="187" ht="15" customHeight="1" spans="1:3" x14ac:dyDescent="0.25">
      <c r="A187" s="6" t="s">
        <v>582</v>
      </c>
      <c r="B187" s="6" t="s">
        <v>1093</v>
      </c>
      <c r="C187" s="6" t="s">
        <v>804</v>
      </c>
    </row>
    <row r="188" ht="15" customHeight="1" spans="1:3" x14ac:dyDescent="0.25">
      <c r="A188" s="6" t="s">
        <v>1093</v>
      </c>
      <c r="B188" s="6" t="s">
        <v>571</v>
      </c>
      <c r="C188" s="6" t="s">
        <v>972</v>
      </c>
    </row>
    <row r="189" ht="15" customHeight="1" spans="1:3" x14ac:dyDescent="0.25">
      <c r="A189" s="6" t="s">
        <v>1093</v>
      </c>
      <c r="B189" s="6" t="s">
        <v>583</v>
      </c>
      <c r="C189" s="6" t="s">
        <v>972</v>
      </c>
    </row>
    <row r="190" ht="15" customHeight="1" spans="1:3" x14ac:dyDescent="0.25">
      <c r="A190" s="6" t="s">
        <v>594</v>
      </c>
      <c r="B190" s="6" t="s">
        <v>1095</v>
      </c>
      <c r="C190" s="6" t="s">
        <v>804</v>
      </c>
    </row>
    <row r="191" ht="15" customHeight="1" spans="1:3" x14ac:dyDescent="0.25">
      <c r="A191" s="6" t="s">
        <v>606</v>
      </c>
      <c r="B191" s="6" t="s">
        <v>1095</v>
      </c>
      <c r="C191" s="6" t="s">
        <v>804</v>
      </c>
    </row>
    <row r="192" ht="15" customHeight="1" spans="1:3" x14ac:dyDescent="0.25">
      <c r="A192" s="6" t="s">
        <v>1095</v>
      </c>
      <c r="B192" s="6" t="s">
        <v>595</v>
      </c>
      <c r="C192" s="6" t="s">
        <v>972</v>
      </c>
    </row>
    <row r="193" ht="15" customHeight="1" spans="1:3" x14ac:dyDescent="0.25">
      <c r="A193" s="6" t="s">
        <v>1095</v>
      </c>
      <c r="B193" s="6" t="s">
        <v>607</v>
      </c>
      <c r="C193" s="6" t="s">
        <v>972</v>
      </c>
    </row>
    <row r="194" ht="15" customHeight="1" spans="1:3" x14ac:dyDescent="0.25">
      <c r="A194" s="6" t="s">
        <v>618</v>
      </c>
      <c r="B194" s="6" t="s">
        <v>1097</v>
      </c>
      <c r="C194" s="6" t="s">
        <v>804</v>
      </c>
    </row>
    <row r="195" ht="15" customHeight="1" spans="1:3" x14ac:dyDescent="0.25">
      <c r="A195" s="6" t="s">
        <v>630</v>
      </c>
      <c r="B195" s="6" t="s">
        <v>1097</v>
      </c>
      <c r="C195" s="6" t="s">
        <v>804</v>
      </c>
    </row>
    <row r="196" ht="15" customHeight="1" spans="1:3" x14ac:dyDescent="0.25">
      <c r="A196" s="6" t="s">
        <v>1097</v>
      </c>
      <c r="B196" s="6" t="s">
        <v>619</v>
      </c>
      <c r="C196" s="6" t="s">
        <v>972</v>
      </c>
    </row>
    <row r="197" ht="15" customHeight="1" spans="1:3" x14ac:dyDescent="0.25">
      <c r="A197" s="6" t="s">
        <v>1097</v>
      </c>
      <c r="B197" s="6" t="s">
        <v>631</v>
      </c>
      <c r="C197" s="6" t="s">
        <v>972</v>
      </c>
    </row>
    <row r="198" ht="15" customHeight="1" spans="1:3" x14ac:dyDescent="0.25">
      <c r="A198" s="6" t="s">
        <v>642</v>
      </c>
      <c r="B198" s="6" t="s">
        <v>1099</v>
      </c>
      <c r="C198" s="6" t="s">
        <v>804</v>
      </c>
    </row>
    <row r="199" ht="15" customHeight="1" spans="1:3" x14ac:dyDescent="0.25">
      <c r="A199" s="6" t="s">
        <v>654</v>
      </c>
      <c r="B199" s="6" t="s">
        <v>1099</v>
      </c>
      <c r="C199" s="6" t="s">
        <v>804</v>
      </c>
    </row>
    <row r="200" ht="15" customHeight="1" spans="1:3" x14ac:dyDescent="0.25">
      <c r="A200" s="6" t="s">
        <v>1099</v>
      </c>
      <c r="B200" s="6" t="s">
        <v>643</v>
      </c>
      <c r="C200" s="6" t="s">
        <v>972</v>
      </c>
    </row>
    <row r="201" ht="15" customHeight="1" spans="1:3" x14ac:dyDescent="0.25">
      <c r="A201" s="6" t="s">
        <v>1099</v>
      </c>
      <c r="B201" s="6" t="s">
        <v>655</v>
      </c>
      <c r="C201" s="6" t="s">
        <v>972</v>
      </c>
    </row>
    <row r="202" ht="15" customHeight="1" spans="1:3" x14ac:dyDescent="0.25">
      <c r="A202" s="6" t="s">
        <v>666</v>
      </c>
      <c r="B202" s="6" t="s">
        <v>1101</v>
      </c>
      <c r="C202" s="6" t="s">
        <v>804</v>
      </c>
    </row>
    <row r="203" ht="15" customHeight="1" spans="1:3" x14ac:dyDescent="0.25">
      <c r="A203" s="6" t="s">
        <v>678</v>
      </c>
      <c r="B203" s="6" t="s">
        <v>1101</v>
      </c>
      <c r="C203" s="6" t="s">
        <v>804</v>
      </c>
    </row>
    <row r="204" ht="15" customHeight="1" spans="1:3" x14ac:dyDescent="0.25">
      <c r="A204" s="6" t="s">
        <v>1101</v>
      </c>
      <c r="B204" s="6" t="s">
        <v>667</v>
      </c>
      <c r="C204" s="6" t="s">
        <v>972</v>
      </c>
    </row>
    <row r="205" ht="15" customHeight="1" spans="1:3" x14ac:dyDescent="0.25">
      <c r="A205" s="6" t="s">
        <v>1101</v>
      </c>
      <c r="B205" s="6" t="s">
        <v>679</v>
      </c>
      <c r="C205" s="6" t="s">
        <v>972</v>
      </c>
    </row>
    <row r="206" ht="15" customHeight="1" spans="1:3" x14ac:dyDescent="0.25">
      <c r="A206" s="6" t="s">
        <v>690</v>
      </c>
      <c r="B206" s="6" t="s">
        <v>1103</v>
      </c>
      <c r="C206" s="6" t="s">
        <v>804</v>
      </c>
    </row>
    <row r="207" ht="15" customHeight="1" spans="1:3" x14ac:dyDescent="0.25">
      <c r="A207" s="6" t="s">
        <v>702</v>
      </c>
      <c r="B207" s="6" t="s">
        <v>1103</v>
      </c>
      <c r="C207" s="6" t="s">
        <v>804</v>
      </c>
    </row>
    <row r="208" ht="15" customHeight="1" spans="1:3" x14ac:dyDescent="0.25">
      <c r="A208" s="6" t="s">
        <v>1103</v>
      </c>
      <c r="B208" s="6" t="s">
        <v>691</v>
      </c>
      <c r="C208" s="6" t="s">
        <v>972</v>
      </c>
    </row>
    <row r="209" ht="15" customHeight="1" spans="1:3" x14ac:dyDescent="0.25">
      <c r="A209" s="6" t="s">
        <v>1103</v>
      </c>
      <c r="B209" s="6" t="s">
        <v>703</v>
      </c>
      <c r="C209" s="6" t="s">
        <v>972</v>
      </c>
    </row>
    <row r="210" ht="15" customHeight="1" spans="1:3" x14ac:dyDescent="0.25">
      <c r="A210" s="6" t="s">
        <v>714</v>
      </c>
      <c r="B210" s="6" t="s">
        <v>1105</v>
      </c>
      <c r="C210" s="6" t="s">
        <v>804</v>
      </c>
    </row>
    <row r="211" ht="15" customHeight="1" spans="1:3" x14ac:dyDescent="0.25">
      <c r="A211" s="6" t="s">
        <v>726</v>
      </c>
      <c r="B211" s="6" t="s">
        <v>1105</v>
      </c>
      <c r="C211" s="6" t="s">
        <v>804</v>
      </c>
    </row>
    <row r="212" ht="15" customHeight="1" spans="1:3" x14ac:dyDescent="0.25">
      <c r="A212" s="6" t="s">
        <v>1105</v>
      </c>
      <c r="B212" s="6" t="s">
        <v>715</v>
      </c>
      <c r="C212" s="6" t="s">
        <v>972</v>
      </c>
    </row>
    <row r="213" ht="15" customHeight="1" spans="1:3" x14ac:dyDescent="0.25">
      <c r="A213" s="6" t="s">
        <v>1105</v>
      </c>
      <c r="B213" s="6" t="s">
        <v>727</v>
      </c>
      <c r="C213" s="6" t="s">
        <v>972</v>
      </c>
    </row>
    <row r="214" ht="15" customHeight="1" spans="1:3" x14ac:dyDescent="0.25">
      <c r="A214" s="6" t="s">
        <v>738</v>
      </c>
      <c r="B214" s="6" t="s">
        <v>1107</v>
      </c>
      <c r="C214" s="6" t="s">
        <v>804</v>
      </c>
    </row>
    <row r="215" ht="15" customHeight="1" spans="1:3" x14ac:dyDescent="0.25">
      <c r="A215" s="6" t="s">
        <v>750</v>
      </c>
      <c r="B215" s="6" t="s">
        <v>1107</v>
      </c>
      <c r="C215" s="6" t="s">
        <v>804</v>
      </c>
    </row>
    <row r="216" ht="15" customHeight="1" spans="1:3" x14ac:dyDescent="0.25">
      <c r="A216" s="6" t="s">
        <v>1107</v>
      </c>
      <c r="B216" s="6" t="s">
        <v>739</v>
      </c>
      <c r="C216" s="6" t="s">
        <v>972</v>
      </c>
    </row>
    <row r="217" ht="15" customHeight="1" spans="1:3" x14ac:dyDescent="0.25">
      <c r="A217" s="6" t="s">
        <v>1107</v>
      </c>
      <c r="B217" s="6" t="s">
        <v>751</v>
      </c>
      <c r="C217" s="6" t="s">
        <v>972</v>
      </c>
    </row>
    <row r="218" ht="15" customHeight="1" spans="1:3" x14ac:dyDescent="0.25">
      <c r="A218" s="6" t="s">
        <v>762</v>
      </c>
      <c r="B218" s="6" t="s">
        <v>1109</v>
      </c>
      <c r="C218" s="6" t="s">
        <v>804</v>
      </c>
    </row>
    <row r="219" ht="15" customHeight="1" spans="1:3" x14ac:dyDescent="0.25">
      <c r="A219" s="6" t="s">
        <v>774</v>
      </c>
      <c r="B219" s="6" t="s">
        <v>1109</v>
      </c>
      <c r="C219" s="6" t="s">
        <v>804</v>
      </c>
    </row>
    <row r="220" ht="15" customHeight="1" spans="1:3" x14ac:dyDescent="0.25">
      <c r="A220" s="6" t="s">
        <v>1109</v>
      </c>
      <c r="B220" s="6" t="s">
        <v>763</v>
      </c>
      <c r="C220" s="6" t="s">
        <v>972</v>
      </c>
    </row>
    <row r="221" ht="15" customHeight="1" spans="1:3" x14ac:dyDescent="0.25">
      <c r="A221" s="6" t="s">
        <v>1109</v>
      </c>
      <c r="B221" s="6" t="s">
        <v>775</v>
      </c>
      <c r="C221" s="6" t="s">
        <v>972</v>
      </c>
    </row>
    <row r="223" ht="15" customHeight="1" spans="1:1" x14ac:dyDescent="0.25">
      <c r="A223" s="9" t="s">
        <v>1243</v>
      </c>
    </row>
    <row r="224" ht="15" customHeight="1" spans="1:1" x14ac:dyDescent="0.25">
      <c r="A224" s="9" t="s">
        <v>1244</v>
      </c>
    </row>
    <row r="225" ht="15" customHeight="1" spans="1:1" x14ac:dyDescent="0.25">
      <c r="A225" s="9" t="s">
        <v>1245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1246</v>
      </c>
      <c r="C1" s="5" t="s">
        <v>1247</v>
      </c>
      <c r="D1" s="5" t="s">
        <v>1248</v>
      </c>
      <c r="E1" s="5" t="s">
        <v>800</v>
      </c>
      <c r="F1" s="5" t="s">
        <v>1249</v>
      </c>
    </row>
    <row r="2" ht="15" customHeight="1" spans="1:6" x14ac:dyDescent="0.25">
      <c r="A2" s="6" t="s">
        <v>353</v>
      </c>
      <c r="B2" s="6" t="s">
        <v>1250</v>
      </c>
      <c r="C2" s="6">
        <v>800</v>
      </c>
      <c r="D2" s="6">
        <v>14</v>
      </c>
      <c r="E2" s="6">
        <v>10</v>
      </c>
      <c r="F2" s="6" t="s">
        <v>1251</v>
      </c>
    </row>
    <row r="3" ht="15" customHeight="1" spans="1:6" x14ac:dyDescent="0.25">
      <c r="A3" s="6" t="s">
        <v>365</v>
      </c>
      <c r="B3" s="6" t="s">
        <v>1250</v>
      </c>
      <c r="C3" s="6">
        <v>800</v>
      </c>
      <c r="D3" s="6">
        <v>14</v>
      </c>
      <c r="E3" s="6">
        <v>10</v>
      </c>
      <c r="F3" s="6" t="s">
        <v>1251</v>
      </c>
    </row>
    <row r="4" ht="15" customHeight="1" spans="1:6" x14ac:dyDescent="0.25">
      <c r="A4" s="6" t="s">
        <v>882</v>
      </c>
      <c r="B4" s="6" t="s">
        <v>1252</v>
      </c>
      <c r="C4" s="8">
        <v>2500</v>
      </c>
      <c r="D4" s="6">
        <v>45</v>
      </c>
      <c r="E4" s="6">
        <v>14</v>
      </c>
      <c r="F4" s="6" t="s">
        <v>1251</v>
      </c>
    </row>
    <row r="5" ht="15" customHeight="1" spans="1:6" x14ac:dyDescent="0.25">
      <c r="A5" s="6" t="s">
        <v>354</v>
      </c>
      <c r="B5" s="6" t="s">
        <v>1253</v>
      </c>
      <c r="C5" s="6">
        <v>600</v>
      </c>
      <c r="D5" s="6">
        <v>40</v>
      </c>
      <c r="E5" s="6">
        <v>8</v>
      </c>
      <c r="F5" s="6" t="s">
        <v>1251</v>
      </c>
    </row>
    <row r="6" ht="15" customHeight="1" spans="1:6" x14ac:dyDescent="0.25">
      <c r="A6" s="6" t="s">
        <v>366</v>
      </c>
      <c r="B6" s="6" t="s">
        <v>1253</v>
      </c>
      <c r="C6" s="6">
        <v>600</v>
      </c>
      <c r="D6" s="6">
        <v>40</v>
      </c>
      <c r="E6" s="6">
        <v>8</v>
      </c>
      <c r="F6" s="6" t="s">
        <v>1251</v>
      </c>
    </row>
    <row r="7" ht="15" customHeight="1" spans="1:6" x14ac:dyDescent="0.25">
      <c r="A7" s="6" t="s">
        <v>830</v>
      </c>
      <c r="B7" s="6" t="s">
        <v>1254</v>
      </c>
      <c r="C7" s="8">
        <v>3000</v>
      </c>
      <c r="D7" s="6">
        <v>97</v>
      </c>
      <c r="E7" s="6">
        <v>16</v>
      </c>
      <c r="F7" s="6" t="s">
        <v>1251</v>
      </c>
    </row>
    <row r="9" ht="15" customHeight="1" spans="1:1" x14ac:dyDescent="0.25">
      <c r="A9" s="9" t="s">
        <v>1255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1256</v>
      </c>
      <c r="E1" s="5" t="s">
        <v>792</v>
      </c>
      <c r="F1" s="5" t="s">
        <v>795</v>
      </c>
      <c r="G1" s="5" t="s">
        <v>1257</v>
      </c>
      <c r="H1" s="5" t="s">
        <v>1258</v>
      </c>
      <c r="I1" s="5" t="s">
        <v>1259</v>
      </c>
      <c r="J1" s="5" t="s">
        <v>1260</v>
      </c>
      <c r="K1" s="5" t="s">
        <v>50</v>
      </c>
    </row>
    <row r="2" ht="15" customHeight="1" spans="1:11" x14ac:dyDescent="0.25">
      <c r="A2" s="6" t="s">
        <v>353</v>
      </c>
      <c r="B2" s="6" t="s">
        <v>885</v>
      </c>
      <c r="C2" s="6" t="s">
        <v>804</v>
      </c>
      <c r="D2" s="6">
        <v>1</v>
      </c>
      <c r="E2" s="6">
        <v>400</v>
      </c>
      <c r="F2" s="7">
        <v>320</v>
      </c>
      <c r="G2" s="7">
        <v>100</v>
      </c>
      <c r="H2" s="7">
        <v>600</v>
      </c>
      <c r="I2" s="7">
        <v>31.2</v>
      </c>
      <c r="J2" s="7">
        <v>187.5</v>
      </c>
      <c r="K2" s="6" t="s">
        <v>1261</v>
      </c>
    </row>
    <row r="3" ht="15" customHeight="1" spans="1:11" x14ac:dyDescent="0.25">
      <c r="A3" s="6" t="s">
        <v>365</v>
      </c>
      <c r="B3" s="6" t="s">
        <v>887</v>
      </c>
      <c r="C3" s="6" t="s">
        <v>804</v>
      </c>
      <c r="D3" s="6">
        <v>1</v>
      </c>
      <c r="E3" s="6">
        <v>400</v>
      </c>
      <c r="F3" s="7">
        <v>320</v>
      </c>
      <c r="G3" s="7">
        <v>100</v>
      </c>
      <c r="H3" s="7">
        <v>600</v>
      </c>
      <c r="I3" s="7">
        <v>31.2</v>
      </c>
      <c r="J3" s="7">
        <v>187.5</v>
      </c>
      <c r="K3" s="6" t="s">
        <v>1261</v>
      </c>
    </row>
    <row r="4" ht="15" customHeight="1" spans="1:11" x14ac:dyDescent="0.25">
      <c r="A4" s="6" t="s">
        <v>882</v>
      </c>
      <c r="B4" s="6" t="s">
        <v>883</v>
      </c>
      <c r="C4" s="6" t="s">
        <v>804</v>
      </c>
      <c r="D4" s="6">
        <v>2</v>
      </c>
      <c r="E4" s="8">
        <v>1600</v>
      </c>
      <c r="F4" s="7">
        <v>1280</v>
      </c>
      <c r="G4" s="6">
        <v>976</v>
      </c>
      <c r="H4" s="8">
        <v>1976</v>
      </c>
      <c r="I4" s="7">
        <v>76.2</v>
      </c>
      <c r="J4" s="7">
        <v>154.4</v>
      </c>
      <c r="K4" s="6" t="s">
        <v>1261</v>
      </c>
    </row>
    <row r="5" ht="15" customHeight="1" spans="1:11" x14ac:dyDescent="0.25">
      <c r="A5" s="6" t="s">
        <v>879</v>
      </c>
      <c r="B5" s="6" t="s">
        <v>880</v>
      </c>
      <c r="C5" s="6" t="s">
        <v>804</v>
      </c>
      <c r="D5" s="6">
        <v>3</v>
      </c>
      <c r="E5" s="8">
        <v>2800</v>
      </c>
      <c r="F5" s="7">
        <v>2240</v>
      </c>
      <c r="G5" s="6">
        <v>976</v>
      </c>
      <c r="H5" s="8">
        <v>1976</v>
      </c>
      <c r="I5" s="7">
        <v>43.6</v>
      </c>
      <c r="J5" s="7">
        <v>88.2</v>
      </c>
      <c r="K5" s="6" t="s">
        <v>1262</v>
      </c>
    </row>
    <row r="6" ht="15" customHeight="1" spans="1:11" x14ac:dyDescent="0.25">
      <c r="A6" s="6" t="s">
        <v>830</v>
      </c>
      <c r="B6" s="6" t="s">
        <v>832</v>
      </c>
      <c r="C6" s="6" t="s">
        <v>804</v>
      </c>
      <c r="D6" s="6">
        <v>4</v>
      </c>
      <c r="E6" s="8">
        <v>3000</v>
      </c>
      <c r="F6" s="7">
        <v>2160</v>
      </c>
      <c r="G6" s="8">
        <v>1919</v>
      </c>
      <c r="H6" s="8">
        <v>2919</v>
      </c>
      <c r="I6" s="7">
        <v>88.8</v>
      </c>
      <c r="J6" s="7">
        <v>135.1</v>
      </c>
      <c r="K6" s="6" t="s">
        <v>1263</v>
      </c>
    </row>
    <row r="7" ht="15" customHeight="1" spans="1:11" x14ac:dyDescent="0.25">
      <c r="A7" s="6" t="s">
        <v>833</v>
      </c>
      <c r="B7" s="6" t="s">
        <v>835</v>
      </c>
      <c r="C7" s="6" t="s">
        <v>804</v>
      </c>
      <c r="D7" s="6">
        <v>4</v>
      </c>
      <c r="E7" s="8">
        <v>3000</v>
      </c>
      <c r="F7" s="7">
        <v>2160</v>
      </c>
      <c r="G7" s="8">
        <v>1919</v>
      </c>
      <c r="H7" s="8">
        <v>2919</v>
      </c>
      <c r="I7" s="7">
        <v>88.8</v>
      </c>
      <c r="J7" s="7">
        <v>135.1</v>
      </c>
      <c r="K7" s="6" t="s">
        <v>1263</v>
      </c>
    </row>
    <row r="8" ht="15" customHeight="1" spans="1:11" x14ac:dyDescent="0.25">
      <c r="A8" s="6" t="s">
        <v>825</v>
      </c>
      <c r="B8" s="6" t="s">
        <v>827</v>
      </c>
      <c r="C8" s="6" t="s">
        <v>804</v>
      </c>
      <c r="D8" s="6">
        <v>5</v>
      </c>
      <c r="E8" s="8">
        <v>6000</v>
      </c>
      <c r="F8" s="7">
        <v>5100</v>
      </c>
      <c r="G8" s="7">
        <v>3740</v>
      </c>
      <c r="H8" s="7">
        <v>4290</v>
      </c>
      <c r="I8" s="7">
        <v>73.3</v>
      </c>
      <c r="J8" s="7">
        <v>84.1</v>
      </c>
      <c r="K8" s="6" t="s">
        <v>1262</v>
      </c>
    </row>
    <row r="9" ht="15" customHeight="1" spans="1:11" x14ac:dyDescent="0.25">
      <c r="A9" s="6" t="s">
        <v>811</v>
      </c>
      <c r="B9" s="6" t="s">
        <v>813</v>
      </c>
      <c r="C9" s="6" t="s">
        <v>804</v>
      </c>
      <c r="D9" s="6">
        <v>6</v>
      </c>
      <c r="E9" s="8">
        <v>7500</v>
      </c>
      <c r="F9" s="7">
        <v>6000</v>
      </c>
      <c r="G9" s="7">
        <v>4155.6</v>
      </c>
      <c r="H9" s="7">
        <v>4766.7</v>
      </c>
      <c r="I9" s="7">
        <v>69.3</v>
      </c>
      <c r="J9" s="7">
        <v>79.4</v>
      </c>
      <c r="K9" s="6" t="s">
        <v>1264</v>
      </c>
    </row>
    <row r="10" ht="15" customHeight="1" spans="1:11" x14ac:dyDescent="0.25">
      <c r="A10" s="6" t="s">
        <v>801</v>
      </c>
      <c r="B10" s="6" t="s">
        <v>803</v>
      </c>
      <c r="C10" s="6" t="s">
        <v>804</v>
      </c>
      <c r="D10" s="6">
        <v>7</v>
      </c>
      <c r="E10" s="8">
        <v>6000</v>
      </c>
      <c r="F10" s="7">
        <v>5100</v>
      </c>
      <c r="G10" s="7">
        <v>3740</v>
      </c>
      <c r="H10" s="7">
        <v>4290</v>
      </c>
      <c r="I10" s="7">
        <v>73.3</v>
      </c>
      <c r="J10" s="7">
        <v>84.1</v>
      </c>
      <c r="K10" s="6" t="s">
        <v>1262</v>
      </c>
    </row>
    <row r="11" ht="15" customHeight="1" spans="1:11" x14ac:dyDescent="0.25">
      <c r="A11" s="6" t="s">
        <v>354</v>
      </c>
      <c r="B11" s="6" t="s">
        <v>1007</v>
      </c>
      <c r="C11" s="6" t="s">
        <v>972</v>
      </c>
      <c r="D11" s="6">
        <v>1</v>
      </c>
      <c r="E11" s="6">
        <v>200</v>
      </c>
      <c r="F11" s="7">
        <v>180</v>
      </c>
      <c r="G11" s="7">
        <v>100</v>
      </c>
      <c r="H11" s="7">
        <v>600</v>
      </c>
      <c r="I11" s="7">
        <v>55.6</v>
      </c>
      <c r="J11" s="7">
        <v>333.3</v>
      </c>
      <c r="K11" s="6" t="s">
        <v>1261</v>
      </c>
    </row>
    <row r="12" ht="15" customHeight="1" spans="1:11" x14ac:dyDescent="0.25">
      <c r="A12" s="6" t="s">
        <v>366</v>
      </c>
      <c r="B12" s="6" t="s">
        <v>1009</v>
      </c>
      <c r="C12" s="6" t="s">
        <v>972</v>
      </c>
      <c r="D12" s="6">
        <v>1</v>
      </c>
      <c r="E12" s="6">
        <v>200</v>
      </c>
      <c r="F12" s="7">
        <v>180</v>
      </c>
      <c r="G12" s="7">
        <v>100</v>
      </c>
      <c r="H12" s="7">
        <v>600</v>
      </c>
      <c r="I12" s="7">
        <v>55.6</v>
      </c>
      <c r="J12" s="7">
        <v>333.3</v>
      </c>
      <c r="K12" s="6" t="s">
        <v>1261</v>
      </c>
    </row>
    <row r="13" ht="15" customHeight="1" spans="1:11" x14ac:dyDescent="0.25">
      <c r="A13" s="6" t="s">
        <v>981</v>
      </c>
      <c r="B13" s="6" t="s">
        <v>983</v>
      </c>
      <c r="C13" s="6" t="s">
        <v>972</v>
      </c>
      <c r="D13" s="6">
        <v>2</v>
      </c>
      <c r="E13" s="8">
        <v>9000</v>
      </c>
      <c r="F13" s="7">
        <v>7650</v>
      </c>
      <c r="G13" s="7">
        <v>4590.9</v>
      </c>
      <c r="H13" s="7">
        <v>6983.2</v>
      </c>
      <c r="I13" s="7">
        <v>60</v>
      </c>
      <c r="J13" s="7">
        <v>91.3</v>
      </c>
      <c r="K13" s="6" t="s">
        <v>1262</v>
      </c>
    </row>
    <row r="15" ht="15" customHeight="1" spans="1:1" x14ac:dyDescent="0.25">
      <c r="A15" s="9" t="s">
        <v>1265</v>
      </c>
    </row>
    <row r="16" ht="15" customHeight="1" spans="1:1" x14ac:dyDescent="0.25">
      <c r="A16" s="9" t="s">
        <v>1266</v>
      </c>
    </row>
    <row r="17" ht="15" customHeight="1" spans="1:1" x14ac:dyDescent="0.25">
      <c r="A17" s="9" t="s">
        <v>1267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1268</v>
      </c>
      <c r="B1" s="5" t="s">
        <v>793</v>
      </c>
      <c r="C1" s="5" t="s">
        <v>1269</v>
      </c>
      <c r="D1" s="5" t="s">
        <v>1270</v>
      </c>
      <c r="E1" s="5" t="s">
        <v>1271</v>
      </c>
    </row>
    <row r="2" ht="15" customHeight="1" spans="1:5" x14ac:dyDescent="0.25">
      <c r="A2" s="6" t="s">
        <v>1272</v>
      </c>
      <c r="B2" s="6" t="s">
        <v>984</v>
      </c>
      <c r="C2" s="7">
        <v>4591</v>
      </c>
      <c r="D2" s="7">
        <v>6983</v>
      </c>
      <c r="E2" s="7">
        <v>2392</v>
      </c>
    </row>
    <row r="3" ht="15" customHeight="1" spans="1:5" x14ac:dyDescent="0.25">
      <c r="A3" s="6" t="s">
        <v>1273</v>
      </c>
      <c r="B3" s="6" t="s">
        <v>1274</v>
      </c>
      <c r="C3" s="7">
        <v>28</v>
      </c>
      <c r="D3" s="7">
        <v>32.12</v>
      </c>
      <c r="E3" s="7">
        <v>4.12</v>
      </c>
    </row>
    <row r="4" ht="15" customHeight="1" spans="1:5" x14ac:dyDescent="0.25">
      <c r="A4" s="6" t="s">
        <v>1275</v>
      </c>
      <c r="B4" s="6" t="s">
        <v>1276</v>
      </c>
      <c r="C4" s="8">
        <v>50400000</v>
      </c>
      <c r="D4" s="7">
        <v>57810960</v>
      </c>
      <c r="E4" s="7">
        <v>7410960</v>
      </c>
    </row>
    <row r="5" ht="15" customHeight="1" spans="1:5" x14ac:dyDescent="0.25">
      <c r="A5" s="6" t="s">
        <v>1277</v>
      </c>
      <c r="B5" s="6" t="s">
        <v>1278</v>
      </c>
      <c r="C5" s="7">
        <v>1.58</v>
      </c>
      <c r="D5" s="7">
        <v>1.71</v>
      </c>
      <c r="E5" s="7">
        <v>0.13</v>
      </c>
    </row>
    <row r="6" ht="15" customHeight="1" spans="1:5" x14ac:dyDescent="0.25">
      <c r="A6" s="6" t="s">
        <v>1279</v>
      </c>
      <c r="B6" s="6" t="s">
        <v>1280</v>
      </c>
      <c r="C6" s="6">
        <v>48</v>
      </c>
      <c r="D6" s="7">
        <v>31.6</v>
      </c>
      <c r="E6" s="7">
        <v>-16.4</v>
      </c>
    </row>
    <row r="8" ht="15" customHeight="1" spans="1:1" x14ac:dyDescent="0.25">
      <c r="A8" s="9" t="s">
        <v>1281</v>
      </c>
    </row>
    <row r="9" ht="15" customHeight="1" spans="1:1" x14ac:dyDescent="0.25">
      <c r="A9" s="9" t="s">
        <v>1282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1283</v>
      </c>
      <c r="E1" s="5" t="s">
        <v>55</v>
      </c>
      <c r="F1" s="5" t="s">
        <v>1284</v>
      </c>
      <c r="G1" s="5" t="s">
        <v>1285</v>
      </c>
    </row>
    <row r="2" ht="15" customHeight="1" spans="1:7" x14ac:dyDescent="0.25">
      <c r="A2" s="6" t="s">
        <v>202</v>
      </c>
      <c r="B2" s="6" t="s">
        <v>1286</v>
      </c>
      <c r="C2" s="6" t="s">
        <v>61</v>
      </c>
      <c r="D2" s="8">
        <v>1450</v>
      </c>
      <c r="E2" s="6">
        <v>72</v>
      </c>
      <c r="F2" s="6" t="s">
        <v>1287</v>
      </c>
      <c r="G2" s="6" t="s">
        <v>1288</v>
      </c>
    </row>
    <row r="3" ht="15" customHeight="1" spans="1:7" x14ac:dyDescent="0.25">
      <c r="A3" s="6" t="s">
        <v>252</v>
      </c>
      <c r="B3" s="6" t="s">
        <v>1289</v>
      </c>
      <c r="C3" s="6" t="s">
        <v>61</v>
      </c>
      <c r="D3" s="6">
        <v>980</v>
      </c>
      <c r="E3" s="6">
        <v>49</v>
      </c>
      <c r="F3" s="6" t="s">
        <v>1290</v>
      </c>
      <c r="G3" s="6" t="s">
        <v>1291</v>
      </c>
    </row>
    <row r="4" ht="15" customHeight="1" spans="1:7" x14ac:dyDescent="0.25">
      <c r="A4" s="6" t="s">
        <v>449</v>
      </c>
      <c r="B4" s="6" t="s">
        <v>1292</v>
      </c>
      <c r="C4" s="6" t="s">
        <v>61</v>
      </c>
      <c r="D4" s="8">
        <v>2100</v>
      </c>
      <c r="E4" s="6">
        <v>35</v>
      </c>
      <c r="F4" s="6" t="s">
        <v>1293</v>
      </c>
      <c r="G4" s="6" t="s">
        <v>1294</v>
      </c>
    </row>
    <row r="5" ht="15" customHeight="1" spans="1:7" x14ac:dyDescent="0.25">
      <c r="A5" s="6" t="s">
        <v>303</v>
      </c>
      <c r="B5" s="6" t="s">
        <v>1295</v>
      </c>
      <c r="C5" s="6" t="s">
        <v>61</v>
      </c>
      <c r="D5" s="6">
        <v>620</v>
      </c>
      <c r="E5" s="6">
        <v>31</v>
      </c>
      <c r="F5" s="6" t="s">
        <v>1296</v>
      </c>
      <c r="G5" s="6" t="s">
        <v>1297</v>
      </c>
    </row>
    <row r="6" ht="15" customHeight="1" spans="1:7" x14ac:dyDescent="0.25">
      <c r="A6" s="6" t="s">
        <v>328</v>
      </c>
      <c r="B6" s="6" t="s">
        <v>1298</v>
      </c>
      <c r="C6" s="6" t="s">
        <v>61</v>
      </c>
      <c r="D6" s="6">
        <v>840</v>
      </c>
      <c r="E6" s="6">
        <v>42</v>
      </c>
      <c r="F6" s="6" t="s">
        <v>1299</v>
      </c>
      <c r="G6" s="6" t="s">
        <v>1300</v>
      </c>
    </row>
    <row r="7" ht="15" customHeight="1" spans="1:7" x14ac:dyDescent="0.25">
      <c r="A7" s="6" t="s">
        <v>1301</v>
      </c>
      <c r="B7" s="6" t="s">
        <v>1302</v>
      </c>
      <c r="C7" s="6" t="s">
        <v>69</v>
      </c>
      <c r="D7" s="8">
        <v>1620</v>
      </c>
      <c r="E7" s="6">
        <v>81</v>
      </c>
      <c r="F7" s="6" t="s">
        <v>1303</v>
      </c>
      <c r="G7" s="6" t="s">
        <v>1304</v>
      </c>
    </row>
    <row r="8" ht="15" customHeight="1" spans="1:7" x14ac:dyDescent="0.25">
      <c r="A8" s="6" t="s">
        <v>1305</v>
      </c>
      <c r="B8" s="6" t="s">
        <v>1306</v>
      </c>
      <c r="C8" s="6" t="s">
        <v>69</v>
      </c>
      <c r="D8" s="8">
        <v>1180</v>
      </c>
      <c r="E8" s="6">
        <v>59</v>
      </c>
      <c r="F8" s="6" t="s">
        <v>1307</v>
      </c>
      <c r="G8" s="6" t="s">
        <v>1308</v>
      </c>
    </row>
    <row r="9" ht="15" customHeight="1" spans="1:7" x14ac:dyDescent="0.25">
      <c r="A9" s="6" t="s">
        <v>1309</v>
      </c>
      <c r="B9" s="6" t="s">
        <v>1310</v>
      </c>
      <c r="C9" s="6" t="s">
        <v>69</v>
      </c>
      <c r="D9" s="8">
        <v>2150</v>
      </c>
      <c r="E9" s="6">
        <v>107</v>
      </c>
      <c r="F9" s="6" t="s">
        <v>1311</v>
      </c>
      <c r="G9" s="6" t="s">
        <v>1312</v>
      </c>
    </row>
    <row r="10" ht="15" customHeight="1" spans="1:7" x14ac:dyDescent="0.25">
      <c r="A10" s="6" t="s">
        <v>1313</v>
      </c>
      <c r="B10" s="6" t="s">
        <v>1314</v>
      </c>
      <c r="C10" s="6" t="s">
        <v>73</v>
      </c>
      <c r="D10" s="6">
        <v>890</v>
      </c>
      <c r="E10" s="6">
        <v>44</v>
      </c>
      <c r="F10" s="6" t="s">
        <v>1315</v>
      </c>
      <c r="G10" s="6" t="s">
        <v>1316</v>
      </c>
    </row>
    <row r="11" ht="15" customHeight="1" spans="1:7" x14ac:dyDescent="0.25">
      <c r="A11" s="6" t="s">
        <v>1317</v>
      </c>
      <c r="B11" s="6" t="s">
        <v>1318</v>
      </c>
      <c r="C11" s="6" t="s">
        <v>73</v>
      </c>
      <c r="D11" s="8">
        <v>1340</v>
      </c>
      <c r="E11" s="6">
        <v>67</v>
      </c>
      <c r="F11" s="6" t="s">
        <v>1319</v>
      </c>
      <c r="G11" s="6" t="s">
        <v>1320</v>
      </c>
    </row>
    <row r="12" ht="15" customHeight="1" spans="1:7" x14ac:dyDescent="0.25">
      <c r="A12" s="6" t="s">
        <v>1321</v>
      </c>
      <c r="B12" s="6" t="s">
        <v>1322</v>
      </c>
      <c r="C12" s="6" t="s">
        <v>73</v>
      </c>
      <c r="D12" s="8">
        <v>1760</v>
      </c>
      <c r="E12" s="6">
        <v>59</v>
      </c>
      <c r="F12" s="6" t="s">
        <v>1323</v>
      </c>
      <c r="G12" s="6" t="s">
        <v>1324</v>
      </c>
    </row>
    <row r="13" ht="15" customHeight="1" spans="1:7" x14ac:dyDescent="0.25">
      <c r="A13" s="6" t="s">
        <v>1325</v>
      </c>
      <c r="B13" s="6" t="s">
        <v>1326</v>
      </c>
      <c r="C13" s="6" t="s">
        <v>79</v>
      </c>
      <c r="D13" s="8">
        <v>3200</v>
      </c>
      <c r="E13" s="6">
        <v>53</v>
      </c>
      <c r="F13" s="6" t="s">
        <v>1327</v>
      </c>
      <c r="G13" s="6" t="s">
        <v>1328</v>
      </c>
    </row>
    <row r="14" ht="15" customHeight="1" spans="1:7" x14ac:dyDescent="0.25">
      <c r="A14" s="6" t="s">
        <v>1329</v>
      </c>
      <c r="B14" s="6" t="s">
        <v>1330</v>
      </c>
      <c r="C14" s="6" t="s">
        <v>79</v>
      </c>
      <c r="D14" s="8">
        <v>1480</v>
      </c>
      <c r="E14" s="6">
        <v>74</v>
      </c>
      <c r="F14" s="6" t="s">
        <v>1303</v>
      </c>
      <c r="G14" s="6" t="s">
        <v>1331</v>
      </c>
    </row>
    <row r="15" ht="15" customHeight="1" spans="1:7" x14ac:dyDescent="0.25">
      <c r="A15" s="6" t="s">
        <v>1332</v>
      </c>
      <c r="B15" s="6" t="s">
        <v>1333</v>
      </c>
      <c r="C15" s="6" t="s">
        <v>85</v>
      </c>
      <c r="D15" s="8">
        <v>2240</v>
      </c>
      <c r="E15" s="6">
        <v>112</v>
      </c>
      <c r="F15" s="6" t="s">
        <v>1334</v>
      </c>
      <c r="G15" s="6" t="s">
        <v>1335</v>
      </c>
    </row>
    <row r="16" ht="15" customHeight="1" spans="1:7" x14ac:dyDescent="0.25">
      <c r="A16" s="6" t="s">
        <v>1336</v>
      </c>
      <c r="B16" s="6" t="s">
        <v>1286</v>
      </c>
      <c r="C16" s="6" t="s">
        <v>85</v>
      </c>
      <c r="D16" s="8">
        <v>2680</v>
      </c>
      <c r="E16" s="6">
        <v>134</v>
      </c>
      <c r="F16" s="6" t="s">
        <v>1287</v>
      </c>
      <c r="G16" s="6" t="s">
        <v>1337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1338</v>
      </c>
      <c r="B1" s="5" t="s">
        <v>197</v>
      </c>
      <c r="C1" s="5" t="s">
        <v>1339</v>
      </c>
      <c r="D1" s="5" t="s">
        <v>42</v>
      </c>
      <c r="E1" s="5" t="s">
        <v>1340</v>
      </c>
      <c r="F1" s="5" t="s">
        <v>1341</v>
      </c>
      <c r="G1" s="5" t="s">
        <v>1342</v>
      </c>
      <c r="H1" s="5" t="s">
        <v>1343</v>
      </c>
      <c r="I1" s="5" t="s">
        <v>1344</v>
      </c>
      <c r="J1" s="5" t="s">
        <v>1345</v>
      </c>
    </row>
    <row r="2" ht="15" customHeight="1" spans="1:10" x14ac:dyDescent="0.25">
      <c r="A2" s="6" t="s">
        <v>1346</v>
      </c>
      <c r="B2" s="6" t="s">
        <v>202</v>
      </c>
      <c r="C2" s="6" t="s">
        <v>1286</v>
      </c>
      <c r="D2" s="6" t="s">
        <v>61</v>
      </c>
      <c r="E2" s="7">
        <v>99.982</v>
      </c>
      <c r="F2" s="6">
        <v>4</v>
      </c>
      <c r="G2" s="6">
        <v>410</v>
      </c>
      <c r="H2" s="7">
        <v>102.5</v>
      </c>
      <c r="I2" s="6" t="s">
        <v>1347</v>
      </c>
      <c r="J2" s="6" t="s">
        <v>1348</v>
      </c>
    </row>
    <row r="3" ht="15" customHeight="1" spans="1:10" x14ac:dyDescent="0.25">
      <c r="A3" s="6" t="s">
        <v>1349</v>
      </c>
      <c r="B3" s="6" t="s">
        <v>252</v>
      </c>
      <c r="C3" s="6" t="s">
        <v>1289</v>
      </c>
      <c r="D3" s="6" t="s">
        <v>61</v>
      </c>
      <c r="E3" s="7">
        <v>99.995</v>
      </c>
      <c r="F3" s="6">
        <v>2</v>
      </c>
      <c r="G3" s="6">
        <v>680</v>
      </c>
      <c r="H3" s="7">
        <v>340</v>
      </c>
      <c r="I3" s="6" t="s">
        <v>1347</v>
      </c>
      <c r="J3" s="6" t="s">
        <v>1350</v>
      </c>
    </row>
    <row r="4" ht="15" customHeight="1" spans="1:10" x14ac:dyDescent="0.25">
      <c r="A4" s="6" t="s">
        <v>1351</v>
      </c>
      <c r="B4" s="6" t="s">
        <v>449</v>
      </c>
      <c r="C4" s="6" t="s">
        <v>1292</v>
      </c>
      <c r="D4" s="6" t="s">
        <v>61</v>
      </c>
      <c r="E4" s="7">
        <v>99.95</v>
      </c>
      <c r="F4" s="6">
        <v>6</v>
      </c>
      <c r="G4" s="6">
        <v>290</v>
      </c>
      <c r="H4" s="7">
        <v>48.3</v>
      </c>
      <c r="I4" s="6" t="s">
        <v>1347</v>
      </c>
      <c r="J4" s="6" t="s">
        <v>1348</v>
      </c>
    </row>
    <row r="5" ht="15" customHeight="1" spans="1:10" x14ac:dyDescent="0.25">
      <c r="A5" s="6" t="s">
        <v>1352</v>
      </c>
      <c r="B5" s="6" t="s">
        <v>303</v>
      </c>
      <c r="C5" s="6" t="s">
        <v>1295</v>
      </c>
      <c r="D5" s="6" t="s">
        <v>61</v>
      </c>
      <c r="E5" s="7">
        <v>99.995</v>
      </c>
      <c r="F5" s="6">
        <v>2</v>
      </c>
      <c r="G5" s="6">
        <v>520</v>
      </c>
      <c r="H5" s="7">
        <v>260</v>
      </c>
      <c r="I5" s="6" t="s">
        <v>1347</v>
      </c>
      <c r="J5" s="6" t="s">
        <v>1350</v>
      </c>
    </row>
    <row r="6" ht="15" customHeight="1" spans="1:10" x14ac:dyDescent="0.25">
      <c r="A6" s="6" t="s">
        <v>1353</v>
      </c>
      <c r="B6" s="6" t="s">
        <v>328</v>
      </c>
      <c r="C6" s="6" t="s">
        <v>1298</v>
      </c>
      <c r="D6" s="6" t="s">
        <v>61</v>
      </c>
      <c r="E6" s="7">
        <v>99.982</v>
      </c>
      <c r="F6" s="6">
        <v>4</v>
      </c>
      <c r="G6" s="6">
        <v>230</v>
      </c>
      <c r="H6" s="7">
        <v>57.5</v>
      </c>
      <c r="I6" s="6" t="s">
        <v>1347</v>
      </c>
      <c r="J6" s="6" t="s">
        <v>1348</v>
      </c>
    </row>
    <row r="7" ht="15" customHeight="1" spans="1:10" x14ac:dyDescent="0.25">
      <c r="A7" s="6" t="s">
        <v>1354</v>
      </c>
      <c r="B7" s="6" t="s">
        <v>1301</v>
      </c>
      <c r="C7" s="6" t="s">
        <v>1302</v>
      </c>
      <c r="D7" s="6" t="s">
        <v>69</v>
      </c>
      <c r="E7" s="7">
        <v>99.995</v>
      </c>
      <c r="F7" s="6">
        <v>2</v>
      </c>
      <c r="G7" s="6">
        <v>610</v>
      </c>
      <c r="H7" s="7">
        <v>305</v>
      </c>
      <c r="I7" s="6" t="s">
        <v>1347</v>
      </c>
      <c r="J7" s="6" t="s">
        <v>1350</v>
      </c>
    </row>
    <row r="8" ht="15" customHeight="1" spans="1:10" x14ac:dyDescent="0.25">
      <c r="A8" s="6" t="s">
        <v>1355</v>
      </c>
      <c r="B8" s="6" t="s">
        <v>1305</v>
      </c>
      <c r="C8" s="6" t="s">
        <v>1306</v>
      </c>
      <c r="D8" s="6" t="s">
        <v>69</v>
      </c>
      <c r="E8" s="7">
        <v>99.95</v>
      </c>
      <c r="F8" s="6">
        <v>6</v>
      </c>
      <c r="G8" s="6">
        <v>180</v>
      </c>
      <c r="H8" s="7">
        <v>30</v>
      </c>
      <c r="I8" s="6" t="s">
        <v>1347</v>
      </c>
      <c r="J8" s="6" t="s">
        <v>1348</v>
      </c>
    </row>
    <row r="9" ht="15" customHeight="1" spans="1:10" x14ac:dyDescent="0.25">
      <c r="A9" s="6" t="s">
        <v>1356</v>
      </c>
      <c r="B9" s="6" t="s">
        <v>1309</v>
      </c>
      <c r="C9" s="6" t="s">
        <v>1310</v>
      </c>
      <c r="D9" s="6" t="s">
        <v>69</v>
      </c>
      <c r="E9" s="7">
        <v>99.999</v>
      </c>
      <c r="F9" s="6">
        <v>1</v>
      </c>
      <c r="G9" s="6">
        <v>940</v>
      </c>
      <c r="H9" s="7">
        <v>940</v>
      </c>
      <c r="I9" s="6" t="s">
        <v>1347</v>
      </c>
      <c r="J9" s="6" t="s">
        <v>1350</v>
      </c>
    </row>
    <row r="10" ht="15" customHeight="1" spans="1:10" x14ac:dyDescent="0.25">
      <c r="A10" s="6" t="s">
        <v>1357</v>
      </c>
      <c r="B10" s="6" t="s">
        <v>1313</v>
      </c>
      <c r="C10" s="6" t="s">
        <v>1314</v>
      </c>
      <c r="D10" s="6" t="s">
        <v>73</v>
      </c>
      <c r="E10" s="7">
        <v>99.95</v>
      </c>
      <c r="F10" s="6">
        <v>8</v>
      </c>
      <c r="G10" s="6">
        <v>150</v>
      </c>
      <c r="H10" s="7">
        <v>18.8</v>
      </c>
      <c r="I10" s="6" t="s">
        <v>1347</v>
      </c>
      <c r="J10" s="6" t="s">
        <v>1348</v>
      </c>
    </row>
    <row r="11" ht="15" customHeight="1" spans="1:10" x14ac:dyDescent="0.25">
      <c r="A11" s="6" t="s">
        <v>1358</v>
      </c>
      <c r="B11" s="6" t="s">
        <v>1317</v>
      </c>
      <c r="C11" s="6" t="s">
        <v>1318</v>
      </c>
      <c r="D11" s="6" t="s">
        <v>73</v>
      </c>
      <c r="E11" s="7">
        <v>99.982</v>
      </c>
      <c r="F11" s="6">
        <v>4</v>
      </c>
      <c r="G11" s="6">
        <v>260</v>
      </c>
      <c r="H11" s="7">
        <v>65</v>
      </c>
      <c r="I11" s="6" t="s">
        <v>1347</v>
      </c>
      <c r="J11" s="6" t="s">
        <v>1348</v>
      </c>
    </row>
    <row r="12" ht="15" customHeight="1" spans="1:10" x14ac:dyDescent="0.25">
      <c r="A12" s="6" t="s">
        <v>1359</v>
      </c>
      <c r="B12" s="6" t="s">
        <v>1321</v>
      </c>
      <c r="C12" s="6" t="s">
        <v>1322</v>
      </c>
      <c r="D12" s="6" t="s">
        <v>73</v>
      </c>
      <c r="E12" s="7">
        <v>99.99</v>
      </c>
      <c r="F12" s="6">
        <v>3</v>
      </c>
      <c r="G12" s="6">
        <v>340</v>
      </c>
      <c r="H12" s="7">
        <v>113.3</v>
      </c>
      <c r="I12" s="6" t="s">
        <v>1347</v>
      </c>
      <c r="J12" s="6" t="s">
        <v>1350</v>
      </c>
    </row>
    <row r="13" ht="15" customHeight="1" spans="1:10" x14ac:dyDescent="0.25">
      <c r="A13" s="6" t="s">
        <v>1360</v>
      </c>
      <c r="B13" s="6" t="s">
        <v>1325</v>
      </c>
      <c r="C13" s="6" t="s">
        <v>1326</v>
      </c>
      <c r="D13" s="6" t="s">
        <v>79</v>
      </c>
      <c r="E13" s="7">
        <v>99.95</v>
      </c>
      <c r="F13" s="6">
        <v>6</v>
      </c>
      <c r="G13" s="6">
        <v>380</v>
      </c>
      <c r="H13" s="7">
        <v>63.3</v>
      </c>
      <c r="I13" s="6" t="s">
        <v>1347</v>
      </c>
      <c r="J13" s="6" t="s">
        <v>1348</v>
      </c>
    </row>
    <row r="14" ht="15" customHeight="1" spans="1:10" x14ac:dyDescent="0.25">
      <c r="A14" s="6" t="s">
        <v>1361</v>
      </c>
      <c r="B14" s="6" t="s">
        <v>1329</v>
      </c>
      <c r="C14" s="6" t="s">
        <v>1330</v>
      </c>
      <c r="D14" s="6" t="s">
        <v>79</v>
      </c>
      <c r="E14" s="7">
        <v>99.995</v>
      </c>
      <c r="F14" s="6">
        <v>2</v>
      </c>
      <c r="G14" s="6">
        <v>610</v>
      </c>
      <c r="H14" s="7">
        <v>305</v>
      </c>
      <c r="I14" s="6" t="s">
        <v>1347</v>
      </c>
      <c r="J14" s="6" t="s">
        <v>1350</v>
      </c>
    </row>
    <row r="15" ht="15" customHeight="1" spans="1:10" x14ac:dyDescent="0.25">
      <c r="A15" s="6" t="s">
        <v>1362</v>
      </c>
      <c r="B15" s="6" t="s">
        <v>1332</v>
      </c>
      <c r="C15" s="6" t="s">
        <v>1333</v>
      </c>
      <c r="D15" s="6" t="s">
        <v>85</v>
      </c>
      <c r="E15" s="7">
        <v>99.99</v>
      </c>
      <c r="F15" s="6">
        <v>3</v>
      </c>
      <c r="G15" s="6">
        <v>720</v>
      </c>
      <c r="H15" s="7">
        <v>240</v>
      </c>
      <c r="I15" s="6" t="s">
        <v>1347</v>
      </c>
      <c r="J15" s="6" t="s">
        <v>1350</v>
      </c>
    </row>
    <row r="16" ht="15" customHeight="1" spans="1:10" x14ac:dyDescent="0.25">
      <c r="A16" s="6" t="s">
        <v>1363</v>
      </c>
      <c r="B16" s="6" t="s">
        <v>1336</v>
      </c>
      <c r="C16" s="6" t="s">
        <v>1286</v>
      </c>
      <c r="D16" s="6" t="s">
        <v>85</v>
      </c>
      <c r="E16" s="7">
        <v>99.982</v>
      </c>
      <c r="F16" s="6">
        <v>4</v>
      </c>
      <c r="G16" s="6">
        <v>410</v>
      </c>
      <c r="H16" s="7">
        <v>102.5</v>
      </c>
      <c r="I16" s="6" t="s">
        <v>1347</v>
      </c>
      <c r="J16" s="6" t="s">
        <v>1348</v>
      </c>
    </row>
    <row r="18" ht="15" customHeight="1" spans="1:1" x14ac:dyDescent="0.25">
      <c r="A18" s="9" t="s">
        <v>1364</v>
      </c>
    </row>
    <row r="19" ht="15" customHeight="1" spans="1:1" x14ac:dyDescent="0.25">
      <c r="A19" s="9" t="s">
        <v>1365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1366</v>
      </c>
      <c r="B1" s="5" t="s">
        <v>42</v>
      </c>
      <c r="C1" s="5" t="s">
        <v>788</v>
      </c>
      <c r="D1" s="5" t="s">
        <v>1367</v>
      </c>
      <c r="E1" s="5" t="s">
        <v>1368</v>
      </c>
      <c r="F1" s="5" t="s">
        <v>1369</v>
      </c>
      <c r="G1" s="5" t="s">
        <v>1246</v>
      </c>
      <c r="H1" s="5" t="s">
        <v>1370</v>
      </c>
      <c r="I1" s="5" t="s">
        <v>1371</v>
      </c>
      <c r="J1" s="5" t="s">
        <v>1372</v>
      </c>
      <c r="K1" s="5" t="s">
        <v>1248</v>
      </c>
      <c r="L1" s="5" t="s">
        <v>107</v>
      </c>
    </row>
    <row r="2" ht="15" customHeight="1" spans="1:12" x14ac:dyDescent="0.25">
      <c r="A2" s="6" t="s">
        <v>1373</v>
      </c>
      <c r="B2" s="6" t="s">
        <v>61</v>
      </c>
      <c r="C2" s="6" t="s">
        <v>830</v>
      </c>
      <c r="D2" s="6" t="s">
        <v>1374</v>
      </c>
      <c r="E2" s="6" t="s">
        <v>1375</v>
      </c>
      <c r="F2" s="6" t="s">
        <v>1376</v>
      </c>
      <c r="G2" s="6" t="s">
        <v>1377</v>
      </c>
      <c r="H2" s="6" t="s">
        <v>1378</v>
      </c>
      <c r="I2" s="6">
        <v>383</v>
      </c>
      <c r="J2" s="6">
        <v>2</v>
      </c>
      <c r="K2" s="7">
        <v>18</v>
      </c>
      <c r="L2" s="6" t="s">
        <v>1379</v>
      </c>
    </row>
    <row r="3" ht="15" customHeight="1" spans="1:12" x14ac:dyDescent="0.25">
      <c r="A3" s="6" t="s">
        <v>1380</v>
      </c>
      <c r="B3" s="6" t="s">
        <v>1381</v>
      </c>
      <c r="C3" s="6" t="s">
        <v>833</v>
      </c>
      <c r="D3" s="6" t="s">
        <v>1374</v>
      </c>
      <c r="E3" s="6" t="s">
        <v>1382</v>
      </c>
      <c r="F3" s="6" t="s">
        <v>1383</v>
      </c>
      <c r="G3" s="6" t="s">
        <v>1384</v>
      </c>
      <c r="H3" s="6" t="s">
        <v>1385</v>
      </c>
      <c r="I3" s="6">
        <v>260</v>
      </c>
      <c r="J3" s="6">
        <v>1</v>
      </c>
      <c r="K3" s="7">
        <v>12.5</v>
      </c>
      <c r="L3" s="6" t="s">
        <v>1386</v>
      </c>
    </row>
    <row r="4" ht="15" customHeight="1" spans="1:12" x14ac:dyDescent="0.25">
      <c r="A4" s="6" t="s">
        <v>1387</v>
      </c>
      <c r="B4" s="6" t="s">
        <v>85</v>
      </c>
      <c r="C4" s="6" t="s">
        <v>830</v>
      </c>
      <c r="D4" s="6" t="s">
        <v>1388</v>
      </c>
      <c r="E4" s="6" t="s">
        <v>1389</v>
      </c>
      <c r="F4" s="6" t="s">
        <v>1390</v>
      </c>
      <c r="G4" s="6" t="s">
        <v>1391</v>
      </c>
      <c r="H4" s="6" t="s">
        <v>1385</v>
      </c>
      <c r="I4" s="6">
        <v>255</v>
      </c>
      <c r="J4" s="6">
        <v>2</v>
      </c>
      <c r="K4" s="7">
        <v>9.2</v>
      </c>
      <c r="L4" s="6" t="s">
        <v>1392</v>
      </c>
    </row>
    <row r="5" ht="15" customHeight="1" spans="1:12" x14ac:dyDescent="0.25">
      <c r="A5" s="6" t="s">
        <v>1393</v>
      </c>
      <c r="B5" s="6" t="s">
        <v>61</v>
      </c>
      <c r="C5" s="6" t="s">
        <v>451</v>
      </c>
      <c r="D5" s="6" t="s">
        <v>1388</v>
      </c>
      <c r="E5" s="6" t="s">
        <v>1394</v>
      </c>
      <c r="F5" s="6" t="s">
        <v>1395</v>
      </c>
      <c r="G5" s="6" t="s">
        <v>1396</v>
      </c>
      <c r="H5" s="6" t="s">
        <v>1397</v>
      </c>
      <c r="I5" s="6">
        <v>164</v>
      </c>
      <c r="J5" s="6">
        <v>0</v>
      </c>
      <c r="K5" s="7">
        <v>4.1</v>
      </c>
      <c r="L5" s="6"/>
    </row>
    <row r="6" ht="15" customHeight="1" spans="1:12" x14ac:dyDescent="0.25">
      <c r="A6" s="6" t="s">
        <v>1398</v>
      </c>
      <c r="B6" s="6" t="s">
        <v>73</v>
      </c>
      <c r="C6" s="6" t="s">
        <v>976</v>
      </c>
      <c r="D6" s="6" t="s">
        <v>1388</v>
      </c>
      <c r="E6" s="6" t="s">
        <v>1399</v>
      </c>
      <c r="F6" s="6" t="s">
        <v>1400</v>
      </c>
      <c r="G6" s="6" t="s">
        <v>1401</v>
      </c>
      <c r="H6" s="6" t="s">
        <v>1402</v>
      </c>
      <c r="I6" s="6">
        <v>400</v>
      </c>
      <c r="J6" s="6">
        <v>1</v>
      </c>
      <c r="K6" s="7">
        <v>7.8</v>
      </c>
      <c r="L6" s="6"/>
    </row>
    <row r="7" ht="15" customHeight="1" spans="1:12" x14ac:dyDescent="0.25">
      <c r="A7" s="6" t="s">
        <v>1403</v>
      </c>
      <c r="B7" s="6" t="s">
        <v>69</v>
      </c>
      <c r="C7" s="6" t="s">
        <v>850</v>
      </c>
      <c r="D7" s="6" t="s">
        <v>1404</v>
      </c>
      <c r="E7" s="6" t="s">
        <v>1405</v>
      </c>
      <c r="F7" s="6" t="s">
        <v>1406</v>
      </c>
      <c r="G7" s="6" t="s">
        <v>1407</v>
      </c>
      <c r="H7" s="6" t="s">
        <v>1408</v>
      </c>
      <c r="I7" s="6">
        <v>105</v>
      </c>
      <c r="J7" s="6">
        <v>0</v>
      </c>
      <c r="K7" s="7">
        <v>2.3</v>
      </c>
      <c r="L7" s="6"/>
    </row>
    <row r="8" ht="15" customHeight="1" spans="1:12" x14ac:dyDescent="0.25">
      <c r="A8" s="6" t="s">
        <v>1409</v>
      </c>
      <c r="B8" s="6" t="s">
        <v>85</v>
      </c>
      <c r="C8" s="6" t="s">
        <v>817</v>
      </c>
      <c r="D8" s="6" t="s">
        <v>1404</v>
      </c>
      <c r="E8" s="6" t="s">
        <v>1410</v>
      </c>
      <c r="F8" s="6" t="s">
        <v>1411</v>
      </c>
      <c r="G8" s="6" t="s">
        <v>1412</v>
      </c>
      <c r="H8" s="6" t="s">
        <v>1413</v>
      </c>
      <c r="I8" s="6">
        <v>165</v>
      </c>
      <c r="J8" s="6">
        <v>0</v>
      </c>
      <c r="K8" s="7">
        <v>3.4</v>
      </c>
      <c r="L8" s="6"/>
    </row>
    <row r="9" ht="15" customHeight="1" spans="1:12" x14ac:dyDescent="0.25">
      <c r="A9" s="6" t="s">
        <v>1414</v>
      </c>
      <c r="B9" s="6" t="s">
        <v>73</v>
      </c>
      <c r="C9" s="6" t="s">
        <v>974</v>
      </c>
      <c r="D9" s="6" t="s">
        <v>1404</v>
      </c>
      <c r="E9" s="6" t="s">
        <v>1415</v>
      </c>
      <c r="F9" s="6" t="s">
        <v>1416</v>
      </c>
      <c r="G9" s="6" t="s">
        <v>1417</v>
      </c>
      <c r="H9" s="6" t="s">
        <v>1418</v>
      </c>
      <c r="I9" s="6">
        <v>153</v>
      </c>
      <c r="J9" s="6">
        <v>0</v>
      </c>
      <c r="K9" s="7">
        <v>2.9</v>
      </c>
      <c r="L9" s="6" t="s">
        <v>1419</v>
      </c>
    </row>
    <row r="11" ht="15" customHeight="1" spans="1:1" x14ac:dyDescent="0.25">
      <c r="A11" s="9" t="s">
        <v>1420</v>
      </c>
    </row>
    <row r="12" ht="15" customHeight="1" spans="1:1" x14ac:dyDescent="0.25">
      <c r="A12" s="9" t="s">
        <v>1421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1422</v>
      </c>
      <c r="B1" s="5" t="s">
        <v>42</v>
      </c>
      <c r="C1" s="5" t="s">
        <v>788</v>
      </c>
      <c r="D1" s="5" t="s">
        <v>1423</v>
      </c>
      <c r="E1" s="5" t="s">
        <v>1424</v>
      </c>
      <c r="F1" s="5" t="s">
        <v>1425</v>
      </c>
      <c r="G1" s="5" t="s">
        <v>1426</v>
      </c>
      <c r="H1" s="5" t="s">
        <v>1427</v>
      </c>
      <c r="I1" s="5" t="s">
        <v>45</v>
      </c>
      <c r="J1" s="5" t="s">
        <v>1428</v>
      </c>
    </row>
    <row r="2" ht="15" customHeight="1" spans="1:10" x14ac:dyDescent="0.25">
      <c r="A2" s="6" t="s">
        <v>1429</v>
      </c>
      <c r="B2" s="6" t="s">
        <v>61</v>
      </c>
      <c r="C2" s="6" t="s">
        <v>830</v>
      </c>
      <c r="D2" s="6" t="s">
        <v>1430</v>
      </c>
      <c r="E2" s="7">
        <v>437</v>
      </c>
      <c r="F2" s="7">
        <v>24.6</v>
      </c>
      <c r="G2" s="7">
        <v>4.117</v>
      </c>
      <c r="H2" s="7">
        <v>94</v>
      </c>
      <c r="I2" s="6" t="s">
        <v>1431</v>
      </c>
      <c r="J2" s="6"/>
    </row>
    <row r="3" ht="15" customHeight="1" spans="1:10" x14ac:dyDescent="0.25">
      <c r="A3" s="6" t="s">
        <v>1432</v>
      </c>
      <c r="B3" s="6" t="s">
        <v>61</v>
      </c>
      <c r="C3" s="6" t="s">
        <v>830</v>
      </c>
      <c r="D3" s="6" t="s">
        <v>1430</v>
      </c>
      <c r="E3" s="7">
        <v>437</v>
      </c>
      <c r="F3" s="7">
        <v>24.67</v>
      </c>
      <c r="G3" s="7">
        <v>4.089</v>
      </c>
      <c r="H3" s="7">
        <v>94</v>
      </c>
      <c r="I3" s="6" t="s">
        <v>1431</v>
      </c>
      <c r="J3" s="6"/>
    </row>
    <row r="4" ht="15" customHeight="1" spans="1:10" x14ac:dyDescent="0.25">
      <c r="A4" s="6" t="s">
        <v>1433</v>
      </c>
      <c r="B4" s="6" t="s">
        <v>61</v>
      </c>
      <c r="C4" s="6" t="s">
        <v>830</v>
      </c>
      <c r="D4" s="6" t="s">
        <v>1430</v>
      </c>
      <c r="E4" s="7">
        <v>437.06</v>
      </c>
      <c r="F4" s="7">
        <v>24.63</v>
      </c>
      <c r="G4" s="7">
        <v>4.114</v>
      </c>
      <c r="H4" s="7">
        <v>94</v>
      </c>
      <c r="I4" s="6" t="s">
        <v>1431</v>
      </c>
      <c r="J4" s="6"/>
    </row>
    <row r="5" ht="15" customHeight="1" spans="1:10" x14ac:dyDescent="0.25">
      <c r="A5" s="6" t="s">
        <v>1434</v>
      </c>
      <c r="B5" s="6" t="s">
        <v>61</v>
      </c>
      <c r="C5" s="6" t="s">
        <v>830</v>
      </c>
      <c r="D5" s="6" t="s">
        <v>1430</v>
      </c>
      <c r="E5" s="7">
        <v>437.13</v>
      </c>
      <c r="F5" s="7">
        <v>24.26</v>
      </c>
      <c r="G5" s="7">
        <v>4.089</v>
      </c>
      <c r="H5" s="7">
        <v>94</v>
      </c>
      <c r="I5" s="6" t="s">
        <v>1431</v>
      </c>
      <c r="J5" s="6"/>
    </row>
    <row r="6" ht="15" customHeight="1" spans="1:10" x14ac:dyDescent="0.25">
      <c r="A6" s="6" t="s">
        <v>1435</v>
      </c>
      <c r="B6" s="6" t="s">
        <v>61</v>
      </c>
      <c r="C6" s="6" t="s">
        <v>830</v>
      </c>
      <c r="D6" s="6" t="s">
        <v>1430</v>
      </c>
      <c r="E6" s="7">
        <v>436.79</v>
      </c>
      <c r="F6" s="7">
        <v>24.35</v>
      </c>
      <c r="G6" s="7">
        <v>4.103</v>
      </c>
      <c r="H6" s="7">
        <v>94</v>
      </c>
      <c r="I6" s="6" t="s">
        <v>1431</v>
      </c>
      <c r="J6" s="6"/>
    </row>
    <row r="7" ht="15" customHeight="1" spans="1:10" x14ac:dyDescent="0.25">
      <c r="A7" s="6" t="s">
        <v>1436</v>
      </c>
      <c r="B7" s="6" t="s">
        <v>61</v>
      </c>
      <c r="C7" s="6" t="s">
        <v>830</v>
      </c>
      <c r="D7" s="6" t="s">
        <v>1430</v>
      </c>
      <c r="E7" s="7">
        <v>436.93</v>
      </c>
      <c r="F7" s="7">
        <v>24.33</v>
      </c>
      <c r="G7" s="7">
        <v>4.083</v>
      </c>
      <c r="H7" s="7">
        <v>94</v>
      </c>
      <c r="I7" s="6" t="s">
        <v>1431</v>
      </c>
      <c r="J7" s="6"/>
    </row>
    <row r="8" ht="15" customHeight="1" spans="1:10" x14ac:dyDescent="0.25">
      <c r="A8" s="6" t="s">
        <v>1437</v>
      </c>
      <c r="B8" s="6" t="s">
        <v>61</v>
      </c>
      <c r="C8" s="6" t="s">
        <v>830</v>
      </c>
      <c r="D8" s="6" t="s">
        <v>1430</v>
      </c>
      <c r="E8" s="7">
        <v>437</v>
      </c>
      <c r="F8" s="7">
        <v>24.33</v>
      </c>
      <c r="G8" s="7">
        <v>4.087</v>
      </c>
      <c r="H8" s="7">
        <v>94</v>
      </c>
      <c r="I8" s="6" t="s">
        <v>1431</v>
      </c>
      <c r="J8" s="6"/>
    </row>
    <row r="9" ht="15" customHeight="1" spans="1:10" x14ac:dyDescent="0.25">
      <c r="A9" s="6" t="s">
        <v>1438</v>
      </c>
      <c r="B9" s="6" t="s">
        <v>61</v>
      </c>
      <c r="C9" s="6" t="s">
        <v>830</v>
      </c>
      <c r="D9" s="6" t="s">
        <v>1430</v>
      </c>
      <c r="E9" s="7">
        <v>437.12</v>
      </c>
      <c r="F9" s="7">
        <v>24.47</v>
      </c>
      <c r="G9" s="7">
        <v>4.081</v>
      </c>
      <c r="H9" s="7">
        <v>94</v>
      </c>
      <c r="I9" s="6" t="s">
        <v>1431</v>
      </c>
      <c r="J9" s="6"/>
    </row>
    <row r="10" ht="15" customHeight="1" spans="1:10" x14ac:dyDescent="0.25">
      <c r="A10" s="6" t="s">
        <v>1439</v>
      </c>
      <c r="B10" s="6" t="s">
        <v>61</v>
      </c>
      <c r="C10" s="6" t="s">
        <v>830</v>
      </c>
      <c r="D10" s="6" t="s">
        <v>1430</v>
      </c>
      <c r="E10" s="7">
        <v>436.8</v>
      </c>
      <c r="F10" s="7">
        <v>24.46</v>
      </c>
      <c r="G10" s="7">
        <v>4.087</v>
      </c>
      <c r="H10" s="7">
        <v>94</v>
      </c>
      <c r="I10" s="6" t="s">
        <v>1431</v>
      </c>
      <c r="J10" s="6"/>
    </row>
    <row r="11" ht="15" customHeight="1" spans="1:10" x14ac:dyDescent="0.25">
      <c r="A11" s="6" t="s">
        <v>1440</v>
      </c>
      <c r="B11" s="6" t="s">
        <v>61</v>
      </c>
      <c r="C11" s="6" t="s">
        <v>830</v>
      </c>
      <c r="D11" s="6" t="s">
        <v>1430</v>
      </c>
      <c r="E11" s="7">
        <v>436.89</v>
      </c>
      <c r="F11" s="7">
        <v>24.43</v>
      </c>
      <c r="G11" s="7">
        <v>4.089</v>
      </c>
      <c r="H11" s="7">
        <v>94</v>
      </c>
      <c r="I11" s="6" t="s">
        <v>1431</v>
      </c>
      <c r="J11" s="6"/>
    </row>
    <row r="12" ht="15" customHeight="1" spans="1:10" x14ac:dyDescent="0.25">
      <c r="A12" s="6" t="s">
        <v>1441</v>
      </c>
      <c r="B12" s="6" t="s">
        <v>61</v>
      </c>
      <c r="C12" s="6" t="s">
        <v>830</v>
      </c>
      <c r="D12" s="6" t="s">
        <v>1430</v>
      </c>
      <c r="E12" s="7">
        <v>437.21</v>
      </c>
      <c r="F12" s="7">
        <v>24.34</v>
      </c>
      <c r="G12" s="7">
        <v>4.1</v>
      </c>
      <c r="H12" s="7">
        <v>94</v>
      </c>
      <c r="I12" s="6" t="s">
        <v>1431</v>
      </c>
      <c r="J12" s="6"/>
    </row>
    <row r="13" ht="15" customHeight="1" spans="1:10" x14ac:dyDescent="0.25">
      <c r="A13" s="6" t="s">
        <v>1442</v>
      </c>
      <c r="B13" s="6" t="s">
        <v>61</v>
      </c>
      <c r="C13" s="6" t="s">
        <v>830</v>
      </c>
      <c r="D13" s="6" t="s">
        <v>1430</v>
      </c>
      <c r="E13" s="7">
        <v>437</v>
      </c>
      <c r="F13" s="7">
        <v>24.58</v>
      </c>
      <c r="G13" s="7">
        <v>4.09</v>
      </c>
      <c r="H13" s="7">
        <v>94</v>
      </c>
      <c r="I13" s="6" t="s">
        <v>1431</v>
      </c>
      <c r="J13" s="6"/>
    </row>
    <row r="14" ht="15" customHeight="1" spans="1:10" x14ac:dyDescent="0.25">
      <c r="A14" s="6" t="s">
        <v>1443</v>
      </c>
      <c r="B14" s="6" t="s">
        <v>61</v>
      </c>
      <c r="C14" s="6" t="s">
        <v>830</v>
      </c>
      <c r="D14" s="6" t="s">
        <v>1430</v>
      </c>
      <c r="E14" s="7">
        <v>436.85</v>
      </c>
      <c r="F14" s="7">
        <v>24.26</v>
      </c>
      <c r="G14" s="7">
        <v>4.117</v>
      </c>
      <c r="H14" s="7">
        <v>94</v>
      </c>
      <c r="I14" s="6" t="s">
        <v>1431</v>
      </c>
      <c r="J14" s="6"/>
    </row>
    <row r="15" ht="15" customHeight="1" spans="1:10" x14ac:dyDescent="0.25">
      <c r="A15" s="6" t="s">
        <v>1444</v>
      </c>
      <c r="B15" s="6" t="s">
        <v>61</v>
      </c>
      <c r="C15" s="6" t="s">
        <v>830</v>
      </c>
      <c r="D15" s="6" t="s">
        <v>1430</v>
      </c>
      <c r="E15" s="7">
        <v>437.22</v>
      </c>
      <c r="F15" s="7">
        <v>24.5</v>
      </c>
      <c r="G15" s="7">
        <v>4.111</v>
      </c>
      <c r="H15" s="7">
        <v>94</v>
      </c>
      <c r="I15" s="6" t="s">
        <v>1431</v>
      </c>
      <c r="J15" s="6"/>
    </row>
    <row r="16" ht="15" customHeight="1" spans="1:10" x14ac:dyDescent="0.25">
      <c r="A16" s="6" t="s">
        <v>1445</v>
      </c>
      <c r="B16" s="6" t="s">
        <v>61</v>
      </c>
      <c r="C16" s="6" t="s">
        <v>830</v>
      </c>
      <c r="D16" s="6" t="s">
        <v>1430</v>
      </c>
      <c r="E16" s="7">
        <v>437.22</v>
      </c>
      <c r="F16" s="7">
        <v>24.22</v>
      </c>
      <c r="G16" s="7">
        <v>4.109</v>
      </c>
      <c r="H16" s="7">
        <v>94</v>
      </c>
      <c r="I16" s="6" t="s">
        <v>1431</v>
      </c>
      <c r="J16" s="6"/>
    </row>
    <row r="17" ht="15" customHeight="1" spans="1:10" x14ac:dyDescent="0.25">
      <c r="A17" s="6" t="s">
        <v>1446</v>
      </c>
      <c r="B17" s="6" t="s">
        <v>61</v>
      </c>
      <c r="C17" s="6" t="s">
        <v>830</v>
      </c>
      <c r="D17" s="6" t="s">
        <v>1430</v>
      </c>
      <c r="E17" s="7">
        <v>437.05</v>
      </c>
      <c r="F17" s="7">
        <v>24.41</v>
      </c>
      <c r="G17" s="7">
        <v>4.085</v>
      </c>
      <c r="H17" s="7">
        <v>94</v>
      </c>
      <c r="I17" s="6" t="s">
        <v>1431</v>
      </c>
      <c r="J17" s="6"/>
    </row>
    <row r="18" ht="15" customHeight="1" spans="1:10" x14ac:dyDescent="0.25">
      <c r="A18" s="6" t="s">
        <v>1447</v>
      </c>
      <c r="B18" s="6" t="s">
        <v>61</v>
      </c>
      <c r="C18" s="6" t="s">
        <v>830</v>
      </c>
      <c r="D18" s="6" t="s">
        <v>1430</v>
      </c>
      <c r="E18" s="7">
        <v>437.1</v>
      </c>
      <c r="F18" s="7">
        <v>24.4</v>
      </c>
      <c r="G18" s="7">
        <v>4.082</v>
      </c>
      <c r="H18" s="7">
        <v>94</v>
      </c>
      <c r="I18" s="6" t="s">
        <v>1431</v>
      </c>
      <c r="J18" s="6"/>
    </row>
    <row r="19" ht="15" customHeight="1" spans="1:10" x14ac:dyDescent="0.25">
      <c r="A19" s="6" t="s">
        <v>1448</v>
      </c>
      <c r="B19" s="6" t="s">
        <v>61</v>
      </c>
      <c r="C19" s="6" t="s">
        <v>830</v>
      </c>
      <c r="D19" s="6" t="s">
        <v>1430</v>
      </c>
      <c r="E19" s="7">
        <v>436.9</v>
      </c>
      <c r="F19" s="7">
        <v>24.31</v>
      </c>
      <c r="G19" s="7">
        <v>4.1</v>
      </c>
      <c r="H19" s="7">
        <v>94</v>
      </c>
      <c r="I19" s="6" t="s">
        <v>1431</v>
      </c>
      <c r="J19" s="6"/>
    </row>
    <row r="20" ht="15" customHeight="1" spans="1:10" x14ac:dyDescent="0.25">
      <c r="A20" s="6" t="s">
        <v>1449</v>
      </c>
      <c r="B20" s="6" t="s">
        <v>61</v>
      </c>
      <c r="C20" s="6" t="s">
        <v>830</v>
      </c>
      <c r="D20" s="6" t="s">
        <v>1430</v>
      </c>
      <c r="E20" s="7">
        <v>436.83</v>
      </c>
      <c r="F20" s="7">
        <v>24.74</v>
      </c>
      <c r="G20" s="7">
        <v>4.085</v>
      </c>
      <c r="H20" s="7">
        <v>94</v>
      </c>
      <c r="I20" s="6" t="s">
        <v>1431</v>
      </c>
      <c r="J20" s="6"/>
    </row>
    <row r="21" ht="15" customHeight="1" spans="1:10" x14ac:dyDescent="0.25">
      <c r="A21" s="6" t="s">
        <v>1450</v>
      </c>
      <c r="B21" s="6" t="s">
        <v>61</v>
      </c>
      <c r="C21" s="6" t="s">
        <v>830</v>
      </c>
      <c r="D21" s="6" t="s">
        <v>1430</v>
      </c>
      <c r="E21" s="7">
        <v>436.81</v>
      </c>
      <c r="F21" s="7">
        <v>24.22</v>
      </c>
      <c r="G21" s="7">
        <v>4.084</v>
      </c>
      <c r="H21" s="7">
        <v>94</v>
      </c>
      <c r="I21" s="6" t="s">
        <v>1431</v>
      </c>
      <c r="J21" s="6"/>
    </row>
    <row r="22" ht="15" customHeight="1" spans="1:10" x14ac:dyDescent="0.25">
      <c r="A22" s="6" t="s">
        <v>1451</v>
      </c>
      <c r="B22" s="6" t="s">
        <v>61</v>
      </c>
      <c r="C22" s="6" t="s">
        <v>830</v>
      </c>
      <c r="D22" s="6" t="s">
        <v>1430</v>
      </c>
      <c r="E22" s="7">
        <v>437.07</v>
      </c>
      <c r="F22" s="7">
        <v>24.49</v>
      </c>
      <c r="G22" s="7">
        <v>4.086</v>
      </c>
      <c r="H22" s="7">
        <v>94</v>
      </c>
      <c r="I22" s="6" t="s">
        <v>1452</v>
      </c>
      <c r="J22" s="6" t="s">
        <v>1453</v>
      </c>
    </row>
    <row r="23" ht="15" customHeight="1" spans="1:10" x14ac:dyDescent="0.25">
      <c r="A23" s="6" t="s">
        <v>1454</v>
      </c>
      <c r="B23" s="6" t="s">
        <v>61</v>
      </c>
      <c r="C23" s="6" t="s">
        <v>830</v>
      </c>
      <c r="D23" s="6" t="s">
        <v>1430</v>
      </c>
      <c r="E23" s="7">
        <v>436.69</v>
      </c>
      <c r="F23" s="7">
        <v>24.49</v>
      </c>
      <c r="G23" s="7">
        <v>4.133</v>
      </c>
      <c r="H23" s="7">
        <v>93.8</v>
      </c>
      <c r="I23" s="6" t="s">
        <v>1452</v>
      </c>
      <c r="J23" s="6"/>
    </row>
    <row r="24" ht="15" customHeight="1" spans="1:10" x14ac:dyDescent="0.25">
      <c r="A24" s="6" t="s">
        <v>1455</v>
      </c>
      <c r="B24" s="6" t="s">
        <v>61</v>
      </c>
      <c r="C24" s="6" t="s">
        <v>830</v>
      </c>
      <c r="D24" s="6" t="s">
        <v>1430</v>
      </c>
      <c r="E24" s="7">
        <v>436.46</v>
      </c>
      <c r="F24" s="7">
        <v>25.21</v>
      </c>
      <c r="G24" s="7">
        <v>4.138</v>
      </c>
      <c r="H24" s="7">
        <v>93.61</v>
      </c>
      <c r="I24" s="6" t="s">
        <v>1452</v>
      </c>
      <c r="J24" s="6"/>
    </row>
    <row r="25" ht="15" customHeight="1" spans="1:10" x14ac:dyDescent="0.25">
      <c r="A25" s="6" t="s">
        <v>1456</v>
      </c>
      <c r="B25" s="6" t="s">
        <v>61</v>
      </c>
      <c r="C25" s="6" t="s">
        <v>830</v>
      </c>
      <c r="D25" s="6" t="s">
        <v>1430</v>
      </c>
      <c r="E25" s="7">
        <v>436.22</v>
      </c>
      <c r="F25" s="7">
        <v>25.21</v>
      </c>
      <c r="G25" s="7">
        <v>4.163</v>
      </c>
      <c r="H25" s="7">
        <v>93.41</v>
      </c>
      <c r="I25" s="6" t="s">
        <v>1452</v>
      </c>
      <c r="J25" s="6"/>
    </row>
    <row r="26" ht="15" customHeight="1" spans="1:10" x14ac:dyDescent="0.25">
      <c r="A26" s="6" t="s">
        <v>1457</v>
      </c>
      <c r="B26" s="6" t="s">
        <v>61</v>
      </c>
      <c r="C26" s="6" t="s">
        <v>830</v>
      </c>
      <c r="D26" s="6" t="s">
        <v>1430</v>
      </c>
      <c r="E26" s="7">
        <v>435.9</v>
      </c>
      <c r="F26" s="7">
        <v>25.54</v>
      </c>
      <c r="G26" s="7">
        <v>4.152</v>
      </c>
      <c r="H26" s="7">
        <v>93.22</v>
      </c>
      <c r="I26" s="6" t="s">
        <v>1452</v>
      </c>
      <c r="J26" s="6"/>
    </row>
    <row r="27" ht="15" customHeight="1" spans="1:10" x14ac:dyDescent="0.25">
      <c r="A27" s="6" t="s">
        <v>1458</v>
      </c>
      <c r="B27" s="6" t="s">
        <v>61</v>
      </c>
      <c r="C27" s="6" t="s">
        <v>830</v>
      </c>
      <c r="D27" s="6" t="s">
        <v>1430</v>
      </c>
      <c r="E27" s="7">
        <v>435.55</v>
      </c>
      <c r="F27" s="7">
        <v>25.77</v>
      </c>
      <c r="G27" s="7">
        <v>4.168</v>
      </c>
      <c r="H27" s="7">
        <v>93.02</v>
      </c>
      <c r="I27" s="6" t="s">
        <v>1452</v>
      </c>
      <c r="J27" s="6"/>
    </row>
    <row r="28" ht="15" customHeight="1" spans="1:10" x14ac:dyDescent="0.25">
      <c r="A28" s="6" t="s">
        <v>1459</v>
      </c>
      <c r="B28" s="6" t="s">
        <v>61</v>
      </c>
      <c r="C28" s="6" t="s">
        <v>830</v>
      </c>
      <c r="D28" s="6" t="s">
        <v>1430</v>
      </c>
      <c r="E28" s="7">
        <v>435.13</v>
      </c>
      <c r="F28" s="7">
        <v>25.68</v>
      </c>
      <c r="G28" s="7">
        <v>4.198</v>
      </c>
      <c r="H28" s="7">
        <v>92.82</v>
      </c>
      <c r="I28" s="6" t="s">
        <v>1452</v>
      </c>
      <c r="J28" s="6"/>
    </row>
    <row r="29" ht="15" customHeight="1" spans="1:10" x14ac:dyDescent="0.25">
      <c r="A29" s="6" t="s">
        <v>1460</v>
      </c>
      <c r="B29" s="6" t="s">
        <v>61</v>
      </c>
      <c r="C29" s="6" t="s">
        <v>830</v>
      </c>
      <c r="D29" s="6" t="s">
        <v>1430</v>
      </c>
      <c r="E29" s="7">
        <v>434.67</v>
      </c>
      <c r="F29" s="7">
        <v>26.13</v>
      </c>
      <c r="G29" s="7">
        <v>4.218</v>
      </c>
      <c r="H29" s="7">
        <v>92.63</v>
      </c>
      <c r="I29" s="6" t="s">
        <v>1452</v>
      </c>
      <c r="J29" s="6"/>
    </row>
    <row r="30" ht="15" customHeight="1" spans="1:10" x14ac:dyDescent="0.25">
      <c r="A30" s="6" t="s">
        <v>1461</v>
      </c>
      <c r="B30" s="6" t="s">
        <v>61</v>
      </c>
      <c r="C30" s="6" t="s">
        <v>830</v>
      </c>
      <c r="D30" s="6" t="s">
        <v>1430</v>
      </c>
      <c r="E30" s="7">
        <v>434.14</v>
      </c>
      <c r="F30" s="7">
        <v>26.57</v>
      </c>
      <c r="G30" s="7">
        <v>4.223</v>
      </c>
      <c r="H30" s="7">
        <v>92.43</v>
      </c>
      <c r="I30" s="6" t="s">
        <v>1452</v>
      </c>
      <c r="J30" s="6"/>
    </row>
    <row r="31" ht="15" customHeight="1" spans="1:10" x14ac:dyDescent="0.25">
      <c r="A31" s="6" t="s">
        <v>1462</v>
      </c>
      <c r="B31" s="6" t="s">
        <v>61</v>
      </c>
      <c r="C31" s="6" t="s">
        <v>830</v>
      </c>
      <c r="D31" s="6" t="s">
        <v>1430</v>
      </c>
      <c r="E31" s="7">
        <v>434.19</v>
      </c>
      <c r="F31" s="7">
        <v>26.53</v>
      </c>
      <c r="G31" s="7">
        <v>4.264</v>
      </c>
      <c r="H31" s="7">
        <v>92.24</v>
      </c>
      <c r="I31" s="6" t="s">
        <v>1452</v>
      </c>
      <c r="J31" s="6"/>
    </row>
    <row r="32" ht="15" customHeight="1" spans="1:10" x14ac:dyDescent="0.25">
      <c r="A32" s="6" t="s">
        <v>1463</v>
      </c>
      <c r="B32" s="6" t="s">
        <v>61</v>
      </c>
      <c r="C32" s="6" t="s">
        <v>830</v>
      </c>
      <c r="D32" s="6" t="s">
        <v>1430</v>
      </c>
      <c r="E32" s="7">
        <v>433.66</v>
      </c>
      <c r="F32" s="7">
        <v>27</v>
      </c>
      <c r="G32" s="7">
        <v>4.271</v>
      </c>
      <c r="H32" s="7">
        <v>92.04</v>
      </c>
      <c r="I32" s="6" t="s">
        <v>1452</v>
      </c>
      <c r="J32" s="6"/>
    </row>
    <row r="33" ht="15" customHeight="1" spans="1:10" x14ac:dyDescent="0.25">
      <c r="A33" s="6" t="s">
        <v>1464</v>
      </c>
      <c r="B33" s="6" t="s">
        <v>61</v>
      </c>
      <c r="C33" s="6" t="s">
        <v>830</v>
      </c>
      <c r="D33" s="6" t="s">
        <v>1430</v>
      </c>
      <c r="E33" s="7">
        <v>433.44</v>
      </c>
      <c r="F33" s="7">
        <v>27.1</v>
      </c>
      <c r="G33" s="7">
        <v>4.303</v>
      </c>
      <c r="H33" s="7">
        <v>91.84</v>
      </c>
      <c r="I33" s="6" t="s">
        <v>1452</v>
      </c>
      <c r="J33" s="6"/>
    </row>
    <row r="34" ht="15" customHeight="1" spans="1:10" x14ac:dyDescent="0.25">
      <c r="A34" s="6" t="s">
        <v>1465</v>
      </c>
      <c r="B34" s="6" t="s">
        <v>61</v>
      </c>
      <c r="C34" s="6" t="s">
        <v>830</v>
      </c>
      <c r="D34" s="6" t="s">
        <v>1430</v>
      </c>
      <c r="E34" s="7">
        <v>432.94</v>
      </c>
      <c r="F34" s="7">
        <v>27.38</v>
      </c>
      <c r="G34" s="7">
        <v>4.292</v>
      </c>
      <c r="H34" s="7">
        <v>91.65</v>
      </c>
      <c r="I34" s="6" t="s">
        <v>1452</v>
      </c>
      <c r="J34" s="6"/>
    </row>
    <row r="35" ht="15" customHeight="1" spans="1:10" x14ac:dyDescent="0.25">
      <c r="A35" s="6" t="s">
        <v>1466</v>
      </c>
      <c r="B35" s="6" t="s">
        <v>61</v>
      </c>
      <c r="C35" s="6" t="s">
        <v>830</v>
      </c>
      <c r="D35" s="6" t="s">
        <v>1430</v>
      </c>
      <c r="E35" s="7">
        <v>432.5</v>
      </c>
      <c r="F35" s="7">
        <v>27.7</v>
      </c>
      <c r="G35" s="7">
        <v>4.334</v>
      </c>
      <c r="H35" s="7">
        <v>91.45</v>
      </c>
      <c r="I35" s="6" t="s">
        <v>1452</v>
      </c>
      <c r="J35" s="6"/>
    </row>
    <row r="36" ht="15" customHeight="1" spans="1:10" x14ac:dyDescent="0.25">
      <c r="A36" s="6" t="s">
        <v>1467</v>
      </c>
      <c r="B36" s="6" t="s">
        <v>61</v>
      </c>
      <c r="C36" s="6" t="s">
        <v>830</v>
      </c>
      <c r="D36" s="6" t="s">
        <v>1430</v>
      </c>
      <c r="E36" s="7">
        <v>432.17</v>
      </c>
      <c r="F36" s="7">
        <v>28.01</v>
      </c>
      <c r="G36" s="7">
        <v>4.349</v>
      </c>
      <c r="H36" s="7">
        <v>91.26</v>
      </c>
      <c r="I36" s="6" t="s">
        <v>1452</v>
      </c>
      <c r="J36" s="6"/>
    </row>
    <row r="37" ht="15" customHeight="1" spans="1:10" x14ac:dyDescent="0.25">
      <c r="A37" s="6" t="s">
        <v>1468</v>
      </c>
      <c r="B37" s="6" t="s">
        <v>61</v>
      </c>
      <c r="C37" s="6" t="s">
        <v>830</v>
      </c>
      <c r="D37" s="6" t="s">
        <v>1430</v>
      </c>
      <c r="E37" s="7">
        <v>431.94</v>
      </c>
      <c r="F37" s="7">
        <v>28.38</v>
      </c>
      <c r="G37" s="7">
        <v>4.352</v>
      </c>
      <c r="H37" s="7">
        <v>91.06</v>
      </c>
      <c r="I37" s="6" t="s">
        <v>1452</v>
      </c>
      <c r="J37" s="6"/>
    </row>
    <row r="38" ht="15" customHeight="1" spans="1:10" x14ac:dyDescent="0.25">
      <c r="A38" s="6" t="s">
        <v>1469</v>
      </c>
      <c r="B38" s="6" t="s">
        <v>61</v>
      </c>
      <c r="C38" s="6" t="s">
        <v>830</v>
      </c>
      <c r="D38" s="6" t="s">
        <v>1430</v>
      </c>
      <c r="E38" s="7">
        <v>431.69</v>
      </c>
      <c r="F38" s="7">
        <v>28.18</v>
      </c>
      <c r="G38" s="7">
        <v>4.353</v>
      </c>
      <c r="H38" s="7">
        <v>90.86</v>
      </c>
      <c r="I38" s="6" t="s">
        <v>1452</v>
      </c>
      <c r="J38" s="6"/>
    </row>
    <row r="40" ht="15" customHeight="1" spans="1:1" x14ac:dyDescent="0.25">
      <c r="A40" s="9" t="s">
        <v>1470</v>
      </c>
    </row>
    <row r="41" ht="15" customHeight="1" spans="1:1" x14ac:dyDescent="0.25">
      <c r="A41" s="9" t="s">
        <v>1471</v>
      </c>
    </row>
    <row r="42" ht="15" customHeight="1" spans="1:1" x14ac:dyDescent="0.25">
      <c r="A42" s="9" t="s">
        <v>1472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1473</v>
      </c>
      <c r="C1" s="5" t="s">
        <v>1474</v>
      </c>
      <c r="D1" s="5" t="s">
        <v>1475</v>
      </c>
      <c r="E1" s="5" t="s">
        <v>1476</v>
      </c>
      <c r="F1" s="5" t="s">
        <v>58</v>
      </c>
      <c r="G1" s="5" t="s">
        <v>1248</v>
      </c>
      <c r="H1" s="5" t="s">
        <v>1477</v>
      </c>
      <c r="I1" s="5" t="s">
        <v>1478</v>
      </c>
      <c r="J1" s="5" t="s">
        <v>1479</v>
      </c>
      <c r="K1" s="5" t="s">
        <v>1480</v>
      </c>
    </row>
    <row r="2" ht="15" customHeight="1" spans="1:11" x14ac:dyDescent="0.25">
      <c r="A2" s="6" t="s">
        <v>61</v>
      </c>
      <c r="B2" s="6" t="s">
        <v>1481</v>
      </c>
      <c r="C2" s="8">
        <v>7452648</v>
      </c>
      <c r="D2" s="8">
        <v>1639583</v>
      </c>
      <c r="E2" s="8">
        <v>5813065</v>
      </c>
      <c r="F2" s="7">
        <v>8.5</v>
      </c>
      <c r="G2" s="7">
        <v>633.5</v>
      </c>
      <c r="H2" s="7">
        <v>1.575</v>
      </c>
      <c r="I2" s="7">
        <v>0.71</v>
      </c>
      <c r="J2" s="7">
        <v>4127.3</v>
      </c>
      <c r="K2" s="8">
        <v>0</v>
      </c>
    </row>
    <row r="3" ht="15" customHeight="1" spans="1:11" x14ac:dyDescent="0.25">
      <c r="A3" s="6" t="s">
        <v>61</v>
      </c>
      <c r="B3" s="6" t="s">
        <v>1482</v>
      </c>
      <c r="C3" s="8">
        <v>6856400</v>
      </c>
      <c r="D3" s="8">
        <v>1508408</v>
      </c>
      <c r="E3" s="8">
        <v>5347992</v>
      </c>
      <c r="F3" s="7">
        <v>8.5</v>
      </c>
      <c r="G3" s="7">
        <v>582.8</v>
      </c>
      <c r="H3" s="7">
        <v>1.568</v>
      </c>
      <c r="I3" s="7">
        <v>0.71</v>
      </c>
      <c r="J3" s="7">
        <v>3797.1</v>
      </c>
      <c r="K3" s="8">
        <v>0</v>
      </c>
    </row>
    <row r="4" ht="15" customHeight="1" spans="1:11" x14ac:dyDescent="0.25">
      <c r="A4" s="6" t="s">
        <v>61</v>
      </c>
      <c r="B4" s="6" t="s">
        <v>1483</v>
      </c>
      <c r="C4" s="8">
        <v>7651677</v>
      </c>
      <c r="D4" s="8">
        <v>1683369</v>
      </c>
      <c r="E4" s="8">
        <v>5968308</v>
      </c>
      <c r="F4" s="7">
        <v>8.5</v>
      </c>
      <c r="G4" s="7">
        <v>650.4</v>
      </c>
      <c r="H4" s="7">
        <v>1.568</v>
      </c>
      <c r="I4" s="7">
        <v>0.71</v>
      </c>
      <c r="J4" s="7">
        <v>4237.5</v>
      </c>
      <c r="K4" s="8">
        <v>0</v>
      </c>
    </row>
    <row r="5" ht="15" customHeight="1" spans="1:11" x14ac:dyDescent="0.25">
      <c r="A5" s="6" t="s">
        <v>61</v>
      </c>
      <c r="B5" s="6" t="s">
        <v>1484</v>
      </c>
      <c r="C5" s="8">
        <v>7403881</v>
      </c>
      <c r="D5" s="8">
        <v>1628854</v>
      </c>
      <c r="E5" s="8">
        <v>5775027</v>
      </c>
      <c r="F5" s="7">
        <v>8.5</v>
      </c>
      <c r="G5" s="7">
        <v>629.3</v>
      </c>
      <c r="H5" s="7">
        <v>1.583</v>
      </c>
      <c r="I5" s="7">
        <v>0.71</v>
      </c>
      <c r="J5" s="7">
        <v>4100.3</v>
      </c>
      <c r="K5" s="8">
        <v>0</v>
      </c>
    </row>
    <row r="6" ht="15" customHeight="1" spans="1:11" x14ac:dyDescent="0.25">
      <c r="A6" s="6" t="s">
        <v>61</v>
      </c>
      <c r="B6" s="6" t="s">
        <v>1485</v>
      </c>
      <c r="C6" s="8">
        <v>7920279</v>
      </c>
      <c r="D6" s="8">
        <v>1742461</v>
      </c>
      <c r="E6" s="8">
        <v>6177818</v>
      </c>
      <c r="F6" s="7">
        <v>8.5</v>
      </c>
      <c r="G6" s="7">
        <v>673.2</v>
      </c>
      <c r="H6" s="7">
        <v>1.632</v>
      </c>
      <c r="I6" s="7">
        <v>0.71</v>
      </c>
      <c r="J6" s="7">
        <v>4386.3</v>
      </c>
      <c r="K6" s="8">
        <v>0</v>
      </c>
    </row>
    <row r="7" ht="15" customHeight="1" spans="1:11" x14ac:dyDescent="0.25">
      <c r="A7" s="6" t="s">
        <v>61</v>
      </c>
      <c r="B7" s="6" t="s">
        <v>1486</v>
      </c>
      <c r="C7" s="8">
        <v>7805196</v>
      </c>
      <c r="D7" s="8">
        <v>1717143</v>
      </c>
      <c r="E7" s="8">
        <v>6088053</v>
      </c>
      <c r="F7" s="7">
        <v>8.5</v>
      </c>
      <c r="G7" s="7">
        <v>663.4</v>
      </c>
      <c r="H7" s="7">
        <v>1.645</v>
      </c>
      <c r="I7" s="7">
        <v>0.71</v>
      </c>
      <c r="J7" s="7">
        <v>4322.5</v>
      </c>
      <c r="K7" s="8">
        <v>0</v>
      </c>
    </row>
    <row r="8" ht="15" customHeight="1" spans="1:11" x14ac:dyDescent="0.25">
      <c r="A8" s="6" t="s">
        <v>61</v>
      </c>
      <c r="B8" s="6" t="s">
        <v>1487</v>
      </c>
      <c r="C8" s="8">
        <v>8201898</v>
      </c>
      <c r="D8" s="8">
        <v>1804418</v>
      </c>
      <c r="E8" s="8">
        <v>6397480</v>
      </c>
      <c r="F8" s="7">
        <v>8.5</v>
      </c>
      <c r="G8" s="7">
        <v>697.2</v>
      </c>
      <c r="H8" s="7">
        <v>1.661</v>
      </c>
      <c r="I8" s="7">
        <v>0.71</v>
      </c>
      <c r="J8" s="7">
        <v>4542.2</v>
      </c>
      <c r="K8" s="8">
        <v>0</v>
      </c>
    </row>
    <row r="9" ht="15" customHeight="1" spans="1:11" x14ac:dyDescent="0.25">
      <c r="A9" s="6" t="s">
        <v>61</v>
      </c>
      <c r="B9" s="6" t="s">
        <v>1488</v>
      </c>
      <c r="C9" s="8">
        <v>8251833</v>
      </c>
      <c r="D9" s="8">
        <v>1815403</v>
      </c>
      <c r="E9" s="8">
        <v>6436430</v>
      </c>
      <c r="F9" s="7">
        <v>8.5</v>
      </c>
      <c r="G9" s="7">
        <v>701.4</v>
      </c>
      <c r="H9" s="7">
        <v>1.649</v>
      </c>
      <c r="I9" s="7">
        <v>0.71</v>
      </c>
      <c r="J9" s="7">
        <v>4569.9</v>
      </c>
      <c r="K9" s="8">
        <v>0</v>
      </c>
    </row>
    <row r="10" ht="15" customHeight="1" spans="1:11" x14ac:dyDescent="0.25">
      <c r="A10" s="6" t="s">
        <v>61</v>
      </c>
      <c r="B10" s="6" t="s">
        <v>1489</v>
      </c>
      <c r="C10" s="8">
        <v>8238138</v>
      </c>
      <c r="D10" s="8">
        <v>1812390</v>
      </c>
      <c r="E10" s="8">
        <v>6425748</v>
      </c>
      <c r="F10" s="7">
        <v>8.5</v>
      </c>
      <c r="G10" s="7">
        <v>700.2</v>
      </c>
      <c r="H10" s="7">
        <v>1.658</v>
      </c>
      <c r="I10" s="7">
        <v>0.71</v>
      </c>
      <c r="J10" s="7">
        <v>4562.3</v>
      </c>
      <c r="K10" s="8">
        <v>0</v>
      </c>
    </row>
    <row r="11" ht="15" customHeight="1" spans="1:11" x14ac:dyDescent="0.25">
      <c r="A11" s="6" t="s">
        <v>69</v>
      </c>
      <c r="B11" s="6" t="s">
        <v>1481</v>
      </c>
      <c r="C11" s="8">
        <v>5985294</v>
      </c>
      <c r="D11" s="8">
        <v>837941</v>
      </c>
      <c r="E11" s="8">
        <v>5147353</v>
      </c>
      <c r="F11" s="7">
        <v>8.5</v>
      </c>
      <c r="G11" s="7">
        <v>508.7</v>
      </c>
      <c r="H11" s="7">
        <v>1.75</v>
      </c>
      <c r="I11" s="7">
        <v>0.71</v>
      </c>
      <c r="J11" s="7">
        <v>3654.6</v>
      </c>
      <c r="K11" s="8">
        <v>0</v>
      </c>
    </row>
    <row r="12" ht="15" customHeight="1" spans="1:11" x14ac:dyDescent="0.25">
      <c r="A12" s="6" t="s">
        <v>69</v>
      </c>
      <c r="B12" s="6" t="s">
        <v>1482</v>
      </c>
      <c r="C12" s="8">
        <v>5537328</v>
      </c>
      <c r="D12" s="8">
        <v>775226</v>
      </c>
      <c r="E12" s="8">
        <v>4762102</v>
      </c>
      <c r="F12" s="7">
        <v>8.5</v>
      </c>
      <c r="G12" s="7">
        <v>470.7</v>
      </c>
      <c r="H12" s="7">
        <v>1.748</v>
      </c>
      <c r="I12" s="7">
        <v>0.71</v>
      </c>
      <c r="J12" s="7">
        <v>3381.1</v>
      </c>
      <c r="K12" s="8">
        <v>0</v>
      </c>
    </row>
    <row r="13" ht="15" customHeight="1" spans="1:11" x14ac:dyDescent="0.25">
      <c r="A13" s="6" t="s">
        <v>69</v>
      </c>
      <c r="B13" s="6" t="s">
        <v>1483</v>
      </c>
      <c r="C13" s="8">
        <v>6192203</v>
      </c>
      <c r="D13" s="8">
        <v>866908</v>
      </c>
      <c r="E13" s="8">
        <v>5325295</v>
      </c>
      <c r="F13" s="7">
        <v>8.5</v>
      </c>
      <c r="G13" s="7">
        <v>526.3</v>
      </c>
      <c r="H13" s="7">
        <v>1.739</v>
      </c>
      <c r="I13" s="7">
        <v>0.71</v>
      </c>
      <c r="J13" s="7">
        <v>3781</v>
      </c>
      <c r="K13" s="8">
        <v>0</v>
      </c>
    </row>
    <row r="14" ht="15" customHeight="1" spans="1:11" x14ac:dyDescent="0.25">
      <c r="A14" s="6" t="s">
        <v>69</v>
      </c>
      <c r="B14" s="6" t="s">
        <v>1484</v>
      </c>
      <c r="C14" s="8">
        <v>6038565</v>
      </c>
      <c r="D14" s="8">
        <v>845399</v>
      </c>
      <c r="E14" s="8">
        <v>5193166</v>
      </c>
      <c r="F14" s="7">
        <v>8.5</v>
      </c>
      <c r="G14" s="7">
        <v>513.3</v>
      </c>
      <c r="H14" s="7">
        <v>1.744</v>
      </c>
      <c r="I14" s="7">
        <v>0.71</v>
      </c>
      <c r="J14" s="7">
        <v>3687.1</v>
      </c>
      <c r="K14" s="8">
        <v>0</v>
      </c>
    </row>
    <row r="15" ht="15" customHeight="1" spans="1:11" x14ac:dyDescent="0.25">
      <c r="A15" s="6" t="s">
        <v>69</v>
      </c>
      <c r="B15" s="6" t="s">
        <v>1485</v>
      </c>
      <c r="C15" s="8">
        <v>6417815</v>
      </c>
      <c r="D15" s="8">
        <v>898494</v>
      </c>
      <c r="E15" s="8">
        <v>5519321</v>
      </c>
      <c r="F15" s="7">
        <v>8.5</v>
      </c>
      <c r="G15" s="7">
        <v>545.5</v>
      </c>
      <c r="H15" s="7">
        <v>1.772</v>
      </c>
      <c r="I15" s="7">
        <v>0.71</v>
      </c>
      <c r="J15" s="7">
        <v>3918.7</v>
      </c>
      <c r="K15" s="8">
        <v>0</v>
      </c>
    </row>
    <row r="16" ht="15" customHeight="1" spans="1:11" x14ac:dyDescent="0.25">
      <c r="A16" s="6" t="s">
        <v>69</v>
      </c>
      <c r="B16" s="6" t="s">
        <v>1486</v>
      </c>
      <c r="C16" s="8">
        <v>6194694</v>
      </c>
      <c r="D16" s="8">
        <v>867257</v>
      </c>
      <c r="E16" s="8">
        <v>5327437</v>
      </c>
      <c r="F16" s="7">
        <v>8.5</v>
      </c>
      <c r="G16" s="7">
        <v>526.5</v>
      </c>
      <c r="H16" s="7">
        <v>1.778</v>
      </c>
      <c r="I16" s="7">
        <v>0.71</v>
      </c>
      <c r="J16" s="7">
        <v>3782.5</v>
      </c>
      <c r="K16" s="8">
        <v>0</v>
      </c>
    </row>
    <row r="17" ht="15" customHeight="1" spans="1:11" x14ac:dyDescent="0.25">
      <c r="A17" s="6" t="s">
        <v>69</v>
      </c>
      <c r="B17" s="6" t="s">
        <v>1487</v>
      </c>
      <c r="C17" s="8">
        <v>6491465</v>
      </c>
      <c r="D17" s="8">
        <v>908805</v>
      </c>
      <c r="E17" s="8">
        <v>5582660</v>
      </c>
      <c r="F17" s="7">
        <v>8.5</v>
      </c>
      <c r="G17" s="7">
        <v>551.8</v>
      </c>
      <c r="H17" s="7">
        <v>1.763</v>
      </c>
      <c r="I17" s="7">
        <v>0.71</v>
      </c>
      <c r="J17" s="7">
        <v>3963.7</v>
      </c>
      <c r="K17" s="8">
        <v>0</v>
      </c>
    </row>
    <row r="18" ht="15" customHeight="1" spans="1:11" x14ac:dyDescent="0.25">
      <c r="A18" s="6" t="s">
        <v>69</v>
      </c>
      <c r="B18" s="6" t="s">
        <v>1488</v>
      </c>
      <c r="C18" s="8">
        <v>6466821</v>
      </c>
      <c r="D18" s="8">
        <v>905355</v>
      </c>
      <c r="E18" s="8">
        <v>5561466</v>
      </c>
      <c r="F18" s="7">
        <v>8.5</v>
      </c>
      <c r="G18" s="7">
        <v>549.7</v>
      </c>
      <c r="H18" s="7">
        <v>1.751</v>
      </c>
      <c r="I18" s="7">
        <v>0.71</v>
      </c>
      <c r="J18" s="7">
        <v>3948.6</v>
      </c>
      <c r="K18" s="8">
        <v>0</v>
      </c>
    </row>
    <row r="19" ht="15" customHeight="1" spans="1:11" x14ac:dyDescent="0.25">
      <c r="A19" s="6" t="s">
        <v>69</v>
      </c>
      <c r="B19" s="6" t="s">
        <v>1489</v>
      </c>
      <c r="C19" s="8">
        <v>6288660</v>
      </c>
      <c r="D19" s="8">
        <v>880412</v>
      </c>
      <c r="E19" s="8">
        <v>5408248</v>
      </c>
      <c r="F19" s="7">
        <v>8.5</v>
      </c>
      <c r="G19" s="7">
        <v>534.5</v>
      </c>
      <c r="H19" s="7">
        <v>1.75</v>
      </c>
      <c r="I19" s="7">
        <v>0.71</v>
      </c>
      <c r="J19" s="7">
        <v>3839.9</v>
      </c>
      <c r="K19" s="8">
        <v>0</v>
      </c>
    </row>
    <row r="20" ht="15" customHeight="1" spans="1:11" x14ac:dyDescent="0.25">
      <c r="A20" s="6" t="s">
        <v>73</v>
      </c>
      <c r="B20" s="6" t="s">
        <v>1481</v>
      </c>
      <c r="C20" s="8">
        <v>6233235</v>
      </c>
      <c r="D20" s="8">
        <v>1932303</v>
      </c>
      <c r="E20" s="8">
        <v>4300932</v>
      </c>
      <c r="F20" s="7">
        <v>7.9</v>
      </c>
      <c r="G20" s="7">
        <v>492.4</v>
      </c>
      <c r="H20" s="7">
        <v>1.618</v>
      </c>
      <c r="I20" s="7">
        <v>0.71</v>
      </c>
      <c r="J20" s="7">
        <v>3053.7</v>
      </c>
      <c r="K20" s="8">
        <v>0</v>
      </c>
    </row>
    <row r="21" ht="15" customHeight="1" spans="1:11" x14ac:dyDescent="0.25">
      <c r="A21" s="6" t="s">
        <v>73</v>
      </c>
      <c r="B21" s="6" t="s">
        <v>1482</v>
      </c>
      <c r="C21" s="8">
        <v>5653846</v>
      </c>
      <c r="D21" s="8">
        <v>1752692</v>
      </c>
      <c r="E21" s="8">
        <v>3901154</v>
      </c>
      <c r="F21" s="7">
        <v>7.9</v>
      </c>
      <c r="G21" s="7">
        <v>446.7</v>
      </c>
      <c r="H21" s="7">
        <v>1.609</v>
      </c>
      <c r="I21" s="7">
        <v>0.71</v>
      </c>
      <c r="J21" s="7">
        <v>2769.8</v>
      </c>
      <c r="K21" s="8">
        <v>0</v>
      </c>
    </row>
    <row r="22" ht="15" customHeight="1" spans="1:11" x14ac:dyDescent="0.25">
      <c r="A22" s="6" t="s">
        <v>73</v>
      </c>
      <c r="B22" s="6" t="s">
        <v>1483</v>
      </c>
      <c r="C22" s="8">
        <v>6175571</v>
      </c>
      <c r="D22" s="8">
        <v>1914427</v>
      </c>
      <c r="E22" s="8">
        <v>4261144</v>
      </c>
      <c r="F22" s="7">
        <v>7.9</v>
      </c>
      <c r="G22" s="7">
        <v>487.9</v>
      </c>
      <c r="H22" s="7">
        <v>1.613</v>
      </c>
      <c r="I22" s="7">
        <v>0.71</v>
      </c>
      <c r="J22" s="7">
        <v>3025.4</v>
      </c>
      <c r="K22" s="8">
        <v>0</v>
      </c>
    </row>
    <row r="23" ht="15" customHeight="1" spans="1:11" x14ac:dyDescent="0.25">
      <c r="A23" s="6" t="s">
        <v>73</v>
      </c>
      <c r="B23" s="6" t="s">
        <v>1484</v>
      </c>
      <c r="C23" s="8">
        <v>6193584</v>
      </c>
      <c r="D23" s="8">
        <v>1920011</v>
      </c>
      <c r="E23" s="8">
        <v>4273573</v>
      </c>
      <c r="F23" s="7">
        <v>7.9</v>
      </c>
      <c r="G23" s="7">
        <v>489.3</v>
      </c>
      <c r="H23" s="7">
        <v>1.62</v>
      </c>
      <c r="I23" s="7">
        <v>0.71</v>
      </c>
      <c r="J23" s="7">
        <v>3034.2</v>
      </c>
      <c r="K23" s="8">
        <v>0</v>
      </c>
    </row>
    <row r="24" ht="15" customHeight="1" spans="1:11" x14ac:dyDescent="0.25">
      <c r="A24" s="6" t="s">
        <v>73</v>
      </c>
      <c r="B24" s="6" t="s">
        <v>1485</v>
      </c>
      <c r="C24" s="8">
        <v>6570045</v>
      </c>
      <c r="D24" s="8">
        <v>2036714</v>
      </c>
      <c r="E24" s="8">
        <v>4533331</v>
      </c>
      <c r="F24" s="7">
        <v>7.9</v>
      </c>
      <c r="G24" s="7">
        <v>519</v>
      </c>
      <c r="H24" s="7">
        <v>1.654</v>
      </c>
      <c r="I24" s="7">
        <v>0.71</v>
      </c>
      <c r="J24" s="7">
        <v>3218.7</v>
      </c>
      <c r="K24" s="8">
        <v>0</v>
      </c>
    </row>
    <row r="25" ht="15" customHeight="1" spans="1:11" x14ac:dyDescent="0.25">
      <c r="A25" s="6" t="s">
        <v>73</v>
      </c>
      <c r="B25" s="6" t="s">
        <v>1486</v>
      </c>
      <c r="C25" s="8">
        <v>6274800</v>
      </c>
      <c r="D25" s="8">
        <v>1945188</v>
      </c>
      <c r="E25" s="8">
        <v>4329612</v>
      </c>
      <c r="F25" s="7">
        <v>7.9</v>
      </c>
      <c r="G25" s="7">
        <v>495.7</v>
      </c>
      <c r="H25" s="7">
        <v>1.66</v>
      </c>
      <c r="I25" s="7">
        <v>0.71</v>
      </c>
      <c r="J25" s="7">
        <v>3074</v>
      </c>
      <c r="K25" s="8">
        <v>0</v>
      </c>
    </row>
    <row r="26" ht="15" customHeight="1" spans="1:11" x14ac:dyDescent="0.25">
      <c r="A26" s="6" t="s">
        <v>73</v>
      </c>
      <c r="B26" s="6" t="s">
        <v>1487</v>
      </c>
      <c r="C26" s="8">
        <v>6578798</v>
      </c>
      <c r="D26" s="8">
        <v>2039427</v>
      </c>
      <c r="E26" s="8">
        <v>4539371</v>
      </c>
      <c r="F26" s="7">
        <v>7.9</v>
      </c>
      <c r="G26" s="7">
        <v>519.7</v>
      </c>
      <c r="H26" s="7">
        <v>1.659</v>
      </c>
      <c r="I26" s="7">
        <v>0.71</v>
      </c>
      <c r="J26" s="7">
        <v>3223</v>
      </c>
      <c r="K26" s="8">
        <v>0</v>
      </c>
    </row>
    <row r="27" ht="15" customHeight="1" spans="1:11" x14ac:dyDescent="0.25">
      <c r="A27" s="6" t="s">
        <v>73</v>
      </c>
      <c r="B27" s="6" t="s">
        <v>1488</v>
      </c>
      <c r="C27" s="8">
        <v>6607506</v>
      </c>
      <c r="D27" s="8">
        <v>2048327</v>
      </c>
      <c r="E27" s="8">
        <v>4559179</v>
      </c>
      <c r="F27" s="7">
        <v>7.9</v>
      </c>
      <c r="G27" s="7">
        <v>522</v>
      </c>
      <c r="H27" s="7">
        <v>1.623</v>
      </c>
      <c r="I27" s="7">
        <v>0.71</v>
      </c>
      <c r="J27" s="7">
        <v>3237</v>
      </c>
      <c r="K27" s="8">
        <v>0</v>
      </c>
    </row>
    <row r="28" ht="15" customHeight="1" spans="1:11" x14ac:dyDescent="0.25">
      <c r="A28" s="6" t="s">
        <v>73</v>
      </c>
      <c r="B28" s="6" t="s">
        <v>1489</v>
      </c>
      <c r="C28" s="8">
        <v>6376912</v>
      </c>
      <c r="D28" s="8">
        <v>1976843</v>
      </c>
      <c r="E28" s="8">
        <v>4400069</v>
      </c>
      <c r="F28" s="7">
        <v>7.9</v>
      </c>
      <c r="G28" s="7">
        <v>503.8</v>
      </c>
      <c r="H28" s="7">
        <v>1.626</v>
      </c>
      <c r="I28" s="7">
        <v>0.71</v>
      </c>
      <c r="J28" s="7">
        <v>3124</v>
      </c>
      <c r="K28" s="8">
        <v>0</v>
      </c>
    </row>
    <row r="29" ht="15" customHeight="1" spans="1:11" x14ac:dyDescent="0.25">
      <c r="A29" s="6" t="s">
        <v>79</v>
      </c>
      <c r="B29" s="6" t="s">
        <v>1481</v>
      </c>
      <c r="C29" s="8">
        <v>7147726</v>
      </c>
      <c r="D29" s="8">
        <v>4860454</v>
      </c>
      <c r="E29" s="8">
        <v>2287272</v>
      </c>
      <c r="F29" s="7">
        <v>7.2</v>
      </c>
      <c r="G29" s="7">
        <v>514.6</v>
      </c>
      <c r="H29" s="7">
        <v>1.331</v>
      </c>
      <c r="I29" s="7">
        <v>0.71</v>
      </c>
      <c r="J29" s="7">
        <v>1624</v>
      </c>
      <c r="K29" s="8">
        <v>0</v>
      </c>
    </row>
    <row r="30" ht="15" customHeight="1" spans="1:11" x14ac:dyDescent="0.25">
      <c r="A30" s="6" t="s">
        <v>79</v>
      </c>
      <c r="B30" s="6" t="s">
        <v>1482</v>
      </c>
      <c r="C30" s="8">
        <v>6442063</v>
      </c>
      <c r="D30" s="8">
        <v>4380603</v>
      </c>
      <c r="E30" s="8">
        <v>2061460</v>
      </c>
      <c r="F30" s="7">
        <v>7.2</v>
      </c>
      <c r="G30" s="7">
        <v>463.8</v>
      </c>
      <c r="H30" s="7">
        <v>1.332</v>
      </c>
      <c r="I30" s="7">
        <v>0.71</v>
      </c>
      <c r="J30" s="7">
        <v>1463.6</v>
      </c>
      <c r="K30" s="8">
        <v>0</v>
      </c>
    </row>
    <row r="31" ht="15" customHeight="1" spans="1:11" x14ac:dyDescent="0.25">
      <c r="A31" s="6" t="s">
        <v>79</v>
      </c>
      <c r="B31" s="6" t="s">
        <v>1483</v>
      </c>
      <c r="C31" s="8">
        <v>7298205</v>
      </c>
      <c r="D31" s="8">
        <v>4962779</v>
      </c>
      <c r="E31" s="8">
        <v>2335426</v>
      </c>
      <c r="F31" s="7">
        <v>7.2</v>
      </c>
      <c r="G31" s="7">
        <v>525.5</v>
      </c>
      <c r="H31" s="7">
        <v>1.341</v>
      </c>
      <c r="I31" s="7">
        <v>0.71</v>
      </c>
      <c r="J31" s="7">
        <v>1658.2</v>
      </c>
      <c r="K31" s="8">
        <v>0</v>
      </c>
    </row>
    <row r="32" ht="15" customHeight="1" spans="1:11" x14ac:dyDescent="0.25">
      <c r="A32" s="6" t="s">
        <v>79</v>
      </c>
      <c r="B32" s="6" t="s">
        <v>1484</v>
      </c>
      <c r="C32" s="8">
        <v>7063330</v>
      </c>
      <c r="D32" s="8">
        <v>4803064</v>
      </c>
      <c r="E32" s="8">
        <v>2260266</v>
      </c>
      <c r="F32" s="7">
        <v>7.2</v>
      </c>
      <c r="G32" s="7">
        <v>508.6</v>
      </c>
      <c r="H32" s="7">
        <v>1.332</v>
      </c>
      <c r="I32" s="7">
        <v>0.71</v>
      </c>
      <c r="J32" s="7">
        <v>1604.8</v>
      </c>
      <c r="K32" s="8">
        <v>0</v>
      </c>
    </row>
    <row r="33" ht="15" customHeight="1" spans="1:11" x14ac:dyDescent="0.25">
      <c r="A33" s="6" t="s">
        <v>79</v>
      </c>
      <c r="B33" s="6" t="s">
        <v>1485</v>
      </c>
      <c r="C33" s="8">
        <v>7605335</v>
      </c>
      <c r="D33" s="8">
        <v>5171628</v>
      </c>
      <c r="E33" s="8">
        <v>2433707</v>
      </c>
      <c r="F33" s="7">
        <v>7.2</v>
      </c>
      <c r="G33" s="7">
        <v>547.6</v>
      </c>
      <c r="H33" s="7">
        <v>1.384</v>
      </c>
      <c r="I33" s="7">
        <v>0.71</v>
      </c>
      <c r="J33" s="7">
        <v>1727.9</v>
      </c>
      <c r="K33" s="8">
        <v>0</v>
      </c>
    </row>
    <row r="34" ht="15" customHeight="1" spans="1:11" x14ac:dyDescent="0.25">
      <c r="A34" s="6" t="s">
        <v>79</v>
      </c>
      <c r="B34" s="6" t="s">
        <v>1486</v>
      </c>
      <c r="C34" s="8">
        <v>7514499</v>
      </c>
      <c r="D34" s="8">
        <v>5109859</v>
      </c>
      <c r="E34" s="8">
        <v>2404640</v>
      </c>
      <c r="F34" s="7">
        <v>7.2</v>
      </c>
      <c r="G34" s="7">
        <v>541</v>
      </c>
      <c r="H34" s="7">
        <v>1.372</v>
      </c>
      <c r="I34" s="7">
        <v>0.71</v>
      </c>
      <c r="J34" s="7">
        <v>1707.3</v>
      </c>
      <c r="K34" s="8">
        <v>0</v>
      </c>
    </row>
    <row r="35" ht="15" customHeight="1" spans="1:11" x14ac:dyDescent="0.25">
      <c r="A35" s="6" t="s">
        <v>79</v>
      </c>
      <c r="B35" s="6" t="s">
        <v>1487</v>
      </c>
      <c r="C35" s="8">
        <v>7773029</v>
      </c>
      <c r="D35" s="8">
        <v>5285660</v>
      </c>
      <c r="E35" s="8">
        <v>2487369</v>
      </c>
      <c r="F35" s="7">
        <v>7.2</v>
      </c>
      <c r="G35" s="7">
        <v>559.7</v>
      </c>
      <c r="H35" s="7">
        <v>1.37</v>
      </c>
      <c r="I35" s="7">
        <v>0.71</v>
      </c>
      <c r="J35" s="7">
        <v>1766</v>
      </c>
      <c r="K35" s="8">
        <v>0</v>
      </c>
    </row>
    <row r="36" ht="15" customHeight="1" spans="1:11" x14ac:dyDescent="0.25">
      <c r="A36" s="6" t="s">
        <v>79</v>
      </c>
      <c r="B36" s="6" t="s">
        <v>1488</v>
      </c>
      <c r="C36" s="8">
        <v>7582110</v>
      </c>
      <c r="D36" s="8">
        <v>5155835</v>
      </c>
      <c r="E36" s="8">
        <v>2426275</v>
      </c>
      <c r="F36" s="7">
        <v>7.2</v>
      </c>
      <c r="G36" s="7">
        <v>545.9</v>
      </c>
      <c r="H36" s="7">
        <v>1.336</v>
      </c>
      <c r="I36" s="7">
        <v>0.71</v>
      </c>
      <c r="J36" s="7">
        <v>1722.7</v>
      </c>
      <c r="K36" s="8">
        <v>0</v>
      </c>
    </row>
    <row r="37" ht="15" customHeight="1" spans="1:11" x14ac:dyDescent="0.25">
      <c r="A37" s="6" t="s">
        <v>79</v>
      </c>
      <c r="B37" s="6" t="s">
        <v>1489</v>
      </c>
      <c r="C37" s="8">
        <v>7342730</v>
      </c>
      <c r="D37" s="8">
        <v>4993056</v>
      </c>
      <c r="E37" s="8">
        <v>2349674</v>
      </c>
      <c r="F37" s="7">
        <v>7.2</v>
      </c>
      <c r="G37" s="7">
        <v>528.7</v>
      </c>
      <c r="H37" s="7">
        <v>1.338</v>
      </c>
      <c r="I37" s="7">
        <v>0.71</v>
      </c>
      <c r="J37" s="7">
        <v>1668.3</v>
      </c>
      <c r="K37" s="8">
        <v>0</v>
      </c>
    </row>
    <row r="38" ht="15" customHeight="1" spans="1:11" x14ac:dyDescent="0.25">
      <c r="A38" s="6" t="s">
        <v>85</v>
      </c>
      <c r="B38" s="6" t="s">
        <v>1481</v>
      </c>
      <c r="C38" s="8">
        <v>8829985</v>
      </c>
      <c r="D38" s="8">
        <v>1677697</v>
      </c>
      <c r="E38" s="8">
        <v>7152288</v>
      </c>
      <c r="F38" s="7">
        <v>8.15</v>
      </c>
      <c r="G38" s="7">
        <v>719.6</v>
      </c>
      <c r="H38" s="7">
        <v>1.669</v>
      </c>
      <c r="I38" s="7">
        <v>0.71</v>
      </c>
      <c r="J38" s="7">
        <v>5078.1</v>
      </c>
      <c r="K38" s="8">
        <v>0</v>
      </c>
    </row>
    <row r="39" ht="15" customHeight="1" spans="1:11" x14ac:dyDescent="0.25">
      <c r="A39" s="6" t="s">
        <v>85</v>
      </c>
      <c r="B39" s="6" t="s">
        <v>1482</v>
      </c>
      <c r="C39" s="8">
        <v>8056514</v>
      </c>
      <c r="D39" s="8">
        <v>1530738</v>
      </c>
      <c r="E39" s="8">
        <v>6525776</v>
      </c>
      <c r="F39" s="7">
        <v>8.15</v>
      </c>
      <c r="G39" s="7">
        <v>656.6</v>
      </c>
      <c r="H39" s="7">
        <v>1.69</v>
      </c>
      <c r="I39" s="7">
        <v>0.71</v>
      </c>
      <c r="J39" s="7">
        <v>4633.3</v>
      </c>
      <c r="K39" s="8">
        <v>0</v>
      </c>
    </row>
    <row r="40" ht="15" customHeight="1" spans="1:11" x14ac:dyDescent="0.25">
      <c r="A40" s="6" t="s">
        <v>85</v>
      </c>
      <c r="B40" s="6" t="s">
        <v>1483</v>
      </c>
      <c r="C40" s="8">
        <v>8812681</v>
      </c>
      <c r="D40" s="8">
        <v>1674409</v>
      </c>
      <c r="E40" s="8">
        <v>7138272</v>
      </c>
      <c r="F40" s="7">
        <v>8.15</v>
      </c>
      <c r="G40" s="7">
        <v>718.2</v>
      </c>
      <c r="H40" s="7">
        <v>1.678</v>
      </c>
      <c r="I40" s="7">
        <v>0.71</v>
      </c>
      <c r="J40" s="7">
        <v>5068.2</v>
      </c>
      <c r="K40" s="8">
        <v>0</v>
      </c>
    </row>
    <row r="41" ht="15" customHeight="1" spans="1:11" x14ac:dyDescent="0.25">
      <c r="A41" s="6" t="s">
        <v>85</v>
      </c>
      <c r="B41" s="6" t="s">
        <v>1484</v>
      </c>
      <c r="C41" s="8">
        <v>8584531</v>
      </c>
      <c r="D41" s="8">
        <v>1631061</v>
      </c>
      <c r="E41" s="8">
        <v>6953470</v>
      </c>
      <c r="F41" s="7">
        <v>8.15</v>
      </c>
      <c r="G41" s="7">
        <v>699.6</v>
      </c>
      <c r="H41" s="7">
        <v>1.68</v>
      </c>
      <c r="I41" s="7">
        <v>0.71</v>
      </c>
      <c r="J41" s="7">
        <v>4937</v>
      </c>
      <c r="K41" s="8">
        <v>0</v>
      </c>
    </row>
    <row r="42" ht="15" customHeight="1" spans="1:11" x14ac:dyDescent="0.25">
      <c r="A42" s="6" t="s">
        <v>85</v>
      </c>
      <c r="B42" s="6" t="s">
        <v>1485</v>
      </c>
      <c r="C42" s="8">
        <v>9247121</v>
      </c>
      <c r="D42" s="8">
        <v>1756953</v>
      </c>
      <c r="E42" s="8">
        <v>7490168</v>
      </c>
      <c r="F42" s="7">
        <v>8.15</v>
      </c>
      <c r="G42" s="7">
        <v>753.6</v>
      </c>
      <c r="H42" s="7">
        <v>1.726</v>
      </c>
      <c r="I42" s="7">
        <v>0.71</v>
      </c>
      <c r="J42" s="7">
        <v>5318</v>
      </c>
      <c r="K42" s="8">
        <v>0</v>
      </c>
    </row>
    <row r="43" ht="15" customHeight="1" spans="1:11" x14ac:dyDescent="0.25">
      <c r="A43" s="6" t="s">
        <v>85</v>
      </c>
      <c r="B43" s="6" t="s">
        <v>1486</v>
      </c>
      <c r="C43" s="8">
        <v>8985626</v>
      </c>
      <c r="D43" s="8">
        <v>1707269</v>
      </c>
      <c r="E43" s="8">
        <v>7278357</v>
      </c>
      <c r="F43" s="7">
        <v>8.15</v>
      </c>
      <c r="G43" s="7">
        <v>732.3</v>
      </c>
      <c r="H43" s="7">
        <v>1.724</v>
      </c>
      <c r="I43" s="7">
        <v>0.71</v>
      </c>
      <c r="J43" s="7">
        <v>5167.6</v>
      </c>
      <c r="K43" s="8">
        <v>0</v>
      </c>
    </row>
    <row r="44" ht="15" customHeight="1" spans="1:11" x14ac:dyDescent="0.25">
      <c r="A44" s="6" t="s">
        <v>85</v>
      </c>
      <c r="B44" s="6" t="s">
        <v>1487</v>
      </c>
      <c r="C44" s="8">
        <v>9279960</v>
      </c>
      <c r="D44" s="8">
        <v>1763192</v>
      </c>
      <c r="E44" s="8">
        <v>7516768</v>
      </c>
      <c r="F44" s="7">
        <v>8.15</v>
      </c>
      <c r="G44" s="7">
        <v>756.3</v>
      </c>
      <c r="H44" s="7">
        <v>1.719</v>
      </c>
      <c r="I44" s="7">
        <v>0.71</v>
      </c>
      <c r="J44" s="7">
        <v>5336.9</v>
      </c>
      <c r="K44" s="8">
        <v>0</v>
      </c>
    </row>
    <row r="45" ht="15" customHeight="1" spans="1:11" x14ac:dyDescent="0.25">
      <c r="A45" s="6" t="s">
        <v>85</v>
      </c>
      <c r="B45" s="6" t="s">
        <v>1488</v>
      </c>
      <c r="C45" s="8">
        <v>9173946</v>
      </c>
      <c r="D45" s="8">
        <v>1743050</v>
      </c>
      <c r="E45" s="8">
        <v>7430896</v>
      </c>
      <c r="F45" s="7">
        <v>8.15</v>
      </c>
      <c r="G45" s="7">
        <v>747.7</v>
      </c>
      <c r="H45" s="7">
        <v>1.669</v>
      </c>
      <c r="I45" s="7">
        <v>0.71</v>
      </c>
      <c r="J45" s="7">
        <v>5275.9</v>
      </c>
      <c r="K45" s="8">
        <v>0</v>
      </c>
    </row>
    <row r="46" ht="15" customHeight="1" spans="1:11" x14ac:dyDescent="0.25">
      <c r="A46" s="6" t="s">
        <v>85</v>
      </c>
      <c r="B46" s="6" t="s">
        <v>1489</v>
      </c>
      <c r="C46" s="8">
        <v>9008963</v>
      </c>
      <c r="D46" s="8">
        <v>1711703</v>
      </c>
      <c r="E46" s="8">
        <v>7297260</v>
      </c>
      <c r="F46" s="7">
        <v>8.15</v>
      </c>
      <c r="G46" s="7">
        <v>734.2</v>
      </c>
      <c r="H46" s="7">
        <v>1.671</v>
      </c>
      <c r="I46" s="7">
        <v>0.71</v>
      </c>
      <c r="J46" s="7">
        <v>5181.1</v>
      </c>
      <c r="K46" s="8">
        <v>0</v>
      </c>
    </row>
    <row r="48" ht="15" customHeight="1" spans="1:2" x14ac:dyDescent="0.25">
      <c r="A48" s="9" t="s">
        <v>1490</v>
      </c>
    </row>
    <row r="49" ht="15" customHeight="1" spans="1:2" x14ac:dyDescent="0.25">
      <c r="A49" s="9" t="s">
        <v>1491</v>
      </c>
    </row>
    <row r="50" spans="1:2" x14ac:dyDescent="0.25">
      <c r="A50" s="9" t="s">
        <v>1492</v>
      </c>
    </row>
    <row r="51" spans="1:2" x14ac:dyDescent="0.25">
      <c r="A51" s="9" t="s">
        <v>1493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1473</v>
      </c>
      <c r="C1" s="5" t="s">
        <v>1494</v>
      </c>
      <c r="D1" s="5" t="s">
        <v>1495</v>
      </c>
      <c r="E1" s="5" t="s">
        <v>1496</v>
      </c>
      <c r="F1" s="5" t="s">
        <v>1497</v>
      </c>
      <c r="G1" s="5" t="s">
        <v>1498</v>
      </c>
      <c r="H1" s="5" t="s">
        <v>1499</v>
      </c>
      <c r="I1" s="5" t="s">
        <v>1500</v>
      </c>
      <c r="J1" s="5" t="s">
        <v>1501</v>
      </c>
    </row>
    <row r="2" ht="15" customHeight="1" spans="1:10" x14ac:dyDescent="0.25">
      <c r="A2" s="6" t="s">
        <v>61</v>
      </c>
      <c r="B2" s="6" t="s">
        <v>1481</v>
      </c>
      <c r="C2" s="8">
        <v>8337502</v>
      </c>
      <c r="D2" s="7">
        <v>1.762</v>
      </c>
      <c r="E2" s="8">
        <v>1500750</v>
      </c>
      <c r="F2" s="8">
        <v>6836752</v>
      </c>
      <c r="G2" s="6" t="s">
        <v>1502</v>
      </c>
      <c r="H2" s="6" t="s">
        <v>1503</v>
      </c>
      <c r="I2" s="6">
        <v>62</v>
      </c>
      <c r="J2" s="7">
        <v>212.9</v>
      </c>
    </row>
    <row r="3" ht="15" customHeight="1" spans="1:10" x14ac:dyDescent="0.25">
      <c r="A3" s="6" t="s">
        <v>61</v>
      </c>
      <c r="B3" s="6" t="s">
        <v>1482</v>
      </c>
      <c r="C3" s="8">
        <v>7993303</v>
      </c>
      <c r="D3" s="7">
        <v>1.828</v>
      </c>
      <c r="E3" s="8">
        <v>1438794</v>
      </c>
      <c r="F3" s="8">
        <v>6554509</v>
      </c>
      <c r="G3" s="6" t="s">
        <v>1502</v>
      </c>
      <c r="H3" s="6" t="s">
        <v>1503</v>
      </c>
      <c r="I3" s="6">
        <v>62</v>
      </c>
      <c r="J3" s="7">
        <v>226</v>
      </c>
    </row>
    <row r="4" ht="15" customHeight="1" spans="1:10" x14ac:dyDescent="0.25">
      <c r="A4" s="6" t="s">
        <v>61</v>
      </c>
      <c r="B4" s="6" t="s">
        <v>1483</v>
      </c>
      <c r="C4" s="8">
        <v>8974129</v>
      </c>
      <c r="D4" s="7">
        <v>1.839</v>
      </c>
      <c r="E4" s="8">
        <v>1615343</v>
      </c>
      <c r="F4" s="8">
        <v>7358786</v>
      </c>
      <c r="G4" s="6" t="s">
        <v>1502</v>
      </c>
      <c r="H4" s="6" t="s">
        <v>1503</v>
      </c>
      <c r="I4" s="6">
        <v>62</v>
      </c>
      <c r="J4" s="7">
        <v>229.2</v>
      </c>
    </row>
    <row r="5" ht="15" customHeight="1" spans="1:10" x14ac:dyDescent="0.25">
      <c r="A5" s="6" t="s">
        <v>61</v>
      </c>
      <c r="B5" s="6" t="s">
        <v>1484</v>
      </c>
      <c r="C5" s="8">
        <v>8292534</v>
      </c>
      <c r="D5" s="7">
        <v>1.773</v>
      </c>
      <c r="E5" s="8">
        <v>1492656</v>
      </c>
      <c r="F5" s="8">
        <v>6799878</v>
      </c>
      <c r="G5" s="6" t="s">
        <v>1502</v>
      </c>
      <c r="H5" s="6" t="s">
        <v>1503</v>
      </c>
      <c r="I5" s="6">
        <v>62</v>
      </c>
      <c r="J5" s="7">
        <v>243.8</v>
      </c>
    </row>
    <row r="6" ht="15" customHeight="1" spans="1:10" x14ac:dyDescent="0.25">
      <c r="A6" s="6" t="s">
        <v>61</v>
      </c>
      <c r="B6" s="6" t="s">
        <v>1485</v>
      </c>
      <c r="C6" s="8">
        <v>8716189</v>
      </c>
      <c r="D6" s="7">
        <v>1.796</v>
      </c>
      <c r="E6" s="8">
        <v>1568914</v>
      </c>
      <c r="F6" s="8">
        <v>7147275</v>
      </c>
      <c r="G6" s="6" t="s">
        <v>1502</v>
      </c>
      <c r="H6" s="6" t="s">
        <v>1503</v>
      </c>
      <c r="I6" s="6">
        <v>62</v>
      </c>
      <c r="J6" s="7">
        <v>251.9</v>
      </c>
    </row>
    <row r="7" ht="15" customHeight="1" spans="1:10" x14ac:dyDescent="0.25">
      <c r="A7" s="6" t="s">
        <v>61</v>
      </c>
      <c r="B7" s="6" t="s">
        <v>1486</v>
      </c>
      <c r="C7" s="8">
        <v>8735177</v>
      </c>
      <c r="D7" s="7">
        <v>1.841</v>
      </c>
      <c r="E7" s="8">
        <v>1572332</v>
      </c>
      <c r="F7" s="8">
        <v>7162845</v>
      </c>
      <c r="G7" s="6" t="s">
        <v>1502</v>
      </c>
      <c r="H7" s="6" t="s">
        <v>1503</v>
      </c>
      <c r="I7" s="6">
        <v>62</v>
      </c>
      <c r="J7" s="7">
        <v>250.7</v>
      </c>
    </row>
    <row r="8" ht="15" customHeight="1" spans="1:10" x14ac:dyDescent="0.25">
      <c r="A8" s="6" t="s">
        <v>61</v>
      </c>
      <c r="B8" s="6" t="s">
        <v>1487</v>
      </c>
      <c r="C8" s="8">
        <v>9080850</v>
      </c>
      <c r="D8" s="7">
        <v>1.839</v>
      </c>
      <c r="E8" s="8">
        <v>1634553</v>
      </c>
      <c r="F8" s="8">
        <v>7446297</v>
      </c>
      <c r="G8" s="6" t="s">
        <v>1502</v>
      </c>
      <c r="H8" s="6" t="s">
        <v>1503</v>
      </c>
      <c r="I8" s="6">
        <v>62</v>
      </c>
      <c r="J8" s="7">
        <v>240</v>
      </c>
    </row>
    <row r="9" ht="15" customHeight="1" spans="1:10" x14ac:dyDescent="0.25">
      <c r="A9" s="6" t="s">
        <v>61</v>
      </c>
      <c r="B9" s="6" t="s">
        <v>1488</v>
      </c>
      <c r="C9" s="8">
        <v>9387774</v>
      </c>
      <c r="D9" s="7">
        <v>1.876</v>
      </c>
      <c r="E9" s="8">
        <v>1689799</v>
      </c>
      <c r="F9" s="8">
        <v>7697975</v>
      </c>
      <c r="G9" s="6" t="s">
        <v>1502</v>
      </c>
      <c r="H9" s="6" t="s">
        <v>1503</v>
      </c>
      <c r="I9" s="6">
        <v>62</v>
      </c>
      <c r="J9" s="7">
        <v>246.1</v>
      </c>
    </row>
    <row r="10" ht="15" customHeight="1" spans="1:10" x14ac:dyDescent="0.25">
      <c r="A10" s="6" t="s">
        <v>61</v>
      </c>
      <c r="B10" s="6" t="s">
        <v>1489</v>
      </c>
      <c r="C10" s="8">
        <v>9023196</v>
      </c>
      <c r="D10" s="7">
        <v>1.816</v>
      </c>
      <c r="E10" s="8">
        <v>1624175</v>
      </c>
      <c r="F10" s="8">
        <v>7399021</v>
      </c>
      <c r="G10" s="6" t="s">
        <v>1502</v>
      </c>
      <c r="H10" s="6" t="s">
        <v>1503</v>
      </c>
      <c r="I10" s="6">
        <v>62</v>
      </c>
      <c r="J10" s="7">
        <v>248.6</v>
      </c>
    </row>
    <row r="11" ht="15" customHeight="1" spans="1:10" x14ac:dyDescent="0.25">
      <c r="A11" s="6" t="s">
        <v>69</v>
      </c>
      <c r="B11" s="6" t="s">
        <v>1481</v>
      </c>
      <c r="C11" s="8">
        <v>7141311</v>
      </c>
      <c r="D11" s="7">
        <v>2.088</v>
      </c>
      <c r="E11" s="8">
        <v>856957</v>
      </c>
      <c r="F11" s="8">
        <v>6284354</v>
      </c>
      <c r="G11" s="6" t="s">
        <v>1502</v>
      </c>
      <c r="H11" s="6" t="s">
        <v>1503</v>
      </c>
      <c r="I11" s="6">
        <v>62</v>
      </c>
      <c r="J11" s="7">
        <v>182.4</v>
      </c>
    </row>
    <row r="12" ht="15" customHeight="1" spans="1:10" x14ac:dyDescent="0.25">
      <c r="A12" s="6" t="s">
        <v>69</v>
      </c>
      <c r="B12" s="6" t="s">
        <v>1482</v>
      </c>
      <c r="C12" s="8">
        <v>6703082</v>
      </c>
      <c r="D12" s="7">
        <v>2.116</v>
      </c>
      <c r="E12" s="8">
        <v>804370</v>
      </c>
      <c r="F12" s="8">
        <v>5898712</v>
      </c>
      <c r="G12" s="6" t="s">
        <v>1502</v>
      </c>
      <c r="H12" s="6" t="s">
        <v>1503</v>
      </c>
      <c r="I12" s="6">
        <v>62</v>
      </c>
      <c r="J12" s="7">
        <v>189.5</v>
      </c>
    </row>
    <row r="13" ht="15" customHeight="1" spans="1:10" x14ac:dyDescent="0.25">
      <c r="A13" s="6" t="s">
        <v>69</v>
      </c>
      <c r="B13" s="6" t="s">
        <v>1483</v>
      </c>
      <c r="C13" s="8">
        <v>7445599</v>
      </c>
      <c r="D13" s="7">
        <v>2.091</v>
      </c>
      <c r="E13" s="8">
        <v>893472</v>
      </c>
      <c r="F13" s="8">
        <v>6552127</v>
      </c>
      <c r="G13" s="6" t="s">
        <v>1502</v>
      </c>
      <c r="H13" s="6" t="s">
        <v>1503</v>
      </c>
      <c r="I13" s="6">
        <v>62</v>
      </c>
      <c r="J13" s="7">
        <v>190.1</v>
      </c>
    </row>
    <row r="14" ht="15" customHeight="1" spans="1:10" x14ac:dyDescent="0.25">
      <c r="A14" s="6" t="s">
        <v>69</v>
      </c>
      <c r="B14" s="6" t="s">
        <v>1484</v>
      </c>
      <c r="C14" s="8">
        <v>7181184</v>
      </c>
      <c r="D14" s="7">
        <v>2.074</v>
      </c>
      <c r="E14" s="8">
        <v>861742</v>
      </c>
      <c r="F14" s="8">
        <v>6319442</v>
      </c>
      <c r="G14" s="6" t="s">
        <v>1502</v>
      </c>
      <c r="H14" s="6" t="s">
        <v>1503</v>
      </c>
      <c r="I14" s="6">
        <v>62</v>
      </c>
      <c r="J14" s="7">
        <v>211.1</v>
      </c>
    </row>
    <row r="15" ht="15" customHeight="1" spans="1:10" x14ac:dyDescent="0.25">
      <c r="A15" s="6" t="s">
        <v>69</v>
      </c>
      <c r="B15" s="6" t="s">
        <v>1485</v>
      </c>
      <c r="C15" s="8">
        <v>7587654</v>
      </c>
      <c r="D15" s="7">
        <v>2.095</v>
      </c>
      <c r="E15" s="8">
        <v>910519</v>
      </c>
      <c r="F15" s="8">
        <v>6677135</v>
      </c>
      <c r="G15" s="6" t="s">
        <v>1502</v>
      </c>
      <c r="H15" s="6" t="s">
        <v>1503</v>
      </c>
      <c r="I15" s="6">
        <v>62</v>
      </c>
      <c r="J15" s="7">
        <v>219.3</v>
      </c>
    </row>
    <row r="16" ht="15" customHeight="1" spans="1:10" x14ac:dyDescent="0.25">
      <c r="A16" s="6" t="s">
        <v>69</v>
      </c>
      <c r="B16" s="6" t="s">
        <v>1486</v>
      </c>
      <c r="C16" s="8">
        <v>7393218</v>
      </c>
      <c r="D16" s="7">
        <v>2.122</v>
      </c>
      <c r="E16" s="8">
        <v>887186</v>
      </c>
      <c r="F16" s="8">
        <v>6506032</v>
      </c>
      <c r="G16" s="6" t="s">
        <v>1502</v>
      </c>
      <c r="H16" s="6" t="s">
        <v>1503</v>
      </c>
      <c r="I16" s="6">
        <v>62</v>
      </c>
      <c r="J16" s="7">
        <v>212.2</v>
      </c>
    </row>
    <row r="17" ht="15" customHeight="1" spans="1:10" x14ac:dyDescent="0.25">
      <c r="A17" s="6" t="s">
        <v>69</v>
      </c>
      <c r="B17" s="6" t="s">
        <v>1487</v>
      </c>
      <c r="C17" s="8">
        <v>7677087</v>
      </c>
      <c r="D17" s="7">
        <v>2.085</v>
      </c>
      <c r="E17" s="8">
        <v>921251</v>
      </c>
      <c r="F17" s="8">
        <v>6755836</v>
      </c>
      <c r="G17" s="6" t="s">
        <v>1502</v>
      </c>
      <c r="H17" s="6" t="s">
        <v>1503</v>
      </c>
      <c r="I17" s="6">
        <v>62</v>
      </c>
      <c r="J17" s="7">
        <v>202.9</v>
      </c>
    </row>
    <row r="18" ht="15" customHeight="1" spans="1:10" x14ac:dyDescent="0.25">
      <c r="A18" s="6" t="s">
        <v>69</v>
      </c>
      <c r="B18" s="6" t="s">
        <v>1488</v>
      </c>
      <c r="C18" s="8">
        <v>7848084</v>
      </c>
      <c r="D18" s="7">
        <v>2.125</v>
      </c>
      <c r="E18" s="8">
        <v>941770</v>
      </c>
      <c r="F18" s="8">
        <v>6906314</v>
      </c>
      <c r="G18" s="6" t="s">
        <v>1502</v>
      </c>
      <c r="H18" s="6" t="s">
        <v>1503</v>
      </c>
      <c r="I18" s="6">
        <v>62</v>
      </c>
      <c r="J18" s="7">
        <v>205.7</v>
      </c>
    </row>
    <row r="19" ht="15" customHeight="1" spans="1:10" x14ac:dyDescent="0.25">
      <c r="A19" s="6" t="s">
        <v>69</v>
      </c>
      <c r="B19" s="6" t="s">
        <v>1489</v>
      </c>
      <c r="C19" s="8">
        <v>7621856</v>
      </c>
      <c r="D19" s="7">
        <v>2.121</v>
      </c>
      <c r="E19" s="8">
        <v>914623</v>
      </c>
      <c r="F19" s="8">
        <v>6707233</v>
      </c>
      <c r="G19" s="6" t="s">
        <v>1502</v>
      </c>
      <c r="H19" s="6" t="s">
        <v>1503</v>
      </c>
      <c r="I19" s="6">
        <v>62</v>
      </c>
      <c r="J19" s="7">
        <v>210</v>
      </c>
    </row>
    <row r="20" ht="15" customHeight="1" spans="1:10" x14ac:dyDescent="0.25">
      <c r="A20" s="6" t="s">
        <v>73</v>
      </c>
      <c r="B20" s="6" t="s">
        <v>1481</v>
      </c>
      <c r="C20" s="8">
        <v>9311328</v>
      </c>
      <c r="D20" s="7">
        <v>2.417</v>
      </c>
      <c r="E20" s="8">
        <v>838019</v>
      </c>
      <c r="F20" s="8">
        <v>8473309</v>
      </c>
      <c r="G20" s="6" t="s">
        <v>1502</v>
      </c>
      <c r="H20" s="6" t="s">
        <v>1504</v>
      </c>
      <c r="I20" s="6">
        <v>84</v>
      </c>
      <c r="J20" s="7">
        <v>237.8</v>
      </c>
    </row>
    <row r="21" ht="15" customHeight="1" spans="1:10" x14ac:dyDescent="0.25">
      <c r="A21" s="6" t="s">
        <v>73</v>
      </c>
      <c r="B21" s="6" t="s">
        <v>1482</v>
      </c>
      <c r="C21" s="8">
        <v>8619567</v>
      </c>
      <c r="D21" s="7">
        <v>2.453</v>
      </c>
      <c r="E21" s="8">
        <v>775761</v>
      </c>
      <c r="F21" s="8">
        <v>7843806</v>
      </c>
      <c r="G21" s="6" t="s">
        <v>1502</v>
      </c>
      <c r="H21" s="6" t="s">
        <v>1504</v>
      </c>
      <c r="I21" s="6">
        <v>84</v>
      </c>
      <c r="J21" s="7">
        <v>243.7</v>
      </c>
    </row>
    <row r="22" ht="15" customHeight="1" spans="1:10" x14ac:dyDescent="0.25">
      <c r="A22" s="6" t="s">
        <v>73</v>
      </c>
      <c r="B22" s="6" t="s">
        <v>1483</v>
      </c>
      <c r="C22" s="8">
        <v>9533274</v>
      </c>
      <c r="D22" s="7">
        <v>2.49</v>
      </c>
      <c r="E22" s="8">
        <v>857995</v>
      </c>
      <c r="F22" s="8">
        <v>8675279</v>
      </c>
      <c r="G22" s="6" t="s">
        <v>1502</v>
      </c>
      <c r="H22" s="6" t="s">
        <v>1504</v>
      </c>
      <c r="I22" s="6">
        <v>84</v>
      </c>
      <c r="J22" s="7">
        <v>243.5</v>
      </c>
    </row>
    <row r="23" ht="15" customHeight="1" spans="1:10" x14ac:dyDescent="0.25">
      <c r="A23" s="6" t="s">
        <v>73</v>
      </c>
      <c r="B23" s="6" t="s">
        <v>1484</v>
      </c>
      <c r="C23" s="8">
        <v>9504475</v>
      </c>
      <c r="D23" s="7">
        <v>2.486</v>
      </c>
      <c r="E23" s="8">
        <v>855403</v>
      </c>
      <c r="F23" s="8">
        <v>8649072</v>
      </c>
      <c r="G23" s="6" t="s">
        <v>1502</v>
      </c>
      <c r="H23" s="6" t="s">
        <v>1504</v>
      </c>
      <c r="I23" s="6">
        <v>84</v>
      </c>
      <c r="J23" s="7">
        <v>279.4</v>
      </c>
    </row>
    <row r="24" ht="15" customHeight="1" spans="1:10" x14ac:dyDescent="0.25">
      <c r="A24" s="6" t="s">
        <v>73</v>
      </c>
      <c r="B24" s="6" t="s">
        <v>1485</v>
      </c>
      <c r="C24" s="8">
        <v>9870957</v>
      </c>
      <c r="D24" s="7">
        <v>2.485</v>
      </c>
      <c r="E24" s="8">
        <v>888386</v>
      </c>
      <c r="F24" s="8">
        <v>8982571</v>
      </c>
      <c r="G24" s="6" t="s">
        <v>1502</v>
      </c>
      <c r="H24" s="6" t="s">
        <v>1504</v>
      </c>
      <c r="I24" s="6">
        <v>84</v>
      </c>
      <c r="J24" s="7">
        <v>285.2</v>
      </c>
    </row>
    <row r="25" ht="15" customHeight="1" spans="1:10" x14ac:dyDescent="0.25">
      <c r="A25" s="6" t="s">
        <v>73</v>
      </c>
      <c r="B25" s="6" t="s">
        <v>1486</v>
      </c>
      <c r="C25" s="8">
        <v>9261000</v>
      </c>
      <c r="D25" s="7">
        <v>2.45</v>
      </c>
      <c r="E25" s="8">
        <v>833490</v>
      </c>
      <c r="F25" s="8">
        <v>8427510</v>
      </c>
      <c r="G25" s="6" t="s">
        <v>1502</v>
      </c>
      <c r="H25" s="6" t="s">
        <v>1504</v>
      </c>
      <c r="I25" s="6">
        <v>84</v>
      </c>
      <c r="J25" s="7">
        <v>265.8</v>
      </c>
    </row>
    <row r="26" ht="15" customHeight="1" spans="1:10" x14ac:dyDescent="0.25">
      <c r="A26" s="6" t="s">
        <v>73</v>
      </c>
      <c r="B26" s="6" t="s">
        <v>1487</v>
      </c>
      <c r="C26" s="8">
        <v>9866214</v>
      </c>
      <c r="D26" s="7">
        <v>2.488</v>
      </c>
      <c r="E26" s="8">
        <v>887959</v>
      </c>
      <c r="F26" s="8">
        <v>8978255</v>
      </c>
      <c r="G26" s="6" t="s">
        <v>1502</v>
      </c>
      <c r="H26" s="6" t="s">
        <v>1504</v>
      </c>
      <c r="I26" s="6">
        <v>84</v>
      </c>
      <c r="J26" s="7">
        <v>260.8</v>
      </c>
    </row>
    <row r="27" ht="15" customHeight="1" spans="1:10" x14ac:dyDescent="0.25">
      <c r="A27" s="6" t="s">
        <v>73</v>
      </c>
      <c r="B27" s="6" t="s">
        <v>1488</v>
      </c>
      <c r="C27" s="8">
        <v>10100568</v>
      </c>
      <c r="D27" s="7">
        <v>2.481</v>
      </c>
      <c r="E27" s="8">
        <v>909051</v>
      </c>
      <c r="F27" s="8">
        <v>9191517</v>
      </c>
      <c r="G27" s="6" t="s">
        <v>1502</v>
      </c>
      <c r="H27" s="6" t="s">
        <v>1504</v>
      </c>
      <c r="I27" s="6">
        <v>84</v>
      </c>
      <c r="J27" s="7">
        <v>264.7</v>
      </c>
    </row>
    <row r="28" ht="15" customHeight="1" spans="1:10" x14ac:dyDescent="0.25">
      <c r="A28" s="6" t="s">
        <v>73</v>
      </c>
      <c r="B28" s="6" t="s">
        <v>1489</v>
      </c>
      <c r="C28" s="8">
        <v>9510462</v>
      </c>
      <c r="D28" s="7">
        <v>2.425</v>
      </c>
      <c r="E28" s="8">
        <v>855941</v>
      </c>
      <c r="F28" s="8">
        <v>8654521</v>
      </c>
      <c r="G28" s="6" t="s">
        <v>1502</v>
      </c>
      <c r="H28" s="6" t="s">
        <v>1504</v>
      </c>
      <c r="I28" s="6">
        <v>84</v>
      </c>
      <c r="J28" s="7">
        <v>262</v>
      </c>
    </row>
    <row r="29" ht="15" customHeight="1" spans="1:10" x14ac:dyDescent="0.25">
      <c r="A29" s="6" t="s">
        <v>79</v>
      </c>
      <c r="B29" s="6" t="s">
        <v>1481</v>
      </c>
      <c r="C29" s="8">
        <v>4897615</v>
      </c>
      <c r="D29" s="7">
        <v>0.912</v>
      </c>
      <c r="E29" s="8">
        <v>2252903</v>
      </c>
      <c r="F29" s="8">
        <v>2644712</v>
      </c>
      <c r="G29" s="6" t="s">
        <v>1502</v>
      </c>
      <c r="H29" s="6" t="s">
        <v>1503</v>
      </c>
      <c r="I29" s="6">
        <v>68</v>
      </c>
      <c r="J29" s="7">
        <v>125.1</v>
      </c>
    </row>
    <row r="30" ht="15" customHeight="1" spans="1:10" x14ac:dyDescent="0.25">
      <c r="A30" s="6" t="s">
        <v>79</v>
      </c>
      <c r="B30" s="6" t="s">
        <v>1482</v>
      </c>
      <c r="C30" s="8">
        <v>4652601</v>
      </c>
      <c r="D30" s="7">
        <v>0.962</v>
      </c>
      <c r="E30" s="8">
        <v>2140196</v>
      </c>
      <c r="F30" s="8">
        <v>2512405</v>
      </c>
      <c r="G30" s="6" t="s">
        <v>1502</v>
      </c>
      <c r="H30" s="6" t="s">
        <v>1503</v>
      </c>
      <c r="I30" s="6">
        <v>68</v>
      </c>
      <c r="J30" s="7">
        <v>131.5</v>
      </c>
    </row>
    <row r="31" ht="15" customHeight="1" spans="1:10" x14ac:dyDescent="0.25">
      <c r="A31" s="6" t="s">
        <v>79</v>
      </c>
      <c r="B31" s="6" t="s">
        <v>1483</v>
      </c>
      <c r="C31" s="8">
        <v>5061395</v>
      </c>
      <c r="D31" s="7">
        <v>0.93</v>
      </c>
      <c r="E31" s="8">
        <v>2328242</v>
      </c>
      <c r="F31" s="8">
        <v>2733153</v>
      </c>
      <c r="G31" s="6" t="s">
        <v>1502</v>
      </c>
      <c r="H31" s="6" t="s">
        <v>1503</v>
      </c>
      <c r="I31" s="6">
        <v>68</v>
      </c>
      <c r="J31" s="7">
        <v>129.3</v>
      </c>
    </row>
    <row r="32" ht="15" customHeight="1" spans="1:10" x14ac:dyDescent="0.25">
      <c r="A32" s="6" t="s">
        <v>79</v>
      </c>
      <c r="B32" s="6" t="s">
        <v>1484</v>
      </c>
      <c r="C32" s="8">
        <v>5127808</v>
      </c>
      <c r="D32" s="7">
        <v>0.967</v>
      </c>
      <c r="E32" s="8">
        <v>2358792</v>
      </c>
      <c r="F32" s="8">
        <v>2769016</v>
      </c>
      <c r="G32" s="6" t="s">
        <v>1502</v>
      </c>
      <c r="H32" s="6" t="s">
        <v>1503</v>
      </c>
      <c r="I32" s="6">
        <v>68</v>
      </c>
      <c r="J32" s="7">
        <v>150.7</v>
      </c>
    </row>
    <row r="33" ht="15" customHeight="1" spans="1:10" x14ac:dyDescent="0.25">
      <c r="A33" s="6" t="s">
        <v>79</v>
      </c>
      <c r="B33" s="6" t="s">
        <v>1485</v>
      </c>
      <c r="C33" s="8">
        <v>5077550</v>
      </c>
      <c r="D33" s="7">
        <v>0.924</v>
      </c>
      <c r="E33" s="8">
        <v>2335673</v>
      </c>
      <c r="F33" s="8">
        <v>2741877</v>
      </c>
      <c r="G33" s="6" t="s">
        <v>1502</v>
      </c>
      <c r="H33" s="6" t="s">
        <v>1503</v>
      </c>
      <c r="I33" s="6">
        <v>68</v>
      </c>
      <c r="J33" s="7">
        <v>146.7</v>
      </c>
    </row>
    <row r="34" ht="15" customHeight="1" spans="1:10" x14ac:dyDescent="0.25">
      <c r="A34" s="6" t="s">
        <v>79</v>
      </c>
      <c r="B34" s="6" t="s">
        <v>1486</v>
      </c>
      <c r="C34" s="8">
        <v>5115555</v>
      </c>
      <c r="D34" s="7">
        <v>0.934</v>
      </c>
      <c r="E34" s="8">
        <v>2353155</v>
      </c>
      <c r="F34" s="8">
        <v>2762400</v>
      </c>
      <c r="G34" s="6" t="s">
        <v>1502</v>
      </c>
      <c r="H34" s="6" t="s">
        <v>1503</v>
      </c>
      <c r="I34" s="6">
        <v>68</v>
      </c>
      <c r="J34" s="7">
        <v>146.8</v>
      </c>
    </row>
    <row r="35" ht="15" customHeight="1" spans="1:10" x14ac:dyDescent="0.25">
      <c r="A35" s="6" t="s">
        <v>79</v>
      </c>
      <c r="B35" s="6" t="s">
        <v>1487</v>
      </c>
      <c r="C35" s="8">
        <v>5174455</v>
      </c>
      <c r="D35" s="7">
        <v>0.912</v>
      </c>
      <c r="E35" s="8">
        <v>2380250</v>
      </c>
      <c r="F35" s="8">
        <v>2794205</v>
      </c>
      <c r="G35" s="6" t="s">
        <v>1502</v>
      </c>
      <c r="H35" s="6" t="s">
        <v>1503</v>
      </c>
      <c r="I35" s="6">
        <v>68</v>
      </c>
      <c r="J35" s="7">
        <v>136.8</v>
      </c>
    </row>
    <row r="36" ht="15" customHeight="1" spans="1:10" x14ac:dyDescent="0.25">
      <c r="A36" s="6" t="s">
        <v>79</v>
      </c>
      <c r="B36" s="6" t="s">
        <v>1488</v>
      </c>
      <c r="C36" s="8">
        <v>5170136</v>
      </c>
      <c r="D36" s="7">
        <v>0.911</v>
      </c>
      <c r="E36" s="8">
        <v>2378263</v>
      </c>
      <c r="F36" s="8">
        <v>2791873</v>
      </c>
      <c r="G36" s="6" t="s">
        <v>1502</v>
      </c>
      <c r="H36" s="6" t="s">
        <v>1503</v>
      </c>
      <c r="I36" s="6">
        <v>68</v>
      </c>
      <c r="J36" s="7">
        <v>135.5</v>
      </c>
    </row>
    <row r="37" ht="15" customHeight="1" spans="1:10" x14ac:dyDescent="0.25">
      <c r="A37" s="6" t="s">
        <v>79</v>
      </c>
      <c r="B37" s="6" t="s">
        <v>1489</v>
      </c>
      <c r="C37" s="8">
        <v>5389059</v>
      </c>
      <c r="D37" s="7">
        <v>0.982</v>
      </c>
      <c r="E37" s="8">
        <v>2478967</v>
      </c>
      <c r="F37" s="8">
        <v>2910092</v>
      </c>
      <c r="G37" s="6" t="s">
        <v>1502</v>
      </c>
      <c r="H37" s="6" t="s">
        <v>1503</v>
      </c>
      <c r="I37" s="6">
        <v>68</v>
      </c>
      <c r="J37" s="7">
        <v>148.4</v>
      </c>
    </row>
    <row r="38" ht="15" customHeight="1" spans="1:10" x14ac:dyDescent="0.25">
      <c r="A38" s="6" t="s">
        <v>85</v>
      </c>
      <c r="B38" s="6" t="s">
        <v>1481</v>
      </c>
      <c r="C38" s="8">
        <v>10189665</v>
      </c>
      <c r="D38" s="7">
        <v>1.926</v>
      </c>
      <c r="E38" s="8">
        <v>2139830</v>
      </c>
      <c r="F38" s="8">
        <v>8049835</v>
      </c>
      <c r="G38" s="6" t="s">
        <v>1502</v>
      </c>
      <c r="H38" s="6" t="s">
        <v>1504</v>
      </c>
      <c r="I38" s="6">
        <v>81</v>
      </c>
      <c r="J38" s="7">
        <v>260.2</v>
      </c>
    </row>
    <row r="39" ht="15" customHeight="1" spans="1:10" x14ac:dyDescent="0.25">
      <c r="A39" s="6" t="s">
        <v>85</v>
      </c>
      <c r="B39" s="6" t="s">
        <v>1482</v>
      </c>
      <c r="C39" s="8">
        <v>9357951</v>
      </c>
      <c r="D39" s="7">
        <v>1.963</v>
      </c>
      <c r="E39" s="8">
        <v>1965170</v>
      </c>
      <c r="F39" s="8">
        <v>7392781</v>
      </c>
      <c r="G39" s="6" t="s">
        <v>1502</v>
      </c>
      <c r="H39" s="6" t="s">
        <v>1504</v>
      </c>
      <c r="I39" s="6">
        <v>81</v>
      </c>
      <c r="J39" s="7">
        <v>264.6</v>
      </c>
    </row>
    <row r="40" ht="15" customHeight="1" spans="1:10" x14ac:dyDescent="0.25">
      <c r="A40" s="6" t="s">
        <v>85</v>
      </c>
      <c r="B40" s="6" t="s">
        <v>1483</v>
      </c>
      <c r="C40" s="8">
        <v>10435517</v>
      </c>
      <c r="D40" s="7">
        <v>1.987</v>
      </c>
      <c r="E40" s="8">
        <v>2191459</v>
      </c>
      <c r="F40" s="8">
        <v>8244058</v>
      </c>
      <c r="G40" s="6" t="s">
        <v>1502</v>
      </c>
      <c r="H40" s="6" t="s">
        <v>1504</v>
      </c>
      <c r="I40" s="6">
        <v>81</v>
      </c>
      <c r="J40" s="7">
        <v>266.5</v>
      </c>
    </row>
    <row r="41" ht="15" customHeight="1" spans="1:10" x14ac:dyDescent="0.25">
      <c r="A41" s="6" t="s">
        <v>85</v>
      </c>
      <c r="B41" s="6" t="s">
        <v>1484</v>
      </c>
      <c r="C41" s="8">
        <v>9882431</v>
      </c>
      <c r="D41" s="7">
        <v>1.934</v>
      </c>
      <c r="E41" s="8">
        <v>2075311</v>
      </c>
      <c r="F41" s="8">
        <v>7807120</v>
      </c>
      <c r="G41" s="6" t="s">
        <v>1502</v>
      </c>
      <c r="H41" s="6" t="s">
        <v>1504</v>
      </c>
      <c r="I41" s="6">
        <v>81</v>
      </c>
      <c r="J41" s="7">
        <v>290.5</v>
      </c>
    </row>
    <row r="42" ht="15" customHeight="1" spans="1:10" x14ac:dyDescent="0.25">
      <c r="A42" s="6" t="s">
        <v>85</v>
      </c>
      <c r="B42" s="6" t="s">
        <v>1485</v>
      </c>
      <c r="C42" s="8">
        <v>10597222</v>
      </c>
      <c r="D42" s="7">
        <v>1.978</v>
      </c>
      <c r="E42" s="8">
        <v>2225417</v>
      </c>
      <c r="F42" s="8">
        <v>8371805</v>
      </c>
      <c r="G42" s="6" t="s">
        <v>1502</v>
      </c>
      <c r="H42" s="6" t="s">
        <v>1504</v>
      </c>
      <c r="I42" s="6">
        <v>81</v>
      </c>
      <c r="J42" s="7">
        <v>306.2</v>
      </c>
    </row>
    <row r="43" ht="15" customHeight="1" spans="1:10" x14ac:dyDescent="0.25">
      <c r="A43" s="6" t="s">
        <v>85</v>
      </c>
      <c r="B43" s="6" t="s">
        <v>1486</v>
      </c>
      <c r="C43" s="8">
        <v>10090587</v>
      </c>
      <c r="D43" s="7">
        <v>1.936</v>
      </c>
      <c r="E43" s="8">
        <v>2119023</v>
      </c>
      <c r="F43" s="8">
        <v>7971564</v>
      </c>
      <c r="G43" s="6" t="s">
        <v>1502</v>
      </c>
      <c r="H43" s="6" t="s">
        <v>1504</v>
      </c>
      <c r="I43" s="6">
        <v>81</v>
      </c>
      <c r="J43" s="7">
        <v>289.6</v>
      </c>
    </row>
    <row r="44" ht="15" customHeight="1" spans="1:10" x14ac:dyDescent="0.25">
      <c r="A44" s="6" t="s">
        <v>85</v>
      </c>
      <c r="B44" s="6" t="s">
        <v>1487</v>
      </c>
      <c r="C44" s="8">
        <v>10483817</v>
      </c>
      <c r="D44" s="7">
        <v>1.942</v>
      </c>
      <c r="E44" s="8">
        <v>2201602</v>
      </c>
      <c r="F44" s="8">
        <v>8282215</v>
      </c>
      <c r="G44" s="6" t="s">
        <v>1502</v>
      </c>
      <c r="H44" s="6" t="s">
        <v>1504</v>
      </c>
      <c r="I44" s="6">
        <v>81</v>
      </c>
      <c r="J44" s="7">
        <v>277.1</v>
      </c>
    </row>
    <row r="45" ht="15" customHeight="1" spans="1:10" x14ac:dyDescent="0.25">
      <c r="A45" s="6" t="s">
        <v>85</v>
      </c>
      <c r="B45" s="6" t="s">
        <v>1488</v>
      </c>
      <c r="C45" s="8">
        <v>10773477</v>
      </c>
      <c r="D45" s="7">
        <v>1.96</v>
      </c>
      <c r="E45" s="8">
        <v>2262430</v>
      </c>
      <c r="F45" s="8">
        <v>8511047</v>
      </c>
      <c r="G45" s="6" t="s">
        <v>1502</v>
      </c>
      <c r="H45" s="6" t="s">
        <v>1504</v>
      </c>
      <c r="I45" s="6">
        <v>81</v>
      </c>
      <c r="J45" s="7">
        <v>282.4</v>
      </c>
    </row>
    <row r="46" ht="15" customHeight="1" spans="1:10" x14ac:dyDescent="0.25">
      <c r="A46" s="6" t="s">
        <v>85</v>
      </c>
      <c r="B46" s="6" t="s">
        <v>1489</v>
      </c>
      <c r="C46" s="8">
        <v>10550892</v>
      </c>
      <c r="D46" s="7">
        <v>1.957</v>
      </c>
      <c r="E46" s="8">
        <v>2215687</v>
      </c>
      <c r="F46" s="8">
        <v>8335205</v>
      </c>
      <c r="G46" s="6" t="s">
        <v>1502</v>
      </c>
      <c r="H46" s="6" t="s">
        <v>1504</v>
      </c>
      <c r="I46" s="6">
        <v>81</v>
      </c>
      <c r="J46" s="7">
        <v>290.6</v>
      </c>
    </row>
    <row r="48" ht="15" customHeight="1" spans="1:2" x14ac:dyDescent="0.25">
      <c r="A48" s="9" t="s">
        <v>1505</v>
      </c>
    </row>
    <row r="49" ht="15" customHeight="1" spans="1:2" x14ac:dyDescent="0.25">
      <c r="A49" s="9" t="s">
        <v>1506</v>
      </c>
    </row>
    <row r="50" ht="15" customHeight="1" spans="1:2" x14ac:dyDescent="0.25">
      <c r="A50" s="9" t="s">
        <v>1507</v>
      </c>
    </row>
    <row r="51" spans="1:2" x14ac:dyDescent="0.25">
      <c r="A51" s="9" t="s">
        <v>1508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1509</v>
      </c>
      <c r="C1" s="5" t="s">
        <v>1510</v>
      </c>
      <c r="D1" s="5" t="s">
        <v>1511</v>
      </c>
      <c r="E1" s="5" t="s">
        <v>1512</v>
      </c>
      <c r="F1" s="5" t="s">
        <v>145</v>
      </c>
      <c r="G1" s="5" t="s">
        <v>1513</v>
      </c>
      <c r="H1" s="5" t="s">
        <v>1514</v>
      </c>
      <c r="I1" s="5" t="s">
        <v>1515</v>
      </c>
      <c r="J1" s="5" t="s">
        <v>107</v>
      </c>
    </row>
    <row r="2" ht="15" customHeight="1" spans="1:10" x14ac:dyDescent="0.25">
      <c r="A2" s="6" t="s">
        <v>61</v>
      </c>
      <c r="B2" s="6" t="s">
        <v>1516</v>
      </c>
      <c r="C2" s="6">
        <v>33</v>
      </c>
      <c r="D2" s="8">
        <v>12000</v>
      </c>
      <c r="E2" s="8">
        <v>10744</v>
      </c>
      <c r="F2" s="8">
        <v>1256</v>
      </c>
      <c r="G2" s="6">
        <v>2</v>
      </c>
      <c r="H2" s="6" t="s">
        <v>1517</v>
      </c>
      <c r="I2" s="6">
        <v>0</v>
      </c>
      <c r="J2" s="6" t="s">
        <v>1518</v>
      </c>
    </row>
    <row r="3" ht="15" customHeight="1" spans="1:10" x14ac:dyDescent="0.25">
      <c r="A3" s="6" t="s">
        <v>69</v>
      </c>
      <c r="B3" s="6" t="s">
        <v>1516</v>
      </c>
      <c r="C3" s="6">
        <v>33</v>
      </c>
      <c r="D3" s="8">
        <v>9000</v>
      </c>
      <c r="E3" s="8">
        <v>8613</v>
      </c>
      <c r="F3" s="6">
        <v>387</v>
      </c>
      <c r="G3" s="6">
        <v>2</v>
      </c>
      <c r="H3" s="6" t="s">
        <v>1517</v>
      </c>
      <c r="I3" s="6">
        <v>0</v>
      </c>
      <c r="J3" s="6" t="s">
        <v>1519</v>
      </c>
    </row>
    <row r="4" ht="15" customHeight="1" spans="1:10" x14ac:dyDescent="0.25">
      <c r="A4" s="6" t="s">
        <v>73</v>
      </c>
      <c r="B4" s="6" t="s">
        <v>1520</v>
      </c>
      <c r="C4" s="6">
        <v>33</v>
      </c>
      <c r="D4" s="8">
        <v>10000</v>
      </c>
      <c r="E4" s="8">
        <v>8813</v>
      </c>
      <c r="F4" s="8">
        <v>1187</v>
      </c>
      <c r="G4" s="6">
        <v>2</v>
      </c>
      <c r="H4" s="6" t="s">
        <v>1517</v>
      </c>
      <c r="I4" s="6">
        <v>0</v>
      </c>
      <c r="J4" s="6" t="s">
        <v>1521</v>
      </c>
    </row>
    <row r="5" ht="15" customHeight="1" spans="1:10" x14ac:dyDescent="0.25">
      <c r="A5" s="6" t="s">
        <v>79</v>
      </c>
      <c r="B5" s="6" t="s">
        <v>1522</v>
      </c>
      <c r="C5" s="6">
        <v>132</v>
      </c>
      <c r="D5" s="8">
        <v>22000</v>
      </c>
      <c r="E5" s="8">
        <v>10318</v>
      </c>
      <c r="F5" s="8">
        <v>11682</v>
      </c>
      <c r="G5" s="6">
        <v>2</v>
      </c>
      <c r="H5" s="6" t="s">
        <v>1517</v>
      </c>
      <c r="I5" s="6">
        <v>0</v>
      </c>
      <c r="J5" s="6" t="s">
        <v>1523</v>
      </c>
    </row>
    <row r="6" ht="15" customHeight="1" spans="1:10" x14ac:dyDescent="0.25">
      <c r="A6" s="6" t="s">
        <v>85</v>
      </c>
      <c r="B6" s="6" t="s">
        <v>1524</v>
      </c>
      <c r="C6" s="6">
        <v>33</v>
      </c>
      <c r="D6" s="8">
        <v>13000</v>
      </c>
      <c r="E6" s="8">
        <v>12550</v>
      </c>
      <c r="F6" s="6">
        <v>450</v>
      </c>
      <c r="G6" s="6">
        <v>2</v>
      </c>
      <c r="H6" s="6" t="s">
        <v>1517</v>
      </c>
      <c r="I6" s="6">
        <v>0</v>
      </c>
      <c r="J6" s="6" t="s">
        <v>1525</v>
      </c>
    </row>
    <row r="7" ht="15" customHeight="1" spans="1:10" x14ac:dyDescent="0.25">
      <c r="A7" s="6" t="s">
        <v>91</v>
      </c>
      <c r="B7" s="6" t="s">
        <v>1526</v>
      </c>
      <c r="C7" s="6">
        <v>220</v>
      </c>
      <c r="D7" s="8">
        <v>30000</v>
      </c>
      <c r="E7" s="6">
        <v>0</v>
      </c>
      <c r="F7" s="8">
        <v>30000</v>
      </c>
      <c r="G7" s="6">
        <v>2</v>
      </c>
      <c r="H7" s="6" t="s">
        <v>1527</v>
      </c>
      <c r="I7" s="6">
        <v>31</v>
      </c>
      <c r="J7" s="6" t="s">
        <v>1528</v>
      </c>
    </row>
    <row r="9" ht="15" customHeight="1" spans="1:1" x14ac:dyDescent="0.25">
      <c r="A9" s="9" t="s">
        <v>1529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1530</v>
      </c>
      <c r="B1" s="5" t="s">
        <v>1531</v>
      </c>
      <c r="C1" s="5" t="s">
        <v>1532</v>
      </c>
      <c r="D1" s="5" t="s">
        <v>1533</v>
      </c>
      <c r="E1" s="5" t="s">
        <v>1534</v>
      </c>
      <c r="F1" s="5" t="s">
        <v>1535</v>
      </c>
      <c r="G1" s="5" t="s">
        <v>1536</v>
      </c>
      <c r="H1" s="5" t="s">
        <v>50</v>
      </c>
    </row>
    <row r="2" ht="15" customHeight="1" spans="1:8" x14ac:dyDescent="0.25">
      <c r="A2" s="6" t="s">
        <v>94</v>
      </c>
      <c r="B2" s="6" t="s">
        <v>1537</v>
      </c>
      <c r="C2" s="6" t="s">
        <v>1538</v>
      </c>
      <c r="D2" s="6" t="s">
        <v>1539</v>
      </c>
      <c r="E2" s="6" t="s">
        <v>1540</v>
      </c>
      <c r="F2" s="6" t="s">
        <v>1541</v>
      </c>
      <c r="G2" s="6" t="s">
        <v>91</v>
      </c>
      <c r="H2" s="6" t="s">
        <v>1542</v>
      </c>
    </row>
    <row r="3" ht="15" customHeight="1" spans="1:8" x14ac:dyDescent="0.25">
      <c r="A3" s="6" t="s">
        <v>64</v>
      </c>
      <c r="B3" s="6" t="s">
        <v>1543</v>
      </c>
      <c r="C3" s="6" t="s">
        <v>1544</v>
      </c>
      <c r="D3" s="6" t="s">
        <v>1545</v>
      </c>
      <c r="E3" s="6" t="s">
        <v>1546</v>
      </c>
      <c r="F3" s="6" t="s">
        <v>1547</v>
      </c>
      <c r="G3" s="6" t="s">
        <v>1548</v>
      </c>
      <c r="H3" s="6" t="s">
        <v>1542</v>
      </c>
    </row>
    <row r="4" ht="15" customHeight="1" spans="1:8" x14ac:dyDescent="0.25">
      <c r="A4" s="6" t="s">
        <v>76</v>
      </c>
      <c r="B4" s="6" t="s">
        <v>1549</v>
      </c>
      <c r="C4" s="6" t="s">
        <v>1550</v>
      </c>
      <c r="D4" s="6" t="s">
        <v>1551</v>
      </c>
      <c r="E4" s="6" t="s">
        <v>1552</v>
      </c>
      <c r="F4" s="6" t="s">
        <v>1553</v>
      </c>
      <c r="G4" s="6" t="s">
        <v>73</v>
      </c>
      <c r="H4" s="6" t="s">
        <v>1542</v>
      </c>
    </row>
    <row r="5" ht="15" customHeight="1" spans="1:8" x14ac:dyDescent="0.25">
      <c r="A5" s="6" t="s">
        <v>82</v>
      </c>
      <c r="B5" s="6" t="s">
        <v>1554</v>
      </c>
      <c r="C5" s="6" t="s">
        <v>1555</v>
      </c>
      <c r="D5" s="6" t="s">
        <v>1556</v>
      </c>
      <c r="E5" s="6" t="s">
        <v>1557</v>
      </c>
      <c r="F5" s="6" t="s">
        <v>1558</v>
      </c>
      <c r="G5" s="6" t="s">
        <v>79</v>
      </c>
      <c r="H5" s="6" t="s">
        <v>1542</v>
      </c>
    </row>
    <row r="6" ht="15" customHeight="1" spans="1:8" x14ac:dyDescent="0.25">
      <c r="A6" s="6" t="s">
        <v>88</v>
      </c>
      <c r="B6" s="6" t="s">
        <v>1549</v>
      </c>
      <c r="C6" s="6" t="s">
        <v>1559</v>
      </c>
      <c r="D6" s="6" t="s">
        <v>1545</v>
      </c>
      <c r="E6" s="6" t="s">
        <v>1560</v>
      </c>
      <c r="F6" s="6" t="s">
        <v>1561</v>
      </c>
      <c r="G6" s="6" t="s">
        <v>85</v>
      </c>
      <c r="H6" s="6" t="s">
        <v>1542</v>
      </c>
    </row>
    <row r="7" ht="15" customHeight="1" spans="1:8" x14ac:dyDescent="0.25">
      <c r="A7" s="6" t="s">
        <v>1562</v>
      </c>
      <c r="B7" s="6" t="s">
        <v>1563</v>
      </c>
      <c r="C7" s="6" t="s">
        <v>1544</v>
      </c>
      <c r="D7" s="6" t="s">
        <v>1564</v>
      </c>
      <c r="E7" s="6" t="s">
        <v>1565</v>
      </c>
      <c r="F7" s="6" t="s">
        <v>1566</v>
      </c>
      <c r="G7" s="6" t="s">
        <v>1567</v>
      </c>
      <c r="H7" s="6" t="s">
        <v>1542</v>
      </c>
    </row>
    <row r="8" ht="15" customHeight="1" spans="1:8" x14ac:dyDescent="0.25">
      <c r="A8" s="6" t="s">
        <v>1568</v>
      </c>
      <c r="B8" s="6" t="s">
        <v>1569</v>
      </c>
      <c r="C8" s="6" t="s">
        <v>1570</v>
      </c>
      <c r="D8" s="6" t="s">
        <v>1571</v>
      </c>
      <c r="E8" s="6" t="s">
        <v>1565</v>
      </c>
      <c r="F8" s="6" t="s">
        <v>1572</v>
      </c>
      <c r="G8" s="6" t="s">
        <v>1573</v>
      </c>
      <c r="H8" s="6" t="s">
        <v>1542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1574</v>
      </c>
      <c r="B1" s="5" t="s">
        <v>43</v>
      </c>
      <c r="C1" s="5" t="s">
        <v>1575</v>
      </c>
      <c r="D1" s="5" t="s">
        <v>1576</v>
      </c>
      <c r="E1" s="5" t="s">
        <v>1577</v>
      </c>
      <c r="F1" s="5" t="s">
        <v>1578</v>
      </c>
      <c r="G1" s="5" t="s">
        <v>1579</v>
      </c>
    </row>
    <row r="2" ht="15" customHeight="1" spans="1:7" x14ac:dyDescent="0.25">
      <c r="A2" s="6" t="s">
        <v>1580</v>
      </c>
      <c r="B2" s="6" t="s">
        <v>1581</v>
      </c>
      <c r="C2" s="6" t="s">
        <v>61</v>
      </c>
      <c r="D2" s="6" t="s">
        <v>1582</v>
      </c>
      <c r="E2" s="6" t="s">
        <v>1583</v>
      </c>
      <c r="F2" s="6" t="s">
        <v>1584</v>
      </c>
      <c r="G2" s="6" t="s">
        <v>1585</v>
      </c>
    </row>
    <row r="3" ht="15" customHeight="1" spans="1:7" x14ac:dyDescent="0.25">
      <c r="A3" s="6" t="s">
        <v>1586</v>
      </c>
      <c r="B3" s="6" t="s">
        <v>1587</v>
      </c>
      <c r="C3" s="6" t="s">
        <v>1588</v>
      </c>
      <c r="D3" s="6" t="s">
        <v>1589</v>
      </c>
      <c r="E3" s="6" t="s">
        <v>1590</v>
      </c>
      <c r="F3" s="6" t="s">
        <v>1584</v>
      </c>
      <c r="G3" s="6" t="s">
        <v>1591</v>
      </c>
    </row>
    <row r="4" ht="15" customHeight="1" spans="1:7" x14ac:dyDescent="0.25">
      <c r="A4" s="6" t="s">
        <v>1592</v>
      </c>
      <c r="B4" s="6" t="s">
        <v>1593</v>
      </c>
      <c r="C4" s="6" t="s">
        <v>1594</v>
      </c>
      <c r="D4" s="6" t="s">
        <v>1595</v>
      </c>
      <c r="E4" s="6" t="s">
        <v>1596</v>
      </c>
      <c r="F4" s="6" t="s">
        <v>1597</v>
      </c>
      <c r="G4" s="6" t="s">
        <v>1598</v>
      </c>
    </row>
    <row r="5" ht="15" customHeight="1" spans="1:7" x14ac:dyDescent="0.25">
      <c r="A5" s="6" t="s">
        <v>1599</v>
      </c>
      <c r="B5" s="6" t="s">
        <v>1600</v>
      </c>
      <c r="C5" s="6" t="s">
        <v>1601</v>
      </c>
      <c r="D5" s="6" t="s">
        <v>1602</v>
      </c>
      <c r="E5" s="6" t="s">
        <v>1603</v>
      </c>
      <c r="F5" s="6" t="s">
        <v>1604</v>
      </c>
      <c r="G5" s="6" t="s">
        <v>1605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1606</v>
      </c>
      <c r="B1" s="5" t="s">
        <v>788</v>
      </c>
      <c r="C1" s="5" t="s">
        <v>42</v>
      </c>
      <c r="D1" s="5" t="s">
        <v>1607</v>
      </c>
      <c r="E1" s="5" t="s">
        <v>1608</v>
      </c>
      <c r="F1" s="5" t="s">
        <v>1609</v>
      </c>
      <c r="G1" s="5" t="s">
        <v>1610</v>
      </c>
      <c r="H1" s="5" t="s">
        <v>1611</v>
      </c>
      <c r="I1" s="5" t="s">
        <v>1612</v>
      </c>
      <c r="J1" s="5" t="s">
        <v>1248</v>
      </c>
    </row>
    <row r="2" ht="15" customHeight="1" spans="1:10" x14ac:dyDescent="0.25">
      <c r="A2" s="6" t="s">
        <v>1613</v>
      </c>
      <c r="B2" s="6" t="s">
        <v>254</v>
      </c>
      <c r="C2" s="6" t="s">
        <v>61</v>
      </c>
      <c r="D2" s="6" t="s">
        <v>1614</v>
      </c>
      <c r="E2" s="6" t="s">
        <v>1615</v>
      </c>
      <c r="F2" s="6" t="s">
        <v>1616</v>
      </c>
      <c r="G2" s="6" t="s">
        <v>1617</v>
      </c>
      <c r="H2" s="6" t="s">
        <v>1618</v>
      </c>
      <c r="I2" s="6" t="s">
        <v>1619</v>
      </c>
      <c r="J2" s="7">
        <v>3.4</v>
      </c>
    </row>
    <row r="3" ht="15" customHeight="1" spans="1:10" x14ac:dyDescent="0.25">
      <c r="A3" s="6" t="s">
        <v>1620</v>
      </c>
      <c r="B3" s="6" t="s">
        <v>850</v>
      </c>
      <c r="C3" s="6" t="s">
        <v>61</v>
      </c>
      <c r="D3" s="6" t="s">
        <v>1621</v>
      </c>
      <c r="E3" s="6" t="s">
        <v>1622</v>
      </c>
      <c r="F3" s="6" t="s">
        <v>1623</v>
      </c>
      <c r="G3" s="6" t="s">
        <v>1624</v>
      </c>
      <c r="H3" s="6" t="s">
        <v>1625</v>
      </c>
      <c r="I3" s="6" t="s">
        <v>1619</v>
      </c>
      <c r="J3" s="7">
        <v>1.4</v>
      </c>
    </row>
    <row r="4" ht="15" customHeight="1" spans="1:10" x14ac:dyDescent="0.25">
      <c r="A4" s="6" t="s">
        <v>1626</v>
      </c>
      <c r="B4" s="6" t="s">
        <v>825</v>
      </c>
      <c r="C4" s="6" t="s">
        <v>61</v>
      </c>
      <c r="D4" s="6" t="s">
        <v>1627</v>
      </c>
      <c r="E4" s="6" t="s">
        <v>1628</v>
      </c>
      <c r="F4" s="6" t="s">
        <v>1629</v>
      </c>
      <c r="G4" s="6" t="s">
        <v>1624</v>
      </c>
      <c r="H4" s="6" t="s">
        <v>1618</v>
      </c>
      <c r="I4" s="6" t="s">
        <v>1619</v>
      </c>
      <c r="J4" s="7">
        <v>3.4</v>
      </c>
    </row>
    <row r="5" ht="15" customHeight="1" spans="1:10" x14ac:dyDescent="0.25">
      <c r="A5" s="6" t="s">
        <v>1630</v>
      </c>
      <c r="B5" s="6" t="s">
        <v>366</v>
      </c>
      <c r="C5" s="6" t="s">
        <v>61</v>
      </c>
      <c r="D5" s="6" t="s">
        <v>1627</v>
      </c>
      <c r="E5" s="6" t="s">
        <v>1628</v>
      </c>
      <c r="F5" s="6" t="s">
        <v>1631</v>
      </c>
      <c r="G5" s="6" t="s">
        <v>1632</v>
      </c>
      <c r="H5" s="6" t="s">
        <v>1618</v>
      </c>
      <c r="I5" s="6" t="s">
        <v>1619</v>
      </c>
      <c r="J5" s="7">
        <v>1.5</v>
      </c>
    </row>
    <row r="6" ht="15" customHeight="1" spans="1:10" x14ac:dyDescent="0.25">
      <c r="A6" s="6" t="s">
        <v>1633</v>
      </c>
      <c r="B6" s="6" t="s">
        <v>451</v>
      </c>
      <c r="C6" s="6" t="s">
        <v>61</v>
      </c>
      <c r="D6" s="6" t="s">
        <v>1627</v>
      </c>
      <c r="E6" s="6" t="s">
        <v>1628</v>
      </c>
      <c r="F6" s="6" t="s">
        <v>1634</v>
      </c>
      <c r="G6" s="6" t="s">
        <v>1624</v>
      </c>
      <c r="H6" s="6" t="s">
        <v>1635</v>
      </c>
      <c r="I6" s="6" t="s">
        <v>1636</v>
      </c>
      <c r="J6" s="7">
        <v>2.8</v>
      </c>
    </row>
    <row r="7" ht="15" customHeight="1" spans="1:10" x14ac:dyDescent="0.25">
      <c r="A7" s="6" t="s">
        <v>1637</v>
      </c>
      <c r="B7" s="6" t="s">
        <v>836</v>
      </c>
      <c r="C7" s="6" t="s">
        <v>61</v>
      </c>
      <c r="D7" s="6" t="s">
        <v>1638</v>
      </c>
      <c r="E7" s="6" t="s">
        <v>1639</v>
      </c>
      <c r="F7" s="6" t="s">
        <v>1616</v>
      </c>
      <c r="G7" s="6" t="s">
        <v>1617</v>
      </c>
      <c r="H7" s="6" t="s">
        <v>1640</v>
      </c>
      <c r="I7" s="6" t="s">
        <v>1619</v>
      </c>
      <c r="J7" s="7">
        <v>1.9</v>
      </c>
    </row>
    <row r="8" ht="15" customHeight="1" spans="1:10" x14ac:dyDescent="0.25">
      <c r="A8" s="6" t="s">
        <v>1641</v>
      </c>
      <c r="B8" s="6" t="s">
        <v>817</v>
      </c>
      <c r="C8" s="6" t="s">
        <v>61</v>
      </c>
      <c r="D8" s="6" t="s">
        <v>1642</v>
      </c>
      <c r="E8" s="6" t="s">
        <v>1643</v>
      </c>
      <c r="F8" s="6" t="s">
        <v>1616</v>
      </c>
      <c r="G8" s="6" t="s">
        <v>1624</v>
      </c>
      <c r="H8" s="6" t="s">
        <v>1618</v>
      </c>
      <c r="I8" s="6" t="s">
        <v>1619</v>
      </c>
      <c r="J8" s="7">
        <v>3.2</v>
      </c>
    </row>
    <row r="9" ht="15" customHeight="1" spans="1:10" x14ac:dyDescent="0.25">
      <c r="A9" s="6" t="s">
        <v>1644</v>
      </c>
      <c r="B9" s="6" t="s">
        <v>838</v>
      </c>
      <c r="C9" s="6" t="s">
        <v>61</v>
      </c>
      <c r="D9" s="6" t="s">
        <v>1645</v>
      </c>
      <c r="E9" s="6" t="s">
        <v>1646</v>
      </c>
      <c r="F9" s="6" t="s">
        <v>1631</v>
      </c>
      <c r="G9" s="6" t="s">
        <v>1632</v>
      </c>
      <c r="H9" s="6" t="s">
        <v>1647</v>
      </c>
      <c r="I9" s="6" t="s">
        <v>1619</v>
      </c>
      <c r="J9" s="7">
        <v>3.6</v>
      </c>
    </row>
    <row r="10" ht="15" customHeight="1" spans="1:10" x14ac:dyDescent="0.25">
      <c r="A10" s="6" t="s">
        <v>1648</v>
      </c>
      <c r="B10" s="6" t="s">
        <v>986</v>
      </c>
      <c r="C10" s="6" t="s">
        <v>61</v>
      </c>
      <c r="D10" s="6" t="s">
        <v>1649</v>
      </c>
      <c r="E10" s="6" t="s">
        <v>1650</v>
      </c>
      <c r="F10" s="6" t="s">
        <v>1616</v>
      </c>
      <c r="G10" s="6" t="s">
        <v>1624</v>
      </c>
      <c r="H10" s="6" t="s">
        <v>1625</v>
      </c>
      <c r="I10" s="6" t="s">
        <v>1619</v>
      </c>
      <c r="J10" s="7">
        <v>2.8</v>
      </c>
    </row>
    <row r="11" ht="15" customHeight="1" spans="1:10" x14ac:dyDescent="0.25">
      <c r="A11" s="6" t="s">
        <v>1651</v>
      </c>
      <c r="B11" s="6" t="s">
        <v>450</v>
      </c>
      <c r="C11" s="6" t="s">
        <v>61</v>
      </c>
      <c r="D11" s="6" t="s">
        <v>1652</v>
      </c>
      <c r="E11" s="6" t="s">
        <v>1653</v>
      </c>
      <c r="F11" s="6" t="s">
        <v>1623</v>
      </c>
      <c r="G11" s="6" t="s">
        <v>1632</v>
      </c>
      <c r="H11" s="6" t="s">
        <v>1625</v>
      </c>
      <c r="I11" s="6" t="s">
        <v>1619</v>
      </c>
      <c r="J11" s="7">
        <v>2.4</v>
      </c>
    </row>
    <row r="12" ht="15" customHeight="1" spans="1:10" x14ac:dyDescent="0.25">
      <c r="A12" s="6" t="s">
        <v>1654</v>
      </c>
      <c r="B12" s="6" t="s">
        <v>265</v>
      </c>
      <c r="C12" s="6" t="s">
        <v>61</v>
      </c>
      <c r="D12" s="6" t="s">
        <v>1655</v>
      </c>
      <c r="E12" s="6" t="s">
        <v>1656</v>
      </c>
      <c r="F12" s="6" t="s">
        <v>1616</v>
      </c>
      <c r="G12" s="6" t="s">
        <v>1632</v>
      </c>
      <c r="H12" s="6" t="s">
        <v>1640</v>
      </c>
      <c r="I12" s="6" t="s">
        <v>1619</v>
      </c>
      <c r="J12" s="7">
        <v>3.1</v>
      </c>
    </row>
    <row r="13" ht="15" customHeight="1" spans="1:10" x14ac:dyDescent="0.25">
      <c r="A13" s="6" t="s">
        <v>1657</v>
      </c>
      <c r="B13" s="6" t="s">
        <v>909</v>
      </c>
      <c r="C13" s="6" t="s">
        <v>61</v>
      </c>
      <c r="D13" s="6" t="s">
        <v>1658</v>
      </c>
      <c r="E13" s="6" t="s">
        <v>1659</v>
      </c>
      <c r="F13" s="6" t="s">
        <v>1660</v>
      </c>
      <c r="G13" s="6" t="s">
        <v>1632</v>
      </c>
      <c r="H13" s="6" t="s">
        <v>1647</v>
      </c>
      <c r="I13" s="6" t="s">
        <v>1619</v>
      </c>
      <c r="J13" s="7">
        <v>3.8</v>
      </c>
    </row>
    <row r="14" ht="15" customHeight="1" spans="1:10" x14ac:dyDescent="0.25">
      <c r="A14" s="6" t="s">
        <v>1661</v>
      </c>
      <c r="B14" s="6" t="s">
        <v>981</v>
      </c>
      <c r="C14" s="6" t="s">
        <v>61</v>
      </c>
      <c r="D14" s="6" t="s">
        <v>1662</v>
      </c>
      <c r="E14" s="6" t="s">
        <v>1663</v>
      </c>
      <c r="F14" s="6" t="s">
        <v>1616</v>
      </c>
      <c r="G14" s="6" t="s">
        <v>1632</v>
      </c>
      <c r="H14" s="6" t="s">
        <v>1625</v>
      </c>
      <c r="I14" s="6" t="s">
        <v>1619</v>
      </c>
      <c r="J14" s="7">
        <v>1.9</v>
      </c>
    </row>
    <row r="15" ht="15" customHeight="1" spans="1:10" x14ac:dyDescent="0.25">
      <c r="A15" s="6" t="s">
        <v>1664</v>
      </c>
      <c r="B15" s="6" t="s">
        <v>843</v>
      </c>
      <c r="C15" s="6" t="s">
        <v>61</v>
      </c>
      <c r="D15" s="6" t="s">
        <v>1665</v>
      </c>
      <c r="E15" s="6" t="s">
        <v>1666</v>
      </c>
      <c r="F15" s="6" t="s">
        <v>1623</v>
      </c>
      <c r="G15" s="6" t="s">
        <v>1617</v>
      </c>
      <c r="H15" s="6" t="s">
        <v>1647</v>
      </c>
      <c r="I15" s="6" t="s">
        <v>1619</v>
      </c>
      <c r="J15" s="7">
        <v>3.4</v>
      </c>
    </row>
    <row r="16" ht="15" customHeight="1" spans="1:10" x14ac:dyDescent="0.25">
      <c r="A16" s="6" t="s">
        <v>1667</v>
      </c>
      <c r="B16" s="6" t="s">
        <v>979</v>
      </c>
      <c r="C16" s="6" t="s">
        <v>61</v>
      </c>
      <c r="D16" s="6" t="s">
        <v>1668</v>
      </c>
      <c r="E16" s="6" t="s">
        <v>1669</v>
      </c>
      <c r="F16" s="6" t="s">
        <v>1670</v>
      </c>
      <c r="G16" s="6" t="s">
        <v>1624</v>
      </c>
      <c r="H16" s="6" t="s">
        <v>1647</v>
      </c>
      <c r="I16" s="6" t="s">
        <v>1619</v>
      </c>
      <c r="J16" s="7">
        <v>1.2</v>
      </c>
    </row>
    <row r="17" ht="15" customHeight="1" spans="1:10" x14ac:dyDescent="0.25">
      <c r="A17" s="6" t="s">
        <v>1671</v>
      </c>
      <c r="B17" s="6" t="s">
        <v>879</v>
      </c>
      <c r="C17" s="6" t="s">
        <v>61</v>
      </c>
      <c r="D17" s="6" t="s">
        <v>1668</v>
      </c>
      <c r="E17" s="6" t="s">
        <v>1669</v>
      </c>
      <c r="F17" s="6" t="s">
        <v>1634</v>
      </c>
      <c r="G17" s="6" t="s">
        <v>1632</v>
      </c>
      <c r="H17" s="6" t="s">
        <v>1640</v>
      </c>
      <c r="I17" s="6" t="s">
        <v>1619</v>
      </c>
      <c r="J17" s="7">
        <v>1.8</v>
      </c>
    </row>
    <row r="18" ht="15" customHeight="1" spans="1:10" x14ac:dyDescent="0.25">
      <c r="A18" s="6" t="s">
        <v>1672</v>
      </c>
      <c r="B18" s="6" t="s">
        <v>462</v>
      </c>
      <c r="C18" s="6" t="s">
        <v>61</v>
      </c>
      <c r="D18" s="6" t="s">
        <v>1668</v>
      </c>
      <c r="E18" s="6" t="s">
        <v>1669</v>
      </c>
      <c r="F18" s="6" t="s">
        <v>1631</v>
      </c>
      <c r="G18" s="6" t="s">
        <v>1617</v>
      </c>
      <c r="H18" s="6" t="s">
        <v>1647</v>
      </c>
      <c r="I18" s="6" t="s">
        <v>1619</v>
      </c>
      <c r="J18" s="7">
        <v>0.8</v>
      </c>
    </row>
    <row r="19" ht="15" customHeight="1" spans="1:10" x14ac:dyDescent="0.25">
      <c r="A19" s="6" t="s">
        <v>1673</v>
      </c>
      <c r="B19" s="6" t="s">
        <v>974</v>
      </c>
      <c r="C19" s="6" t="s">
        <v>61</v>
      </c>
      <c r="D19" s="6" t="s">
        <v>1674</v>
      </c>
      <c r="E19" s="6" t="s">
        <v>1675</v>
      </c>
      <c r="F19" s="6" t="s">
        <v>1660</v>
      </c>
      <c r="G19" s="6" t="s">
        <v>1617</v>
      </c>
      <c r="H19" s="6" t="s">
        <v>1618</v>
      </c>
      <c r="I19" s="6" t="s">
        <v>1619</v>
      </c>
      <c r="J19" s="7">
        <v>2.1</v>
      </c>
    </row>
    <row r="20" ht="15" customHeight="1" spans="1:10" x14ac:dyDescent="0.25">
      <c r="A20" s="6" t="s">
        <v>1676</v>
      </c>
      <c r="B20" s="6" t="s">
        <v>811</v>
      </c>
      <c r="C20" s="6" t="s">
        <v>61</v>
      </c>
      <c r="D20" s="6" t="s">
        <v>1677</v>
      </c>
      <c r="E20" s="6" t="s">
        <v>1678</v>
      </c>
      <c r="F20" s="6" t="s">
        <v>1660</v>
      </c>
      <c r="G20" s="6" t="s">
        <v>1624</v>
      </c>
      <c r="H20" s="6" t="s">
        <v>1647</v>
      </c>
      <c r="I20" s="6" t="s">
        <v>1619</v>
      </c>
      <c r="J20" s="7">
        <v>3.7</v>
      </c>
    </row>
    <row r="21" ht="15" customHeight="1" spans="1:10" x14ac:dyDescent="0.25">
      <c r="A21" s="6" t="s">
        <v>1679</v>
      </c>
      <c r="B21" s="6" t="s">
        <v>939</v>
      </c>
      <c r="C21" s="6" t="s">
        <v>61</v>
      </c>
      <c r="D21" s="6" t="s">
        <v>1677</v>
      </c>
      <c r="E21" s="6" t="s">
        <v>1678</v>
      </c>
      <c r="F21" s="6" t="s">
        <v>1660</v>
      </c>
      <c r="G21" s="6" t="s">
        <v>1632</v>
      </c>
      <c r="H21" s="6" t="s">
        <v>1647</v>
      </c>
      <c r="I21" s="6" t="s">
        <v>1619</v>
      </c>
      <c r="J21" s="7">
        <v>1.9</v>
      </c>
    </row>
    <row r="22" ht="15" customHeight="1" spans="1:10" x14ac:dyDescent="0.25">
      <c r="A22" s="6" t="s">
        <v>1680</v>
      </c>
      <c r="B22" s="6" t="s">
        <v>830</v>
      </c>
      <c r="C22" s="6" t="s">
        <v>61</v>
      </c>
      <c r="D22" s="6" t="s">
        <v>1681</v>
      </c>
      <c r="E22" s="6" t="s">
        <v>1682</v>
      </c>
      <c r="F22" s="6" t="s">
        <v>1623</v>
      </c>
      <c r="G22" s="6" t="s">
        <v>1617</v>
      </c>
      <c r="H22" s="6" t="s">
        <v>1683</v>
      </c>
      <c r="I22" s="6" t="s">
        <v>1636</v>
      </c>
      <c r="J22" s="7">
        <v>1.4</v>
      </c>
    </row>
    <row r="23" ht="15" customHeight="1" spans="1:10" x14ac:dyDescent="0.25">
      <c r="A23" s="6" t="s">
        <v>1684</v>
      </c>
      <c r="B23" s="6" t="s">
        <v>815</v>
      </c>
      <c r="C23" s="6" t="s">
        <v>61</v>
      </c>
      <c r="D23" s="6" t="s">
        <v>1685</v>
      </c>
      <c r="E23" s="6" t="s">
        <v>1686</v>
      </c>
      <c r="F23" s="6" t="s">
        <v>1616</v>
      </c>
      <c r="G23" s="6" t="s">
        <v>1617</v>
      </c>
      <c r="H23" s="6" t="s">
        <v>1618</v>
      </c>
      <c r="I23" s="6" t="s">
        <v>1619</v>
      </c>
      <c r="J23" s="7">
        <v>1.2</v>
      </c>
    </row>
    <row r="24" ht="15" customHeight="1" spans="1:10" x14ac:dyDescent="0.25">
      <c r="A24" s="6" t="s">
        <v>1687</v>
      </c>
      <c r="B24" s="6" t="s">
        <v>969</v>
      </c>
      <c r="C24" s="6" t="s">
        <v>61</v>
      </c>
      <c r="D24" s="6" t="s">
        <v>1688</v>
      </c>
      <c r="E24" s="6" t="s">
        <v>1689</v>
      </c>
      <c r="F24" s="6" t="s">
        <v>1629</v>
      </c>
      <c r="G24" s="6" t="s">
        <v>1617</v>
      </c>
      <c r="H24" s="6" t="s">
        <v>1625</v>
      </c>
      <c r="I24" s="6" t="s">
        <v>1619</v>
      </c>
      <c r="J24" s="7">
        <v>1.6</v>
      </c>
    </row>
    <row r="25" ht="15" customHeight="1" spans="1:10" x14ac:dyDescent="0.25">
      <c r="A25" s="6" t="s">
        <v>1690</v>
      </c>
      <c r="B25" s="6" t="s">
        <v>821</v>
      </c>
      <c r="C25" s="6" t="s">
        <v>61</v>
      </c>
      <c r="D25" s="6" t="s">
        <v>1691</v>
      </c>
      <c r="E25" s="6" t="s">
        <v>1692</v>
      </c>
      <c r="F25" s="6" t="s">
        <v>1629</v>
      </c>
      <c r="G25" s="6" t="s">
        <v>1632</v>
      </c>
      <c r="H25" s="6" t="s">
        <v>1640</v>
      </c>
      <c r="I25" s="6" t="s">
        <v>1619</v>
      </c>
      <c r="J25" s="7">
        <v>2.2</v>
      </c>
    </row>
    <row r="26" ht="15" customHeight="1" spans="1:10" x14ac:dyDescent="0.25">
      <c r="A26" s="6" t="s">
        <v>1693</v>
      </c>
      <c r="B26" s="6" t="s">
        <v>833</v>
      </c>
      <c r="C26" s="6" t="s">
        <v>61</v>
      </c>
      <c r="D26" s="6" t="s">
        <v>1694</v>
      </c>
      <c r="E26" s="6" t="s">
        <v>1695</v>
      </c>
      <c r="F26" s="6" t="s">
        <v>1660</v>
      </c>
      <c r="G26" s="6" t="s">
        <v>1617</v>
      </c>
      <c r="H26" s="6" t="s">
        <v>1683</v>
      </c>
      <c r="I26" s="6" t="s">
        <v>1636</v>
      </c>
      <c r="J26" s="7">
        <v>2.3</v>
      </c>
    </row>
    <row r="27" ht="15" customHeight="1" spans="1:10" x14ac:dyDescent="0.25">
      <c r="A27" s="6" t="s">
        <v>1696</v>
      </c>
      <c r="B27" s="6" t="s">
        <v>463</v>
      </c>
      <c r="C27" s="6" t="s">
        <v>61</v>
      </c>
      <c r="D27" s="6" t="s">
        <v>1697</v>
      </c>
      <c r="E27" s="6" t="s">
        <v>1698</v>
      </c>
      <c r="F27" s="6" t="s">
        <v>1660</v>
      </c>
      <c r="G27" s="6" t="s">
        <v>1624</v>
      </c>
      <c r="H27" s="6" t="s">
        <v>1647</v>
      </c>
      <c r="I27" s="6" t="s">
        <v>1619</v>
      </c>
      <c r="J27" s="7">
        <v>0.8</v>
      </c>
    </row>
    <row r="28" ht="15" customHeight="1" spans="1:10" x14ac:dyDescent="0.25">
      <c r="A28" s="6" t="s">
        <v>1699</v>
      </c>
      <c r="B28" s="6" t="s">
        <v>882</v>
      </c>
      <c r="C28" s="6" t="s">
        <v>61</v>
      </c>
      <c r="D28" s="6" t="s">
        <v>1700</v>
      </c>
      <c r="E28" s="6" t="s">
        <v>1701</v>
      </c>
      <c r="F28" s="6" t="s">
        <v>1660</v>
      </c>
      <c r="G28" s="6" t="s">
        <v>1632</v>
      </c>
      <c r="H28" s="6" t="s">
        <v>1618</v>
      </c>
      <c r="I28" s="6" t="s">
        <v>1619</v>
      </c>
      <c r="J28" s="7">
        <v>1.8</v>
      </c>
    </row>
    <row r="29" ht="15" customHeight="1" spans="1:10" x14ac:dyDescent="0.25">
      <c r="A29" s="6" t="s">
        <v>1702</v>
      </c>
      <c r="B29" s="6" t="s">
        <v>365</v>
      </c>
      <c r="C29" s="6" t="s">
        <v>61</v>
      </c>
      <c r="D29" s="6" t="s">
        <v>1700</v>
      </c>
      <c r="E29" s="6" t="s">
        <v>1701</v>
      </c>
      <c r="F29" s="6" t="s">
        <v>1660</v>
      </c>
      <c r="G29" s="6" t="s">
        <v>1632</v>
      </c>
      <c r="H29" s="6" t="s">
        <v>1647</v>
      </c>
      <c r="I29" s="6" t="s">
        <v>1619</v>
      </c>
      <c r="J29" s="7">
        <v>1.1</v>
      </c>
    </row>
    <row r="30" ht="15" customHeight="1" spans="1:10" x14ac:dyDescent="0.25">
      <c r="A30" s="6" t="s">
        <v>1703</v>
      </c>
      <c r="B30" s="6" t="s">
        <v>841</v>
      </c>
      <c r="C30" s="6" t="s">
        <v>61</v>
      </c>
      <c r="D30" s="6" t="s">
        <v>1704</v>
      </c>
      <c r="E30" s="6" t="s">
        <v>1705</v>
      </c>
      <c r="F30" s="6" t="s">
        <v>1623</v>
      </c>
      <c r="G30" s="6" t="s">
        <v>1632</v>
      </c>
      <c r="H30" s="6" t="s">
        <v>1625</v>
      </c>
      <c r="I30" s="6" t="s">
        <v>1619</v>
      </c>
      <c r="J30" s="7">
        <v>3.6</v>
      </c>
    </row>
    <row r="31" ht="15" customHeight="1" spans="1:10" x14ac:dyDescent="0.25">
      <c r="A31" s="6" t="s">
        <v>1706</v>
      </c>
      <c r="B31" s="6" t="s">
        <v>846</v>
      </c>
      <c r="C31" s="6" t="s">
        <v>61</v>
      </c>
      <c r="D31" s="6" t="s">
        <v>1707</v>
      </c>
      <c r="E31" s="6" t="s">
        <v>1708</v>
      </c>
      <c r="F31" s="6" t="s">
        <v>1631</v>
      </c>
      <c r="G31" s="6" t="s">
        <v>1632</v>
      </c>
      <c r="H31" s="6" t="s">
        <v>1625</v>
      </c>
      <c r="I31" s="6" t="s">
        <v>1619</v>
      </c>
      <c r="J31" s="7">
        <v>1.4</v>
      </c>
    </row>
    <row r="32" ht="15" customHeight="1" spans="1:10" x14ac:dyDescent="0.25">
      <c r="A32" s="6" t="s">
        <v>1709</v>
      </c>
      <c r="B32" s="6" t="s">
        <v>976</v>
      </c>
      <c r="C32" s="6" t="s">
        <v>61</v>
      </c>
      <c r="D32" s="6" t="s">
        <v>1710</v>
      </c>
      <c r="E32" s="6" t="s">
        <v>1711</v>
      </c>
      <c r="F32" s="6" t="s">
        <v>1623</v>
      </c>
      <c r="G32" s="6" t="s">
        <v>1624</v>
      </c>
      <c r="H32" s="6" t="s">
        <v>1625</v>
      </c>
      <c r="I32" s="6" t="s">
        <v>1619</v>
      </c>
      <c r="J32" s="7">
        <v>0.8</v>
      </c>
    </row>
    <row r="33" ht="15" customHeight="1" spans="1:10" x14ac:dyDescent="0.25">
      <c r="A33" s="6" t="s">
        <v>1712</v>
      </c>
      <c r="B33" s="6" t="s">
        <v>353</v>
      </c>
      <c r="C33" s="6" t="s">
        <v>61</v>
      </c>
      <c r="D33" s="6" t="s">
        <v>1713</v>
      </c>
      <c r="E33" s="6" t="s">
        <v>1714</v>
      </c>
      <c r="F33" s="6" t="s">
        <v>1629</v>
      </c>
      <c r="G33" s="6" t="s">
        <v>1632</v>
      </c>
      <c r="H33" s="6" t="s">
        <v>1647</v>
      </c>
      <c r="I33" s="6" t="s">
        <v>1619</v>
      </c>
      <c r="J33" s="7">
        <v>1.5</v>
      </c>
    </row>
    <row r="34" ht="15" customHeight="1" spans="1:10" x14ac:dyDescent="0.25">
      <c r="A34" s="6" t="s">
        <v>1715</v>
      </c>
      <c r="B34" s="6" t="s">
        <v>266</v>
      </c>
      <c r="C34" s="6" t="s">
        <v>61</v>
      </c>
      <c r="D34" s="6" t="s">
        <v>1716</v>
      </c>
      <c r="E34" s="6" t="s">
        <v>1717</v>
      </c>
      <c r="F34" s="6" t="s">
        <v>1634</v>
      </c>
      <c r="G34" s="6" t="s">
        <v>1624</v>
      </c>
      <c r="H34" s="6" t="s">
        <v>1618</v>
      </c>
      <c r="I34" s="6" t="s">
        <v>1619</v>
      </c>
      <c r="J34" s="7">
        <v>2.7</v>
      </c>
    </row>
    <row r="35" ht="15" customHeight="1" spans="1:10" x14ac:dyDescent="0.25">
      <c r="A35" s="6" t="s">
        <v>1718</v>
      </c>
      <c r="B35" s="6" t="s">
        <v>354</v>
      </c>
      <c r="C35" s="6" t="s">
        <v>61</v>
      </c>
      <c r="D35" s="6" t="s">
        <v>1719</v>
      </c>
      <c r="E35" s="6" t="s">
        <v>1720</v>
      </c>
      <c r="F35" s="6" t="s">
        <v>1629</v>
      </c>
      <c r="G35" s="6" t="s">
        <v>1632</v>
      </c>
      <c r="H35" s="6" t="s">
        <v>1618</v>
      </c>
      <c r="I35" s="6" t="s">
        <v>1619</v>
      </c>
      <c r="J35" s="7">
        <v>1.1</v>
      </c>
    </row>
    <row r="36" ht="15" customHeight="1" spans="1:10" x14ac:dyDescent="0.25">
      <c r="A36" s="6" t="s">
        <v>1721</v>
      </c>
      <c r="B36" s="6" t="s">
        <v>912</v>
      </c>
      <c r="C36" s="6" t="s">
        <v>61</v>
      </c>
      <c r="D36" s="6" t="s">
        <v>1722</v>
      </c>
      <c r="E36" s="6" t="s">
        <v>1723</v>
      </c>
      <c r="F36" s="6" t="s">
        <v>1670</v>
      </c>
      <c r="G36" s="6" t="s">
        <v>1632</v>
      </c>
      <c r="H36" s="6" t="s">
        <v>1625</v>
      </c>
      <c r="I36" s="6" t="s">
        <v>1619</v>
      </c>
      <c r="J36" s="7">
        <v>2.5</v>
      </c>
    </row>
    <row r="37" ht="15" customHeight="1" spans="1:10" x14ac:dyDescent="0.25">
      <c r="A37" s="6" t="s">
        <v>1724</v>
      </c>
      <c r="B37" s="6" t="s">
        <v>942</v>
      </c>
      <c r="C37" s="6" t="s">
        <v>61</v>
      </c>
      <c r="D37" s="6" t="s">
        <v>1722</v>
      </c>
      <c r="E37" s="6" t="s">
        <v>1723</v>
      </c>
      <c r="F37" s="6" t="s">
        <v>1660</v>
      </c>
      <c r="G37" s="6" t="s">
        <v>1624</v>
      </c>
      <c r="H37" s="6" t="s">
        <v>1618</v>
      </c>
      <c r="I37" s="6" t="s">
        <v>1619</v>
      </c>
      <c r="J37" s="7">
        <v>1</v>
      </c>
    </row>
    <row r="38" ht="15" customHeight="1" spans="1:10" x14ac:dyDescent="0.25">
      <c r="A38" s="6" t="s">
        <v>1725</v>
      </c>
      <c r="B38" s="6" t="s">
        <v>253</v>
      </c>
      <c r="C38" s="6" t="s">
        <v>61</v>
      </c>
      <c r="D38" s="6" t="s">
        <v>1726</v>
      </c>
      <c r="E38" s="6" t="s">
        <v>1727</v>
      </c>
      <c r="F38" s="6" t="s">
        <v>1670</v>
      </c>
      <c r="G38" s="6" t="s">
        <v>1617</v>
      </c>
      <c r="H38" s="6" t="s">
        <v>1625</v>
      </c>
      <c r="I38" s="6" t="s">
        <v>1619</v>
      </c>
      <c r="J38" s="7">
        <v>3.7</v>
      </c>
    </row>
    <row r="39" ht="15" customHeight="1" spans="1:10" x14ac:dyDescent="0.25">
      <c r="A39" s="6" t="s">
        <v>1728</v>
      </c>
      <c r="B39" s="6" t="s">
        <v>828</v>
      </c>
      <c r="C39" s="6" t="s">
        <v>61</v>
      </c>
      <c r="D39" s="6" t="s">
        <v>1729</v>
      </c>
      <c r="E39" s="6" t="s">
        <v>1730</v>
      </c>
      <c r="F39" s="6" t="s">
        <v>1660</v>
      </c>
      <c r="G39" s="6" t="s">
        <v>1624</v>
      </c>
      <c r="H39" s="6" t="s">
        <v>1647</v>
      </c>
      <c r="I39" s="6" t="s">
        <v>1619</v>
      </c>
      <c r="J39" s="7">
        <v>0.8</v>
      </c>
    </row>
    <row r="40" ht="15" customHeight="1" spans="1:10" x14ac:dyDescent="0.25">
      <c r="A40" s="6" t="s">
        <v>1731</v>
      </c>
      <c r="B40" s="6" t="s">
        <v>843</v>
      </c>
      <c r="C40" s="6" t="s">
        <v>61</v>
      </c>
      <c r="D40" s="6" t="s">
        <v>1732</v>
      </c>
      <c r="E40" s="6" t="s">
        <v>1733</v>
      </c>
      <c r="F40" s="6" t="s">
        <v>1629</v>
      </c>
      <c r="G40" s="6" t="s">
        <v>1632</v>
      </c>
      <c r="H40" s="6" t="s">
        <v>1647</v>
      </c>
      <c r="I40" s="6" t="s">
        <v>1619</v>
      </c>
      <c r="J40" s="7">
        <v>3.3</v>
      </c>
    </row>
    <row r="41" ht="15" customHeight="1" spans="1:10" x14ac:dyDescent="0.25">
      <c r="A41" s="6" t="s">
        <v>1734</v>
      </c>
      <c r="B41" s="6" t="s">
        <v>265</v>
      </c>
      <c r="C41" s="6" t="s">
        <v>61</v>
      </c>
      <c r="D41" s="6" t="s">
        <v>1735</v>
      </c>
      <c r="E41" s="6" t="s">
        <v>1736</v>
      </c>
      <c r="F41" s="6" t="s">
        <v>1623</v>
      </c>
      <c r="G41" s="6" t="s">
        <v>1632</v>
      </c>
      <c r="H41" s="6" t="s">
        <v>1640</v>
      </c>
      <c r="I41" s="6" t="s">
        <v>1619</v>
      </c>
      <c r="J41" s="7">
        <v>2.5</v>
      </c>
    </row>
    <row r="42" ht="15" customHeight="1" spans="1:10" x14ac:dyDescent="0.25">
      <c r="A42" s="6" t="s">
        <v>1737</v>
      </c>
      <c r="B42" s="6" t="s">
        <v>986</v>
      </c>
      <c r="C42" s="6" t="s">
        <v>61</v>
      </c>
      <c r="D42" s="6" t="s">
        <v>1738</v>
      </c>
      <c r="E42" s="6" t="s">
        <v>1739</v>
      </c>
      <c r="F42" s="6" t="s">
        <v>1670</v>
      </c>
      <c r="G42" s="6" t="s">
        <v>1632</v>
      </c>
      <c r="H42" s="6" t="s">
        <v>1647</v>
      </c>
      <c r="I42" s="6" t="s">
        <v>1619</v>
      </c>
      <c r="J42" s="7">
        <v>1.8</v>
      </c>
    </row>
    <row r="43" ht="15" customHeight="1" spans="1:10" x14ac:dyDescent="0.25">
      <c r="A43" s="6" t="s">
        <v>1740</v>
      </c>
      <c r="B43" s="6" t="s">
        <v>846</v>
      </c>
      <c r="C43" s="6" t="s">
        <v>61</v>
      </c>
      <c r="D43" s="6" t="s">
        <v>1738</v>
      </c>
      <c r="E43" s="6" t="s">
        <v>1739</v>
      </c>
      <c r="F43" s="6" t="s">
        <v>1629</v>
      </c>
      <c r="G43" s="6" t="s">
        <v>1617</v>
      </c>
      <c r="H43" s="6" t="s">
        <v>1640</v>
      </c>
      <c r="I43" s="6" t="s">
        <v>1619</v>
      </c>
      <c r="J43" s="7">
        <v>3.5</v>
      </c>
    </row>
    <row r="44" ht="15" customHeight="1" spans="1:10" x14ac:dyDescent="0.25">
      <c r="A44" s="6" t="s">
        <v>1741</v>
      </c>
      <c r="B44" s="6" t="s">
        <v>366</v>
      </c>
      <c r="C44" s="6" t="s">
        <v>61</v>
      </c>
      <c r="D44" s="6" t="s">
        <v>1738</v>
      </c>
      <c r="E44" s="6" t="s">
        <v>1739</v>
      </c>
      <c r="F44" s="6" t="s">
        <v>1629</v>
      </c>
      <c r="G44" s="6" t="s">
        <v>1624</v>
      </c>
      <c r="H44" s="6" t="s">
        <v>1625</v>
      </c>
      <c r="I44" s="6" t="s">
        <v>1619</v>
      </c>
      <c r="J44" s="7">
        <v>3.1</v>
      </c>
    </row>
    <row r="45" ht="15" customHeight="1" spans="1:10" x14ac:dyDescent="0.25">
      <c r="A45" s="6" t="s">
        <v>1742</v>
      </c>
      <c r="B45" s="6" t="s">
        <v>841</v>
      </c>
      <c r="C45" s="6" t="s">
        <v>61</v>
      </c>
      <c r="D45" s="6" t="s">
        <v>1743</v>
      </c>
      <c r="E45" s="6" t="s">
        <v>1744</v>
      </c>
      <c r="F45" s="6" t="s">
        <v>1616</v>
      </c>
      <c r="G45" s="6" t="s">
        <v>1632</v>
      </c>
      <c r="H45" s="6" t="s">
        <v>1625</v>
      </c>
      <c r="I45" s="6" t="s">
        <v>1619</v>
      </c>
      <c r="J45" s="7">
        <v>0.9</v>
      </c>
    </row>
    <row r="46" ht="15" customHeight="1" spans="1:10" x14ac:dyDescent="0.25">
      <c r="A46" s="6" t="s">
        <v>1745</v>
      </c>
      <c r="B46" s="6" t="s">
        <v>976</v>
      </c>
      <c r="C46" s="6" t="s">
        <v>61</v>
      </c>
      <c r="D46" s="6" t="s">
        <v>1743</v>
      </c>
      <c r="E46" s="6" t="s">
        <v>1744</v>
      </c>
      <c r="F46" s="6" t="s">
        <v>1660</v>
      </c>
      <c r="G46" s="6" t="s">
        <v>1632</v>
      </c>
      <c r="H46" s="6" t="s">
        <v>1625</v>
      </c>
      <c r="I46" s="6" t="s">
        <v>1619</v>
      </c>
      <c r="J46" s="7">
        <v>3.6</v>
      </c>
    </row>
    <row r="47" ht="15" customHeight="1" spans="1:10" x14ac:dyDescent="0.25">
      <c r="A47" s="6" t="s">
        <v>1746</v>
      </c>
      <c r="B47" s="6" t="s">
        <v>939</v>
      </c>
      <c r="C47" s="6" t="s">
        <v>61</v>
      </c>
      <c r="D47" s="6" t="s">
        <v>1743</v>
      </c>
      <c r="E47" s="6" t="s">
        <v>1744</v>
      </c>
      <c r="F47" s="6" t="s">
        <v>1616</v>
      </c>
      <c r="G47" s="6" t="s">
        <v>1632</v>
      </c>
      <c r="H47" s="6" t="s">
        <v>1618</v>
      </c>
      <c r="I47" s="6" t="s">
        <v>1619</v>
      </c>
      <c r="J47" s="7">
        <v>2.6</v>
      </c>
    </row>
    <row r="48" ht="15" customHeight="1" spans="1:10" x14ac:dyDescent="0.25">
      <c r="A48" s="6" t="s">
        <v>1747</v>
      </c>
      <c r="B48" s="6" t="s">
        <v>981</v>
      </c>
      <c r="C48" s="6" t="s">
        <v>61</v>
      </c>
      <c r="D48" s="6" t="s">
        <v>1748</v>
      </c>
      <c r="E48" s="6" t="s">
        <v>1749</v>
      </c>
      <c r="F48" s="6" t="s">
        <v>1623</v>
      </c>
      <c r="G48" s="6" t="s">
        <v>1624</v>
      </c>
      <c r="H48" s="6" t="s">
        <v>1625</v>
      </c>
      <c r="I48" s="6" t="s">
        <v>1619</v>
      </c>
      <c r="J48" s="7">
        <v>0.4</v>
      </c>
    </row>
    <row r="49" ht="15" customHeight="1" spans="1:10" x14ac:dyDescent="0.25">
      <c r="A49" s="6" t="s">
        <v>1750</v>
      </c>
      <c r="B49" s="6" t="s">
        <v>365</v>
      </c>
      <c r="C49" s="6" t="s">
        <v>61</v>
      </c>
      <c r="D49" s="6" t="s">
        <v>1751</v>
      </c>
      <c r="E49" s="6" t="s">
        <v>1752</v>
      </c>
      <c r="F49" s="6" t="s">
        <v>1616</v>
      </c>
      <c r="G49" s="6" t="s">
        <v>1617</v>
      </c>
      <c r="H49" s="6" t="s">
        <v>1640</v>
      </c>
      <c r="I49" s="6" t="s">
        <v>1619</v>
      </c>
      <c r="J49" s="7">
        <v>3.3</v>
      </c>
    </row>
    <row r="50" ht="15" customHeight="1" spans="1:10" x14ac:dyDescent="0.25">
      <c r="A50" s="6" t="s">
        <v>1753</v>
      </c>
      <c r="B50" s="6" t="s">
        <v>253</v>
      </c>
      <c r="C50" s="6" t="s">
        <v>61</v>
      </c>
      <c r="D50" s="6" t="s">
        <v>1754</v>
      </c>
      <c r="E50" s="6" t="s">
        <v>1755</v>
      </c>
      <c r="F50" s="6" t="s">
        <v>1631</v>
      </c>
      <c r="G50" s="6" t="s">
        <v>1617</v>
      </c>
      <c r="H50" s="6" t="s">
        <v>1625</v>
      </c>
      <c r="I50" s="6" t="s">
        <v>1619</v>
      </c>
      <c r="J50" s="7">
        <v>2.9</v>
      </c>
    </row>
    <row r="51" ht="15" customHeight="1" spans="1:10" x14ac:dyDescent="0.25">
      <c r="A51" s="6" t="s">
        <v>1756</v>
      </c>
      <c r="B51" s="6" t="s">
        <v>450</v>
      </c>
      <c r="C51" s="6" t="s">
        <v>61</v>
      </c>
      <c r="D51" s="6" t="s">
        <v>1757</v>
      </c>
      <c r="E51" s="6" t="s">
        <v>1758</v>
      </c>
      <c r="F51" s="6" t="s">
        <v>1623</v>
      </c>
      <c r="G51" s="6" t="s">
        <v>1624</v>
      </c>
      <c r="H51" s="6" t="s">
        <v>1618</v>
      </c>
      <c r="I51" s="6" t="s">
        <v>1619</v>
      </c>
      <c r="J51" s="7">
        <v>0.6</v>
      </c>
    </row>
    <row r="52" ht="15" customHeight="1" spans="1:10" x14ac:dyDescent="0.25">
      <c r="A52" s="6" t="s">
        <v>1759</v>
      </c>
      <c r="B52" s="6" t="s">
        <v>266</v>
      </c>
      <c r="C52" s="6" t="s">
        <v>61</v>
      </c>
      <c r="D52" s="6" t="s">
        <v>1757</v>
      </c>
      <c r="E52" s="6" t="s">
        <v>1758</v>
      </c>
      <c r="F52" s="6" t="s">
        <v>1629</v>
      </c>
      <c r="G52" s="6" t="s">
        <v>1617</v>
      </c>
      <c r="H52" s="6" t="s">
        <v>1625</v>
      </c>
      <c r="I52" s="6" t="s">
        <v>1619</v>
      </c>
      <c r="J52" s="7">
        <v>0.7</v>
      </c>
    </row>
    <row r="53" ht="15" customHeight="1" spans="1:10" x14ac:dyDescent="0.25">
      <c r="A53" s="6" t="s">
        <v>1760</v>
      </c>
      <c r="B53" s="6" t="s">
        <v>830</v>
      </c>
      <c r="C53" s="6" t="s">
        <v>61</v>
      </c>
      <c r="D53" s="6" t="s">
        <v>1761</v>
      </c>
      <c r="E53" s="6" t="s">
        <v>1762</v>
      </c>
      <c r="F53" s="6" t="s">
        <v>1634</v>
      </c>
      <c r="G53" s="6" t="s">
        <v>1617</v>
      </c>
      <c r="H53" s="6" t="s">
        <v>1647</v>
      </c>
      <c r="I53" s="6" t="s">
        <v>1619</v>
      </c>
      <c r="J53" s="7">
        <v>1.2</v>
      </c>
    </row>
    <row r="54" ht="15" customHeight="1" spans="1:10" x14ac:dyDescent="0.25">
      <c r="A54" s="6" t="s">
        <v>1763</v>
      </c>
      <c r="B54" s="6" t="s">
        <v>815</v>
      </c>
      <c r="C54" s="6" t="s">
        <v>61</v>
      </c>
      <c r="D54" s="6" t="s">
        <v>1764</v>
      </c>
      <c r="E54" s="6" t="s">
        <v>1765</v>
      </c>
      <c r="F54" s="6" t="s">
        <v>1634</v>
      </c>
      <c r="G54" s="6" t="s">
        <v>1617</v>
      </c>
      <c r="H54" s="6" t="s">
        <v>1647</v>
      </c>
      <c r="I54" s="6" t="s">
        <v>1619</v>
      </c>
      <c r="J54" s="7">
        <v>3.4</v>
      </c>
    </row>
    <row r="55" ht="15" customHeight="1" spans="1:10" x14ac:dyDescent="0.25">
      <c r="A55" s="6" t="s">
        <v>1766</v>
      </c>
      <c r="B55" s="6" t="s">
        <v>254</v>
      </c>
      <c r="C55" s="6" t="s">
        <v>61</v>
      </c>
      <c r="D55" s="6" t="s">
        <v>1764</v>
      </c>
      <c r="E55" s="6" t="s">
        <v>1765</v>
      </c>
      <c r="F55" s="6" t="s">
        <v>1660</v>
      </c>
      <c r="G55" s="6" t="s">
        <v>1632</v>
      </c>
      <c r="H55" s="6" t="s">
        <v>1647</v>
      </c>
      <c r="I55" s="6" t="s">
        <v>1619</v>
      </c>
      <c r="J55" s="7">
        <v>2.1</v>
      </c>
    </row>
    <row r="56" ht="15" customHeight="1" spans="1:10" x14ac:dyDescent="0.25">
      <c r="A56" s="6" t="s">
        <v>1767</v>
      </c>
      <c r="B56" s="6" t="s">
        <v>463</v>
      </c>
      <c r="C56" s="6" t="s">
        <v>61</v>
      </c>
      <c r="D56" s="6" t="s">
        <v>1768</v>
      </c>
      <c r="E56" s="6" t="s">
        <v>1769</v>
      </c>
      <c r="F56" s="6" t="s">
        <v>1631</v>
      </c>
      <c r="G56" s="6" t="s">
        <v>1632</v>
      </c>
      <c r="H56" s="6" t="s">
        <v>1618</v>
      </c>
      <c r="I56" s="6" t="s">
        <v>1619</v>
      </c>
      <c r="J56" s="7">
        <v>1.9</v>
      </c>
    </row>
    <row r="57" ht="15" customHeight="1" spans="1:10" x14ac:dyDescent="0.25">
      <c r="A57" s="6" t="s">
        <v>1770</v>
      </c>
      <c r="B57" s="6" t="s">
        <v>879</v>
      </c>
      <c r="C57" s="6" t="s">
        <v>61</v>
      </c>
      <c r="D57" s="6" t="s">
        <v>1771</v>
      </c>
      <c r="E57" s="6" t="s">
        <v>1772</v>
      </c>
      <c r="F57" s="6" t="s">
        <v>1660</v>
      </c>
      <c r="G57" s="6" t="s">
        <v>1617</v>
      </c>
      <c r="H57" s="6" t="s">
        <v>1618</v>
      </c>
      <c r="I57" s="6" t="s">
        <v>1619</v>
      </c>
      <c r="J57" s="7">
        <v>3.6</v>
      </c>
    </row>
    <row r="58" ht="15" customHeight="1" spans="1:10" x14ac:dyDescent="0.25">
      <c r="A58" s="6" t="s">
        <v>1773</v>
      </c>
      <c r="B58" s="6" t="s">
        <v>354</v>
      </c>
      <c r="C58" s="6" t="s">
        <v>61</v>
      </c>
      <c r="D58" s="6" t="s">
        <v>1774</v>
      </c>
      <c r="E58" s="6" t="s">
        <v>1775</v>
      </c>
      <c r="F58" s="6" t="s">
        <v>1670</v>
      </c>
      <c r="G58" s="6" t="s">
        <v>1632</v>
      </c>
      <c r="H58" s="6" t="s">
        <v>1647</v>
      </c>
      <c r="I58" s="6" t="s">
        <v>1619</v>
      </c>
      <c r="J58" s="7">
        <v>2.8</v>
      </c>
    </row>
    <row r="59" ht="15" customHeight="1" spans="1:10" x14ac:dyDescent="0.25">
      <c r="A59" s="6" t="s">
        <v>1776</v>
      </c>
      <c r="B59" s="6" t="s">
        <v>462</v>
      </c>
      <c r="C59" s="6" t="s">
        <v>61</v>
      </c>
      <c r="D59" s="6" t="s">
        <v>1777</v>
      </c>
      <c r="E59" s="6" t="s">
        <v>1778</v>
      </c>
      <c r="F59" s="6" t="s">
        <v>1670</v>
      </c>
      <c r="G59" s="6" t="s">
        <v>1617</v>
      </c>
      <c r="H59" s="6" t="s">
        <v>1647</v>
      </c>
      <c r="I59" s="6" t="s">
        <v>1619</v>
      </c>
      <c r="J59" s="7">
        <v>2.6</v>
      </c>
    </row>
    <row r="60" ht="15" customHeight="1" spans="1:10" x14ac:dyDescent="0.25">
      <c r="A60" s="6" t="s">
        <v>1779</v>
      </c>
      <c r="B60" s="6" t="s">
        <v>912</v>
      </c>
      <c r="C60" s="6" t="s">
        <v>61</v>
      </c>
      <c r="D60" s="6" t="s">
        <v>1780</v>
      </c>
      <c r="E60" s="6" t="s">
        <v>1781</v>
      </c>
      <c r="F60" s="6" t="s">
        <v>1616</v>
      </c>
      <c r="G60" s="6" t="s">
        <v>1617</v>
      </c>
      <c r="H60" s="6" t="s">
        <v>1647</v>
      </c>
      <c r="I60" s="6" t="s">
        <v>1619</v>
      </c>
      <c r="J60" s="7">
        <v>2.5</v>
      </c>
    </row>
    <row r="61" ht="15" customHeight="1" spans="1:10" x14ac:dyDescent="0.25">
      <c r="A61" s="6" t="s">
        <v>1782</v>
      </c>
      <c r="B61" s="6" t="s">
        <v>811</v>
      </c>
      <c r="C61" s="6" t="s">
        <v>61</v>
      </c>
      <c r="D61" s="6" t="s">
        <v>1783</v>
      </c>
      <c r="E61" s="6" t="s">
        <v>1784</v>
      </c>
      <c r="F61" s="6" t="s">
        <v>1631</v>
      </c>
      <c r="G61" s="6" t="s">
        <v>1632</v>
      </c>
      <c r="H61" s="6" t="s">
        <v>1618</v>
      </c>
      <c r="I61" s="6" t="s">
        <v>1619</v>
      </c>
      <c r="J61" s="7">
        <v>2</v>
      </c>
    </row>
    <row r="62" ht="15" customHeight="1" spans="1:10" x14ac:dyDescent="0.25">
      <c r="A62" s="6" t="s">
        <v>1785</v>
      </c>
      <c r="B62" s="6" t="s">
        <v>909</v>
      </c>
      <c r="C62" s="6" t="s">
        <v>61</v>
      </c>
      <c r="D62" s="6" t="s">
        <v>1786</v>
      </c>
      <c r="E62" s="6" t="s">
        <v>1787</v>
      </c>
      <c r="F62" s="6" t="s">
        <v>1616</v>
      </c>
      <c r="G62" s="6" t="s">
        <v>1624</v>
      </c>
      <c r="H62" s="6" t="s">
        <v>1647</v>
      </c>
      <c r="I62" s="6" t="s">
        <v>1619</v>
      </c>
      <c r="J62" s="7">
        <v>3.6</v>
      </c>
    </row>
    <row r="63" ht="15" customHeight="1" spans="1:10" x14ac:dyDescent="0.25">
      <c r="A63" s="6" t="s">
        <v>1788</v>
      </c>
      <c r="B63" s="6" t="s">
        <v>825</v>
      </c>
      <c r="C63" s="6" t="s">
        <v>61</v>
      </c>
      <c r="D63" s="6" t="s">
        <v>1789</v>
      </c>
      <c r="E63" s="6" t="s">
        <v>1790</v>
      </c>
      <c r="F63" s="6" t="s">
        <v>1616</v>
      </c>
      <c r="G63" s="6" t="s">
        <v>1632</v>
      </c>
      <c r="H63" s="6" t="s">
        <v>1618</v>
      </c>
      <c r="I63" s="6" t="s">
        <v>1619</v>
      </c>
      <c r="J63" s="7">
        <v>3.2</v>
      </c>
    </row>
    <row r="64" ht="15" customHeight="1" spans="1:10" x14ac:dyDescent="0.25">
      <c r="A64" s="6" t="s">
        <v>1791</v>
      </c>
      <c r="B64" s="6" t="s">
        <v>974</v>
      </c>
      <c r="C64" s="6" t="s">
        <v>61</v>
      </c>
      <c r="D64" s="6" t="s">
        <v>1792</v>
      </c>
      <c r="E64" s="6" t="s">
        <v>1793</v>
      </c>
      <c r="F64" s="6" t="s">
        <v>1629</v>
      </c>
      <c r="G64" s="6" t="s">
        <v>1624</v>
      </c>
      <c r="H64" s="6" t="s">
        <v>1618</v>
      </c>
      <c r="I64" s="6" t="s">
        <v>1619</v>
      </c>
      <c r="J64" s="7">
        <v>3.1</v>
      </c>
    </row>
    <row r="65" ht="15" customHeight="1" spans="1:10" x14ac:dyDescent="0.25">
      <c r="A65" s="6" t="s">
        <v>1794</v>
      </c>
      <c r="B65" s="6" t="s">
        <v>838</v>
      </c>
      <c r="C65" s="6" t="s">
        <v>61</v>
      </c>
      <c r="D65" s="6" t="s">
        <v>1795</v>
      </c>
      <c r="E65" s="6" t="s">
        <v>1796</v>
      </c>
      <c r="F65" s="6" t="s">
        <v>1623</v>
      </c>
      <c r="G65" s="6" t="s">
        <v>1632</v>
      </c>
      <c r="H65" s="6" t="s">
        <v>1625</v>
      </c>
      <c r="I65" s="6" t="s">
        <v>1619</v>
      </c>
      <c r="J65" s="7">
        <v>2.7</v>
      </c>
    </row>
    <row r="66" ht="15" customHeight="1" spans="1:10" x14ac:dyDescent="0.25">
      <c r="A66" s="6" t="s">
        <v>1797</v>
      </c>
      <c r="B66" s="6" t="s">
        <v>882</v>
      </c>
      <c r="C66" s="6" t="s">
        <v>61</v>
      </c>
      <c r="D66" s="6" t="s">
        <v>1798</v>
      </c>
      <c r="E66" s="6" t="s">
        <v>1799</v>
      </c>
      <c r="F66" s="6" t="s">
        <v>1634</v>
      </c>
      <c r="G66" s="6" t="s">
        <v>1632</v>
      </c>
      <c r="H66" s="6" t="s">
        <v>1618</v>
      </c>
      <c r="I66" s="6" t="s">
        <v>1619</v>
      </c>
      <c r="J66" s="7">
        <v>2.9</v>
      </c>
    </row>
    <row r="67" ht="15" customHeight="1" spans="1:10" x14ac:dyDescent="0.25">
      <c r="A67" s="6" t="s">
        <v>1800</v>
      </c>
      <c r="B67" s="6" t="s">
        <v>850</v>
      </c>
      <c r="C67" s="6" t="s">
        <v>61</v>
      </c>
      <c r="D67" s="6" t="s">
        <v>1801</v>
      </c>
      <c r="E67" s="6" t="s">
        <v>1802</v>
      </c>
      <c r="F67" s="6" t="s">
        <v>1660</v>
      </c>
      <c r="G67" s="6" t="s">
        <v>1617</v>
      </c>
      <c r="H67" s="6" t="s">
        <v>1625</v>
      </c>
      <c r="I67" s="6" t="s">
        <v>1619</v>
      </c>
      <c r="J67" s="7">
        <v>1.2</v>
      </c>
    </row>
    <row r="68" ht="15" customHeight="1" spans="1:10" x14ac:dyDescent="0.25">
      <c r="A68" s="6" t="s">
        <v>1803</v>
      </c>
      <c r="B68" s="6" t="s">
        <v>833</v>
      </c>
      <c r="C68" s="6" t="s">
        <v>61</v>
      </c>
      <c r="D68" s="6" t="s">
        <v>1804</v>
      </c>
      <c r="E68" s="6" t="s">
        <v>1805</v>
      </c>
      <c r="F68" s="6" t="s">
        <v>1623</v>
      </c>
      <c r="G68" s="6" t="s">
        <v>1632</v>
      </c>
      <c r="H68" s="6" t="s">
        <v>1618</v>
      </c>
      <c r="I68" s="6" t="s">
        <v>1619</v>
      </c>
      <c r="J68" s="7">
        <v>1.2</v>
      </c>
    </row>
    <row r="69" ht="15" customHeight="1" spans="1:10" x14ac:dyDescent="0.25">
      <c r="A69" s="6" t="s">
        <v>1806</v>
      </c>
      <c r="B69" s="6" t="s">
        <v>979</v>
      </c>
      <c r="C69" s="6" t="s">
        <v>61</v>
      </c>
      <c r="D69" s="6" t="s">
        <v>1807</v>
      </c>
      <c r="E69" s="6" t="s">
        <v>1614</v>
      </c>
      <c r="F69" s="6" t="s">
        <v>1616</v>
      </c>
      <c r="G69" s="6" t="s">
        <v>1624</v>
      </c>
      <c r="H69" s="6" t="s">
        <v>1618</v>
      </c>
      <c r="I69" s="6" t="s">
        <v>1619</v>
      </c>
      <c r="J69" s="7">
        <v>2.4</v>
      </c>
    </row>
    <row r="70" ht="15" customHeight="1" spans="1:10" x14ac:dyDescent="0.25">
      <c r="A70" s="6" t="s">
        <v>1808</v>
      </c>
      <c r="B70" s="6" t="s">
        <v>821</v>
      </c>
      <c r="C70" s="6" t="s">
        <v>61</v>
      </c>
      <c r="D70" s="6" t="s">
        <v>1809</v>
      </c>
      <c r="E70" s="6" t="s">
        <v>1627</v>
      </c>
      <c r="F70" s="6" t="s">
        <v>1660</v>
      </c>
      <c r="G70" s="6" t="s">
        <v>1632</v>
      </c>
      <c r="H70" s="6" t="s">
        <v>1640</v>
      </c>
      <c r="I70" s="6" t="s">
        <v>1619</v>
      </c>
      <c r="J70" s="7">
        <v>1.4</v>
      </c>
    </row>
    <row r="71" ht="15" customHeight="1" spans="1:10" x14ac:dyDescent="0.25">
      <c r="A71" s="6" t="s">
        <v>1810</v>
      </c>
      <c r="B71" s="6" t="s">
        <v>836</v>
      </c>
      <c r="C71" s="6" t="s">
        <v>61</v>
      </c>
      <c r="D71" s="6" t="s">
        <v>1811</v>
      </c>
      <c r="E71" s="6" t="s">
        <v>1812</v>
      </c>
      <c r="F71" s="6" t="s">
        <v>1623</v>
      </c>
      <c r="G71" s="6" t="s">
        <v>1632</v>
      </c>
      <c r="H71" s="6" t="s">
        <v>1647</v>
      </c>
      <c r="I71" s="6" t="s">
        <v>1619</v>
      </c>
      <c r="J71" s="7">
        <v>1</v>
      </c>
    </row>
    <row r="72" ht="15" customHeight="1" spans="1:10" x14ac:dyDescent="0.25">
      <c r="A72" s="6" t="s">
        <v>1813</v>
      </c>
      <c r="B72" s="6" t="s">
        <v>828</v>
      </c>
      <c r="C72" s="6" t="s">
        <v>61</v>
      </c>
      <c r="D72" s="6" t="s">
        <v>1814</v>
      </c>
      <c r="E72" s="6" t="s">
        <v>1815</v>
      </c>
      <c r="F72" s="6" t="s">
        <v>1616</v>
      </c>
      <c r="G72" s="6" t="s">
        <v>1617</v>
      </c>
      <c r="H72" s="6" t="s">
        <v>1618</v>
      </c>
      <c r="I72" s="6" t="s">
        <v>1619</v>
      </c>
      <c r="J72" s="7">
        <v>1</v>
      </c>
    </row>
    <row r="73" ht="15" customHeight="1" spans="1:10" x14ac:dyDescent="0.25">
      <c r="A73" s="6" t="s">
        <v>1816</v>
      </c>
      <c r="B73" s="6" t="s">
        <v>969</v>
      </c>
      <c r="C73" s="6" t="s">
        <v>61</v>
      </c>
      <c r="D73" s="6" t="s">
        <v>1814</v>
      </c>
      <c r="E73" s="6" t="s">
        <v>1815</v>
      </c>
      <c r="F73" s="6" t="s">
        <v>1634</v>
      </c>
      <c r="G73" s="6" t="s">
        <v>1624</v>
      </c>
      <c r="H73" s="6" t="s">
        <v>1640</v>
      </c>
      <c r="I73" s="6" t="s">
        <v>1619</v>
      </c>
      <c r="J73" s="7">
        <v>0.6</v>
      </c>
    </row>
    <row r="74" ht="15" customHeight="1" spans="1:10" x14ac:dyDescent="0.25">
      <c r="A74" s="6" t="s">
        <v>1817</v>
      </c>
      <c r="B74" s="6" t="s">
        <v>451</v>
      </c>
      <c r="C74" s="6" t="s">
        <v>61</v>
      </c>
      <c r="D74" s="6" t="s">
        <v>1814</v>
      </c>
      <c r="E74" s="6" t="s">
        <v>1815</v>
      </c>
      <c r="F74" s="6" t="s">
        <v>1634</v>
      </c>
      <c r="G74" s="6" t="s">
        <v>1624</v>
      </c>
      <c r="H74" s="6" t="s">
        <v>1618</v>
      </c>
      <c r="I74" s="6" t="s">
        <v>1619</v>
      </c>
      <c r="J74" s="7">
        <v>3</v>
      </c>
    </row>
    <row r="75" ht="15" customHeight="1" spans="1:10" x14ac:dyDescent="0.25">
      <c r="A75" s="6" t="s">
        <v>1818</v>
      </c>
      <c r="B75" s="6" t="s">
        <v>817</v>
      </c>
      <c r="C75" s="6" t="s">
        <v>61</v>
      </c>
      <c r="D75" s="6" t="s">
        <v>1819</v>
      </c>
      <c r="E75" s="6" t="s">
        <v>1820</v>
      </c>
      <c r="F75" s="6" t="s">
        <v>1623</v>
      </c>
      <c r="G75" s="6" t="s">
        <v>1624</v>
      </c>
      <c r="H75" s="6" t="s">
        <v>1647</v>
      </c>
      <c r="I75" s="6" t="s">
        <v>1619</v>
      </c>
      <c r="J75" s="7">
        <v>2.8</v>
      </c>
    </row>
    <row r="76" ht="15" customHeight="1" spans="1:10" x14ac:dyDescent="0.25">
      <c r="A76" s="6" t="s">
        <v>1821</v>
      </c>
      <c r="B76" s="6" t="s">
        <v>942</v>
      </c>
      <c r="C76" s="6" t="s">
        <v>61</v>
      </c>
      <c r="D76" s="6" t="s">
        <v>1819</v>
      </c>
      <c r="E76" s="6" t="s">
        <v>1820</v>
      </c>
      <c r="F76" s="6" t="s">
        <v>1629</v>
      </c>
      <c r="G76" s="6" t="s">
        <v>1617</v>
      </c>
      <c r="H76" s="6" t="s">
        <v>1647</v>
      </c>
      <c r="I76" s="6" t="s">
        <v>1619</v>
      </c>
      <c r="J76" s="7">
        <v>1.9</v>
      </c>
    </row>
    <row r="77" ht="15" customHeight="1" spans="1:10" x14ac:dyDescent="0.25">
      <c r="A77" s="6" t="s">
        <v>1822</v>
      </c>
      <c r="B77" s="6" t="s">
        <v>353</v>
      </c>
      <c r="C77" s="6" t="s">
        <v>61</v>
      </c>
      <c r="D77" s="6" t="s">
        <v>1823</v>
      </c>
      <c r="E77" s="6" t="s">
        <v>1662</v>
      </c>
      <c r="F77" s="6" t="s">
        <v>1660</v>
      </c>
      <c r="G77" s="6" t="s">
        <v>1632</v>
      </c>
      <c r="H77" s="6" t="s">
        <v>1625</v>
      </c>
      <c r="I77" s="6" t="s">
        <v>1619</v>
      </c>
      <c r="J77" s="7">
        <v>0.5</v>
      </c>
    </row>
    <row r="79" ht="15" customHeight="1" spans="1:1" x14ac:dyDescent="0.25">
      <c r="A79" s="9" t="s">
        <v>1824</v>
      </c>
    </row>
    <row r="80" ht="15" customHeight="1" spans="1:1" x14ac:dyDescent="0.25">
      <c r="A80" s="9" t="s">
        <v>1825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1826</v>
      </c>
      <c r="B1" s="5" t="s">
        <v>42</v>
      </c>
      <c r="C1" s="5" t="s">
        <v>788</v>
      </c>
      <c r="D1" s="5" t="s">
        <v>1367</v>
      </c>
      <c r="E1" s="5" t="s">
        <v>1827</v>
      </c>
      <c r="F1" s="5" t="s">
        <v>1828</v>
      </c>
      <c r="G1" s="5" t="s">
        <v>1829</v>
      </c>
      <c r="H1" s="5" t="s">
        <v>50</v>
      </c>
      <c r="I1" s="5" t="s">
        <v>1830</v>
      </c>
      <c r="J1" s="5" t="s">
        <v>107</v>
      </c>
    </row>
    <row r="2" ht="15" customHeight="1" spans="1:10" x14ac:dyDescent="0.25">
      <c r="A2" s="6" t="s">
        <v>1831</v>
      </c>
      <c r="B2" s="6" t="s">
        <v>61</v>
      </c>
      <c r="C2" s="6" t="s">
        <v>451</v>
      </c>
      <c r="D2" s="6" t="s">
        <v>1388</v>
      </c>
      <c r="E2" s="6" t="s">
        <v>1832</v>
      </c>
      <c r="F2" s="6" t="s">
        <v>1833</v>
      </c>
      <c r="G2" s="6" t="s">
        <v>1834</v>
      </c>
      <c r="H2" s="6" t="s">
        <v>1835</v>
      </c>
      <c r="I2" s="6" t="s">
        <v>8</v>
      </c>
      <c r="J2" s="6" t="s">
        <v>1836</v>
      </c>
    </row>
    <row r="3" ht="15" customHeight="1" spans="1:10" x14ac:dyDescent="0.25">
      <c r="A3" s="6" t="s">
        <v>1837</v>
      </c>
      <c r="B3" s="6" t="s">
        <v>61</v>
      </c>
      <c r="C3" s="6" t="s">
        <v>830</v>
      </c>
      <c r="D3" s="6" t="s">
        <v>1404</v>
      </c>
      <c r="E3" s="6" t="s">
        <v>1838</v>
      </c>
      <c r="F3" s="6" t="s">
        <v>1839</v>
      </c>
      <c r="G3" s="6" t="s">
        <v>1840</v>
      </c>
      <c r="H3" s="6" t="s">
        <v>1841</v>
      </c>
      <c r="I3" s="6" t="s">
        <v>1842</v>
      </c>
      <c r="J3" s="6" t="s">
        <v>1843</v>
      </c>
    </row>
    <row r="4" ht="15" customHeight="1" spans="1:10" x14ac:dyDescent="0.25">
      <c r="A4" s="6" t="s">
        <v>1844</v>
      </c>
      <c r="B4" s="6" t="s">
        <v>61</v>
      </c>
      <c r="C4" s="6" t="s">
        <v>882</v>
      </c>
      <c r="D4" s="6" t="s">
        <v>1845</v>
      </c>
      <c r="E4" s="6" t="s">
        <v>1838</v>
      </c>
      <c r="F4" s="6" t="s">
        <v>1846</v>
      </c>
      <c r="G4" s="6" t="s">
        <v>1847</v>
      </c>
      <c r="H4" s="6" t="s">
        <v>1835</v>
      </c>
      <c r="I4" s="6" t="s">
        <v>1842</v>
      </c>
      <c r="J4" s="6"/>
    </row>
    <row r="5" ht="15" customHeight="1" spans="1:10" x14ac:dyDescent="0.25">
      <c r="A5" s="6" t="s">
        <v>1848</v>
      </c>
      <c r="B5" s="6" t="s">
        <v>69</v>
      </c>
      <c r="C5" s="6" t="s">
        <v>976</v>
      </c>
      <c r="D5" s="6" t="s">
        <v>1388</v>
      </c>
      <c r="E5" s="6" t="s">
        <v>1832</v>
      </c>
      <c r="F5" s="6" t="s">
        <v>1849</v>
      </c>
      <c r="G5" s="6" t="s">
        <v>1850</v>
      </c>
      <c r="H5" s="6" t="s">
        <v>1835</v>
      </c>
      <c r="I5" s="6" t="s">
        <v>8</v>
      </c>
      <c r="J5" s="6" t="s">
        <v>1851</v>
      </c>
    </row>
    <row r="6" ht="15" customHeight="1" spans="1:10" x14ac:dyDescent="0.25">
      <c r="A6" s="6" t="s">
        <v>1852</v>
      </c>
      <c r="B6" s="6" t="s">
        <v>69</v>
      </c>
      <c r="C6" s="6" t="s">
        <v>228</v>
      </c>
      <c r="D6" s="6" t="s">
        <v>1404</v>
      </c>
      <c r="E6" s="6" t="s">
        <v>1838</v>
      </c>
      <c r="F6" s="6" t="s">
        <v>1853</v>
      </c>
      <c r="G6" s="6" t="s">
        <v>1854</v>
      </c>
      <c r="H6" s="6" t="s">
        <v>1835</v>
      </c>
      <c r="I6" s="6" t="s">
        <v>1842</v>
      </c>
      <c r="J6" s="6"/>
    </row>
    <row r="7" ht="15" customHeight="1" spans="1:10" x14ac:dyDescent="0.25">
      <c r="A7" s="6" t="s">
        <v>1855</v>
      </c>
      <c r="B7" s="6" t="s">
        <v>73</v>
      </c>
      <c r="C7" s="6" t="s">
        <v>969</v>
      </c>
      <c r="D7" s="6" t="s">
        <v>1388</v>
      </c>
      <c r="E7" s="6" t="s">
        <v>1856</v>
      </c>
      <c r="F7" s="6" t="s">
        <v>1857</v>
      </c>
      <c r="G7" s="6" t="s">
        <v>1858</v>
      </c>
      <c r="H7" s="6" t="s">
        <v>1841</v>
      </c>
      <c r="I7" s="6" t="s">
        <v>8</v>
      </c>
      <c r="J7" s="6" t="s">
        <v>1859</v>
      </c>
    </row>
    <row r="8" ht="15" customHeight="1" spans="1:10" x14ac:dyDescent="0.25">
      <c r="A8" s="6" t="s">
        <v>1860</v>
      </c>
      <c r="B8" s="6" t="s">
        <v>73</v>
      </c>
      <c r="C8" s="6" t="s">
        <v>981</v>
      </c>
      <c r="D8" s="6" t="s">
        <v>1404</v>
      </c>
      <c r="E8" s="6" t="s">
        <v>1832</v>
      </c>
      <c r="F8" s="6" t="s">
        <v>1861</v>
      </c>
      <c r="G8" s="6" t="s">
        <v>1862</v>
      </c>
      <c r="H8" s="6" t="s">
        <v>1835</v>
      </c>
      <c r="I8" s="6" t="s">
        <v>8</v>
      </c>
      <c r="J8" s="6"/>
    </row>
    <row r="9" ht="15" customHeight="1" spans="1:10" x14ac:dyDescent="0.25">
      <c r="A9" s="6" t="s">
        <v>1863</v>
      </c>
      <c r="B9" s="6" t="s">
        <v>85</v>
      </c>
      <c r="C9" s="6" t="s">
        <v>817</v>
      </c>
      <c r="D9" s="6" t="s">
        <v>1404</v>
      </c>
      <c r="E9" s="6" t="s">
        <v>1838</v>
      </c>
      <c r="F9" s="6" t="s">
        <v>1864</v>
      </c>
      <c r="G9" s="6" t="s">
        <v>1865</v>
      </c>
      <c r="H9" s="6" t="s">
        <v>1835</v>
      </c>
      <c r="I9" s="6" t="s">
        <v>8</v>
      </c>
      <c r="J9" s="6" t="s">
        <v>1866</v>
      </c>
    </row>
    <row r="10" ht="15" customHeight="1" spans="1:10" x14ac:dyDescent="0.25">
      <c r="A10" s="6" t="s">
        <v>1867</v>
      </c>
      <c r="B10" s="6" t="s">
        <v>85</v>
      </c>
      <c r="C10" s="6" t="s">
        <v>801</v>
      </c>
      <c r="D10" s="6" t="s">
        <v>1374</v>
      </c>
      <c r="E10" s="6" t="s">
        <v>1838</v>
      </c>
      <c r="F10" s="6" t="s">
        <v>1868</v>
      </c>
      <c r="G10" s="6" t="s">
        <v>1869</v>
      </c>
      <c r="H10" s="6" t="s">
        <v>1870</v>
      </c>
      <c r="I10" s="6" t="s">
        <v>1871</v>
      </c>
      <c r="J10" s="6" t="s">
        <v>1872</v>
      </c>
    </row>
    <row r="11" ht="15" customHeight="1" spans="1:10" x14ac:dyDescent="0.25">
      <c r="A11" s="6" t="s">
        <v>1873</v>
      </c>
      <c r="B11" s="6" t="s">
        <v>79</v>
      </c>
      <c r="C11" s="6" t="s">
        <v>655</v>
      </c>
      <c r="D11" s="6" t="s">
        <v>1845</v>
      </c>
      <c r="E11" s="6" t="s">
        <v>1832</v>
      </c>
      <c r="F11" s="6" t="s">
        <v>1874</v>
      </c>
      <c r="G11" s="6" t="s">
        <v>1875</v>
      </c>
      <c r="H11" s="6" t="s">
        <v>1835</v>
      </c>
      <c r="I11" s="6" t="s">
        <v>8</v>
      </c>
      <c r="J11" s="6"/>
    </row>
    <row r="12" ht="15" customHeight="1" spans="1:10" x14ac:dyDescent="0.25">
      <c r="A12" s="6" t="s">
        <v>1876</v>
      </c>
      <c r="B12" s="6" t="s">
        <v>61</v>
      </c>
      <c r="C12" s="6" t="s">
        <v>1075</v>
      </c>
      <c r="D12" s="6" t="s">
        <v>1404</v>
      </c>
      <c r="E12" s="6" t="s">
        <v>1877</v>
      </c>
      <c r="F12" s="6" t="s">
        <v>1878</v>
      </c>
      <c r="G12" s="6" t="s">
        <v>1879</v>
      </c>
      <c r="H12" s="6" t="s">
        <v>1835</v>
      </c>
      <c r="I12" s="6" t="s">
        <v>1880</v>
      </c>
      <c r="J12" s="6" t="s">
        <v>1881</v>
      </c>
    </row>
    <row r="13" ht="15" customHeight="1" spans="1:10" x14ac:dyDescent="0.25">
      <c r="A13" s="6" t="s">
        <v>1882</v>
      </c>
      <c r="B13" s="6" t="s">
        <v>73</v>
      </c>
      <c r="C13" s="6" t="s">
        <v>974</v>
      </c>
      <c r="D13" s="6" t="s">
        <v>1404</v>
      </c>
      <c r="E13" s="6" t="s">
        <v>1856</v>
      </c>
      <c r="F13" s="6" t="s">
        <v>1883</v>
      </c>
      <c r="G13" s="6" t="s">
        <v>1884</v>
      </c>
      <c r="H13" s="6" t="s">
        <v>1835</v>
      </c>
      <c r="I13" s="6" t="s">
        <v>1885</v>
      </c>
      <c r="J13" s="6" t="s">
        <v>1886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1268</v>
      </c>
      <c r="B1" s="5" t="s">
        <v>1887</v>
      </c>
      <c r="C1" s="5" t="s">
        <v>1888</v>
      </c>
      <c r="D1" s="5" t="s">
        <v>1889</v>
      </c>
      <c r="E1" s="5" t="s">
        <v>1890</v>
      </c>
      <c r="F1" s="5" t="s">
        <v>1891</v>
      </c>
      <c r="G1" s="5" t="s">
        <v>1892</v>
      </c>
      <c r="H1" s="5" t="s">
        <v>1893</v>
      </c>
      <c r="I1" s="5" t="s">
        <v>1894</v>
      </c>
    </row>
    <row r="2" ht="15" customHeight="1" spans="1:9" x14ac:dyDescent="0.25">
      <c r="A2" s="6" t="s">
        <v>1277</v>
      </c>
      <c r="B2" s="6" t="s">
        <v>1895</v>
      </c>
      <c r="C2" s="7">
        <v>1.34</v>
      </c>
      <c r="D2" s="7">
        <v>1.48</v>
      </c>
      <c r="E2" s="7">
        <v>1.61</v>
      </c>
      <c r="F2" s="7">
        <v>1.75</v>
      </c>
      <c r="G2" s="7">
        <v>1.92</v>
      </c>
      <c r="H2" s="6" t="s">
        <v>1896</v>
      </c>
      <c r="I2" s="6" t="s">
        <v>1897</v>
      </c>
    </row>
    <row r="3" ht="15" customHeight="1" spans="1:9" x14ac:dyDescent="0.25">
      <c r="A3" s="6" t="s">
        <v>1277</v>
      </c>
      <c r="B3" s="6" t="s">
        <v>1898</v>
      </c>
      <c r="C3" s="7">
        <v>1.28</v>
      </c>
      <c r="D3" s="7">
        <v>1.39</v>
      </c>
      <c r="E3" s="7">
        <v>1.52</v>
      </c>
      <c r="F3" s="7">
        <v>1.66</v>
      </c>
      <c r="G3" s="7">
        <v>1.81</v>
      </c>
      <c r="H3" s="6" t="s">
        <v>1896</v>
      </c>
      <c r="I3" s="6" t="s">
        <v>1897</v>
      </c>
    </row>
    <row r="4" ht="15" customHeight="1" spans="1:9" x14ac:dyDescent="0.25">
      <c r="A4" s="6" t="s">
        <v>1899</v>
      </c>
      <c r="B4" s="6" t="s">
        <v>1895</v>
      </c>
      <c r="C4" s="7">
        <v>0.62</v>
      </c>
      <c r="D4" s="7">
        <v>1.1</v>
      </c>
      <c r="E4" s="7">
        <v>1.74</v>
      </c>
      <c r="F4" s="7">
        <v>2.28</v>
      </c>
      <c r="G4" s="7">
        <v>2.9</v>
      </c>
      <c r="H4" s="6" t="s">
        <v>1896</v>
      </c>
      <c r="I4" s="6" t="s">
        <v>1897</v>
      </c>
    </row>
    <row r="5" ht="15" customHeight="1" spans="1:9" x14ac:dyDescent="0.25">
      <c r="A5" s="6" t="s">
        <v>1899</v>
      </c>
      <c r="B5" s="6" t="s">
        <v>1898</v>
      </c>
      <c r="C5" s="7">
        <v>0.38</v>
      </c>
      <c r="D5" s="7">
        <v>0.81</v>
      </c>
      <c r="E5" s="7">
        <v>1.35</v>
      </c>
      <c r="F5" s="7">
        <v>1.92</v>
      </c>
      <c r="G5" s="7">
        <v>2.44</v>
      </c>
      <c r="H5" s="6" t="s">
        <v>1896</v>
      </c>
      <c r="I5" s="6" t="s">
        <v>1897</v>
      </c>
    </row>
    <row r="6" ht="15" customHeight="1" spans="1:9" x14ac:dyDescent="0.25">
      <c r="A6" s="6" t="s">
        <v>1900</v>
      </c>
      <c r="B6" s="6" t="s">
        <v>1901</v>
      </c>
      <c r="C6" s="6">
        <v>8</v>
      </c>
      <c r="D6" s="6">
        <v>19</v>
      </c>
      <c r="E6" s="6">
        <v>34</v>
      </c>
      <c r="F6" s="6">
        <v>56</v>
      </c>
      <c r="G6" s="6">
        <v>78</v>
      </c>
      <c r="H6" s="6" t="s">
        <v>1902</v>
      </c>
      <c r="I6" s="6" t="s">
        <v>1897</v>
      </c>
    </row>
    <row r="7" ht="15" customHeight="1" spans="1:9" x14ac:dyDescent="0.25">
      <c r="A7" s="6" t="s">
        <v>1903</v>
      </c>
      <c r="B7" s="6" t="s">
        <v>1901</v>
      </c>
      <c r="C7" s="6">
        <v>48</v>
      </c>
      <c r="D7" s="6">
        <v>96</v>
      </c>
      <c r="E7" s="6">
        <v>164</v>
      </c>
      <c r="F7" s="6">
        <v>248</v>
      </c>
      <c r="G7" s="6">
        <v>372</v>
      </c>
      <c r="H7" s="6" t="s">
        <v>1896</v>
      </c>
      <c r="I7" s="6" t="s">
        <v>1897</v>
      </c>
    </row>
    <row r="8" ht="15" customHeight="1" spans="1:9" x14ac:dyDescent="0.25">
      <c r="A8" s="6" t="s">
        <v>1904</v>
      </c>
      <c r="B8" s="6" t="s">
        <v>1901</v>
      </c>
      <c r="C8" s="7">
        <v>4.2</v>
      </c>
      <c r="D8" s="7">
        <v>8.1</v>
      </c>
      <c r="E8" s="7">
        <v>14.6</v>
      </c>
      <c r="F8" s="7">
        <v>28</v>
      </c>
      <c r="G8" s="7">
        <v>54</v>
      </c>
      <c r="H8" s="6" t="s">
        <v>1905</v>
      </c>
      <c r="I8" s="6" t="s">
        <v>1897</v>
      </c>
    </row>
    <row r="9" ht="15" customHeight="1" spans="1:9" x14ac:dyDescent="0.25">
      <c r="A9" s="6" t="s">
        <v>1906</v>
      </c>
      <c r="B9" s="6" t="s">
        <v>1901</v>
      </c>
      <c r="C9" s="6">
        <v>41</v>
      </c>
      <c r="D9" s="6">
        <v>56</v>
      </c>
      <c r="E9" s="6">
        <v>68</v>
      </c>
      <c r="F9" s="6">
        <v>79</v>
      </c>
      <c r="G9" s="6">
        <v>91</v>
      </c>
      <c r="H9" s="6" t="s">
        <v>1902</v>
      </c>
      <c r="I9" s="6" t="s">
        <v>1897</v>
      </c>
    </row>
    <row r="10" ht="15" customHeight="1" spans="1:9" x14ac:dyDescent="0.25">
      <c r="A10" s="6" t="s">
        <v>1907</v>
      </c>
      <c r="B10" s="6" t="s">
        <v>1901</v>
      </c>
      <c r="C10" s="7">
        <v>2.1</v>
      </c>
      <c r="D10" s="7">
        <v>5.4</v>
      </c>
      <c r="E10" s="7">
        <v>9.8</v>
      </c>
      <c r="F10" s="7">
        <v>15.2</v>
      </c>
      <c r="G10" s="7">
        <v>22.6</v>
      </c>
      <c r="H10" s="6" t="s">
        <v>1896</v>
      </c>
      <c r="I10" s="6" t="s">
        <v>1897</v>
      </c>
    </row>
    <row r="12" ht="15" customHeight="1" spans="1:1" x14ac:dyDescent="0.25">
      <c r="A12" s="9" t="s">
        <v>1908</v>
      </c>
    </row>
    <row r="13" ht="15" customHeight="1" spans="1:1" x14ac:dyDescent="0.25">
      <c r="A13" s="9" t="s">
        <v>1909</v>
      </c>
    </row>
    <row r="14" ht="15" customHeight="1" spans="1:1" x14ac:dyDescent="0.25">
      <c r="A14" s="9" t="s">
        <v>1910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1473</v>
      </c>
      <c r="C1" s="5" t="s">
        <v>1911</v>
      </c>
      <c r="D1" s="5" t="s">
        <v>1912</v>
      </c>
      <c r="E1" s="5" t="s">
        <v>56</v>
      </c>
      <c r="F1" s="5" t="s">
        <v>57</v>
      </c>
      <c r="G1" s="5" t="s">
        <v>53</v>
      </c>
      <c r="H1" s="5" t="s">
        <v>1913</v>
      </c>
      <c r="I1" s="5" t="s">
        <v>1428</v>
      </c>
    </row>
    <row r="2" ht="15" customHeight="1" spans="1:9" x14ac:dyDescent="0.25">
      <c r="A2" s="6" t="s">
        <v>61</v>
      </c>
      <c r="B2" s="6" t="s">
        <v>1914</v>
      </c>
      <c r="C2" s="8">
        <v>5674</v>
      </c>
      <c r="D2" s="8">
        <v>8982</v>
      </c>
      <c r="E2" s="7">
        <v>1.583</v>
      </c>
      <c r="F2" s="7">
        <v>1.773</v>
      </c>
      <c r="G2" s="7">
        <v>56.7</v>
      </c>
      <c r="H2" s="7">
        <v>99.9821</v>
      </c>
      <c r="I2" s="6"/>
    </row>
    <row r="3" ht="15" customHeight="1" spans="1:9" x14ac:dyDescent="0.25">
      <c r="A3" s="6" t="s">
        <v>61</v>
      </c>
      <c r="B3" s="6" t="s">
        <v>1915</v>
      </c>
      <c r="C3" s="8">
        <v>5707</v>
      </c>
      <c r="D3" s="8">
        <v>8989</v>
      </c>
      <c r="E3" s="7">
        <v>1.575</v>
      </c>
      <c r="F3" s="7">
        <v>1.822</v>
      </c>
      <c r="G3" s="7">
        <v>57.1</v>
      </c>
      <c r="H3" s="7">
        <v>99.9748</v>
      </c>
      <c r="I3" s="6"/>
    </row>
    <row r="4" ht="15" customHeight="1" spans="1:9" x14ac:dyDescent="0.25">
      <c r="A4" s="6" t="s">
        <v>61</v>
      </c>
      <c r="B4" s="6" t="s">
        <v>1916</v>
      </c>
      <c r="C4" s="8">
        <v>5692</v>
      </c>
      <c r="D4" s="8">
        <v>9019</v>
      </c>
      <c r="E4" s="7">
        <v>1.585</v>
      </c>
      <c r="F4" s="7">
        <v>1.809</v>
      </c>
      <c r="G4" s="7">
        <v>56.9</v>
      </c>
      <c r="H4" s="7">
        <v>99.994</v>
      </c>
      <c r="I4" s="6"/>
    </row>
    <row r="5" ht="15" customHeight="1" spans="1:9" x14ac:dyDescent="0.25">
      <c r="A5" s="6" t="s">
        <v>61</v>
      </c>
      <c r="B5" s="6" t="s">
        <v>1917</v>
      </c>
      <c r="C5" s="8">
        <v>5799</v>
      </c>
      <c r="D5" s="8">
        <v>9217</v>
      </c>
      <c r="E5" s="7">
        <v>1.589</v>
      </c>
      <c r="F5" s="7">
        <v>1.837</v>
      </c>
      <c r="G5" s="7">
        <v>58</v>
      </c>
      <c r="H5" s="7">
        <v>99.9763</v>
      </c>
      <c r="I5" s="6"/>
    </row>
    <row r="6" ht="15" customHeight="1" spans="1:9" x14ac:dyDescent="0.25">
      <c r="A6" s="6" t="s">
        <v>61</v>
      </c>
      <c r="B6" s="6" t="s">
        <v>1918</v>
      </c>
      <c r="C6" s="8">
        <v>5836</v>
      </c>
      <c r="D6" s="8">
        <v>9161</v>
      </c>
      <c r="E6" s="7">
        <v>1.57</v>
      </c>
      <c r="F6" s="7">
        <v>1.77</v>
      </c>
      <c r="G6" s="7">
        <v>58.4</v>
      </c>
      <c r="H6" s="7">
        <v>99.9719</v>
      </c>
      <c r="I6" s="6"/>
    </row>
    <row r="7" ht="15" customHeight="1" spans="1:9" x14ac:dyDescent="0.25">
      <c r="A7" s="6" t="s">
        <v>61</v>
      </c>
      <c r="B7" s="6" t="s">
        <v>1919</v>
      </c>
      <c r="C7" s="8">
        <v>5851</v>
      </c>
      <c r="D7" s="8">
        <v>9310</v>
      </c>
      <c r="E7" s="7">
        <v>1.591</v>
      </c>
      <c r="F7" s="7">
        <v>1.766</v>
      </c>
      <c r="G7" s="7">
        <v>58.5</v>
      </c>
      <c r="H7" s="7">
        <v>99.983</v>
      </c>
      <c r="I7" s="6"/>
    </row>
    <row r="8" ht="15" customHeight="1" spans="1:9" x14ac:dyDescent="0.25">
      <c r="A8" s="6" t="s">
        <v>61</v>
      </c>
      <c r="B8" s="6" t="s">
        <v>1920</v>
      </c>
      <c r="C8" s="8">
        <v>5907</v>
      </c>
      <c r="D8" s="8">
        <v>9394</v>
      </c>
      <c r="E8" s="7">
        <v>1.59</v>
      </c>
      <c r="F8" s="7">
        <v>1.778</v>
      </c>
      <c r="G8" s="7">
        <v>59.1</v>
      </c>
      <c r="H8" s="7">
        <v>99.9896</v>
      </c>
      <c r="I8" s="6"/>
    </row>
    <row r="9" ht="15" customHeight="1" spans="1:9" x14ac:dyDescent="0.25">
      <c r="A9" s="6" t="s">
        <v>61</v>
      </c>
      <c r="B9" s="6" t="s">
        <v>1921</v>
      </c>
      <c r="C9" s="8">
        <v>6042</v>
      </c>
      <c r="D9" s="8">
        <v>9812</v>
      </c>
      <c r="E9" s="7">
        <v>1.624</v>
      </c>
      <c r="F9" s="7">
        <v>1.817</v>
      </c>
      <c r="G9" s="7">
        <v>60.4</v>
      </c>
      <c r="H9" s="7">
        <v>99.9753</v>
      </c>
      <c r="I9" s="6"/>
    </row>
    <row r="10" ht="15" customHeight="1" spans="1:9" x14ac:dyDescent="0.25">
      <c r="A10" s="6" t="s">
        <v>61</v>
      </c>
      <c r="B10" s="6" t="s">
        <v>1922</v>
      </c>
      <c r="C10" s="8">
        <v>6088</v>
      </c>
      <c r="D10" s="8">
        <v>9875</v>
      </c>
      <c r="E10" s="7">
        <v>1.622</v>
      </c>
      <c r="F10" s="7">
        <v>1.836</v>
      </c>
      <c r="G10" s="7">
        <v>60.9</v>
      </c>
      <c r="H10" s="7">
        <v>99.9714</v>
      </c>
      <c r="I10" s="6"/>
    </row>
    <row r="11" ht="15" customHeight="1" spans="1:9" x14ac:dyDescent="0.25">
      <c r="A11" s="6" t="s">
        <v>61</v>
      </c>
      <c r="B11" s="6" t="s">
        <v>1923</v>
      </c>
      <c r="C11" s="8">
        <v>6059</v>
      </c>
      <c r="D11" s="8">
        <v>9791</v>
      </c>
      <c r="E11" s="7">
        <v>1.616</v>
      </c>
      <c r="F11" s="7">
        <v>1.791</v>
      </c>
      <c r="G11" s="7">
        <v>60.6</v>
      </c>
      <c r="H11" s="7">
        <v>99.9882</v>
      </c>
      <c r="I11" s="6"/>
    </row>
    <row r="12" ht="15" customHeight="1" spans="1:9" x14ac:dyDescent="0.25">
      <c r="A12" s="6" t="s">
        <v>61</v>
      </c>
      <c r="B12" s="6" t="s">
        <v>1924</v>
      </c>
      <c r="C12" s="8">
        <v>6228</v>
      </c>
      <c r="D12" s="8">
        <v>9769</v>
      </c>
      <c r="E12" s="7">
        <v>1.569</v>
      </c>
      <c r="F12" s="7">
        <v>1.822</v>
      </c>
      <c r="G12" s="7">
        <v>62.3</v>
      </c>
      <c r="H12" s="7">
        <v>99.9828</v>
      </c>
      <c r="I12" s="6"/>
    </row>
    <row r="13" ht="15" customHeight="1" spans="1:9" x14ac:dyDescent="0.25">
      <c r="A13" s="6" t="s">
        <v>61</v>
      </c>
      <c r="B13" s="6" t="s">
        <v>1925</v>
      </c>
      <c r="C13" s="8">
        <v>6126</v>
      </c>
      <c r="D13" s="8">
        <v>9724</v>
      </c>
      <c r="E13" s="7">
        <v>1.587</v>
      </c>
      <c r="F13" s="7">
        <v>1.807</v>
      </c>
      <c r="G13" s="7">
        <v>61.3</v>
      </c>
      <c r="H13" s="7">
        <v>99.987</v>
      </c>
      <c r="I13" s="6"/>
    </row>
    <row r="14" ht="15" customHeight="1" spans="1:9" x14ac:dyDescent="0.25">
      <c r="A14" s="6" t="s">
        <v>61</v>
      </c>
      <c r="B14" s="6" t="s">
        <v>1926</v>
      </c>
      <c r="C14" s="8">
        <v>6168</v>
      </c>
      <c r="D14" s="8">
        <v>9739</v>
      </c>
      <c r="E14" s="7">
        <v>1.579</v>
      </c>
      <c r="F14" s="7">
        <v>1.828</v>
      </c>
      <c r="G14" s="7">
        <v>61.7</v>
      </c>
      <c r="H14" s="7">
        <v>99.9838</v>
      </c>
      <c r="I14" s="6"/>
    </row>
    <row r="15" ht="15" customHeight="1" spans="1:9" x14ac:dyDescent="0.25">
      <c r="A15" s="6" t="s">
        <v>61</v>
      </c>
      <c r="B15" s="6" t="s">
        <v>1927</v>
      </c>
      <c r="C15" s="8">
        <v>6333</v>
      </c>
      <c r="D15" s="8">
        <v>10033</v>
      </c>
      <c r="E15" s="7">
        <v>1.584</v>
      </c>
      <c r="F15" s="7">
        <v>1.767</v>
      </c>
      <c r="G15" s="7">
        <v>63.3</v>
      </c>
      <c r="H15" s="7">
        <v>99.9731</v>
      </c>
      <c r="I15" s="6"/>
    </row>
    <row r="16" ht="15" customHeight="1" spans="1:9" x14ac:dyDescent="0.25">
      <c r="A16" s="6" t="s">
        <v>61</v>
      </c>
      <c r="B16" s="6" t="s">
        <v>1928</v>
      </c>
      <c r="C16" s="8">
        <v>6344</v>
      </c>
      <c r="D16" s="8">
        <v>9979</v>
      </c>
      <c r="E16" s="7">
        <v>1.573</v>
      </c>
      <c r="F16" s="7">
        <v>1.813</v>
      </c>
      <c r="G16" s="7">
        <v>63.4</v>
      </c>
      <c r="H16" s="7">
        <v>99.9855</v>
      </c>
      <c r="I16" s="6"/>
    </row>
    <row r="17" ht="15" customHeight="1" spans="1:9" x14ac:dyDescent="0.25">
      <c r="A17" s="6" t="s">
        <v>61</v>
      </c>
      <c r="B17" s="6" t="s">
        <v>1481</v>
      </c>
      <c r="C17" s="8">
        <v>6360</v>
      </c>
      <c r="D17" s="8">
        <v>10018</v>
      </c>
      <c r="E17" s="7">
        <v>1.575</v>
      </c>
      <c r="F17" s="7">
        <v>1.762</v>
      </c>
      <c r="G17" s="7">
        <v>63.6</v>
      </c>
      <c r="H17" s="7">
        <v>99.9749</v>
      </c>
      <c r="I17" s="6"/>
    </row>
    <row r="18" ht="15" customHeight="1" spans="1:9" x14ac:dyDescent="0.25">
      <c r="A18" s="6" t="s">
        <v>61</v>
      </c>
      <c r="B18" s="6" t="s">
        <v>1482</v>
      </c>
      <c r="C18" s="8">
        <v>6507</v>
      </c>
      <c r="D18" s="8">
        <v>10205</v>
      </c>
      <c r="E18" s="7">
        <v>1.568</v>
      </c>
      <c r="F18" s="7">
        <v>1.828</v>
      </c>
      <c r="G18" s="7">
        <v>65.1</v>
      </c>
      <c r="H18" s="7">
        <v>99.9712</v>
      </c>
      <c r="I18" s="6"/>
    </row>
    <row r="19" ht="15" customHeight="1" spans="1:9" x14ac:dyDescent="0.25">
      <c r="A19" s="6" t="s">
        <v>61</v>
      </c>
      <c r="B19" s="6" t="s">
        <v>1483</v>
      </c>
      <c r="C19" s="8">
        <v>6559</v>
      </c>
      <c r="D19" s="8">
        <v>10286</v>
      </c>
      <c r="E19" s="7">
        <v>1.568</v>
      </c>
      <c r="F19" s="7">
        <v>1.839</v>
      </c>
      <c r="G19" s="7">
        <v>65.6</v>
      </c>
      <c r="H19" s="7">
        <v>99.9862</v>
      </c>
      <c r="I19" s="6"/>
    </row>
    <row r="20" ht="15" customHeight="1" spans="1:9" x14ac:dyDescent="0.25">
      <c r="A20" s="6" t="s">
        <v>61</v>
      </c>
      <c r="B20" s="6" t="s">
        <v>1484</v>
      </c>
      <c r="C20" s="8">
        <v>6496</v>
      </c>
      <c r="D20" s="8">
        <v>10282</v>
      </c>
      <c r="E20" s="7">
        <v>1.583</v>
      </c>
      <c r="F20" s="7">
        <v>1.773</v>
      </c>
      <c r="G20" s="7">
        <v>65</v>
      </c>
      <c r="H20" s="7">
        <v>99.975</v>
      </c>
      <c r="I20" s="6"/>
    </row>
    <row r="21" ht="15" customHeight="1" spans="1:9" x14ac:dyDescent="0.25">
      <c r="A21" s="6" t="s">
        <v>61</v>
      </c>
      <c r="B21" s="6" t="s">
        <v>1485</v>
      </c>
      <c r="C21" s="8">
        <v>6523</v>
      </c>
      <c r="D21" s="8">
        <v>10644</v>
      </c>
      <c r="E21" s="7">
        <v>1.632</v>
      </c>
      <c r="F21" s="7">
        <v>1.796</v>
      </c>
      <c r="G21" s="7">
        <v>65.2</v>
      </c>
      <c r="H21" s="7">
        <v>99.9743</v>
      </c>
      <c r="I21" s="6"/>
    </row>
    <row r="22" ht="15" customHeight="1" spans="1:9" x14ac:dyDescent="0.25">
      <c r="A22" s="6" t="s">
        <v>61</v>
      </c>
      <c r="B22" s="6" t="s">
        <v>1486</v>
      </c>
      <c r="C22" s="8">
        <v>6590</v>
      </c>
      <c r="D22" s="8">
        <v>10840</v>
      </c>
      <c r="E22" s="7">
        <v>1.645</v>
      </c>
      <c r="F22" s="7">
        <v>1.841</v>
      </c>
      <c r="G22" s="7">
        <v>65.9</v>
      </c>
      <c r="H22" s="7">
        <v>99.9969</v>
      </c>
      <c r="I22" s="6" t="s">
        <v>1929</v>
      </c>
    </row>
    <row r="23" ht="15" customHeight="1" spans="1:9" x14ac:dyDescent="0.25">
      <c r="A23" s="6" t="s">
        <v>61</v>
      </c>
      <c r="B23" s="6" t="s">
        <v>1487</v>
      </c>
      <c r="C23" s="8">
        <v>6637</v>
      </c>
      <c r="D23" s="8">
        <v>11023</v>
      </c>
      <c r="E23" s="7">
        <v>1.661</v>
      </c>
      <c r="F23" s="7">
        <v>1.839</v>
      </c>
      <c r="G23" s="7">
        <v>66.4</v>
      </c>
      <c r="H23" s="7">
        <v>99.9724</v>
      </c>
      <c r="I23" s="6" t="s">
        <v>1929</v>
      </c>
    </row>
    <row r="24" ht="15" customHeight="1" spans="1:9" x14ac:dyDescent="0.25">
      <c r="A24" s="6" t="s">
        <v>61</v>
      </c>
      <c r="B24" s="6" t="s">
        <v>1488</v>
      </c>
      <c r="C24" s="8">
        <v>6726</v>
      </c>
      <c r="D24" s="8">
        <v>11089</v>
      </c>
      <c r="E24" s="7">
        <v>1.649</v>
      </c>
      <c r="F24" s="7">
        <v>1.876</v>
      </c>
      <c r="G24" s="7">
        <v>67.3</v>
      </c>
      <c r="H24" s="7">
        <v>99.9886</v>
      </c>
      <c r="I24" s="6" t="s">
        <v>1929</v>
      </c>
    </row>
    <row r="25" ht="15" customHeight="1" spans="1:9" x14ac:dyDescent="0.25">
      <c r="A25" s="6" t="s">
        <v>61</v>
      </c>
      <c r="B25" s="6" t="s">
        <v>1489</v>
      </c>
      <c r="C25" s="8">
        <v>6901</v>
      </c>
      <c r="D25" s="8">
        <v>11444</v>
      </c>
      <c r="E25" s="7">
        <v>1.658</v>
      </c>
      <c r="F25" s="7">
        <v>1.816</v>
      </c>
      <c r="G25" s="7">
        <v>69</v>
      </c>
      <c r="H25" s="7">
        <v>99.9809</v>
      </c>
      <c r="I25" s="6" t="s">
        <v>1929</v>
      </c>
    </row>
    <row r="26" ht="15" customHeight="1" spans="1:9" x14ac:dyDescent="0.25">
      <c r="A26" s="6" t="s">
        <v>69</v>
      </c>
      <c r="B26" s="6" t="s">
        <v>1914</v>
      </c>
      <c r="C26" s="8">
        <v>4138</v>
      </c>
      <c r="D26" s="8">
        <v>7181</v>
      </c>
      <c r="E26" s="7">
        <v>1.735</v>
      </c>
      <c r="F26" s="7">
        <v>2.135</v>
      </c>
      <c r="G26" s="7">
        <v>69</v>
      </c>
      <c r="H26" s="7">
        <v>99.9975</v>
      </c>
      <c r="I26" s="6"/>
    </row>
    <row r="27" ht="15" customHeight="1" spans="1:9" x14ac:dyDescent="0.25">
      <c r="A27" s="6" t="s">
        <v>69</v>
      </c>
      <c r="B27" s="6" t="s">
        <v>1915</v>
      </c>
      <c r="C27" s="8">
        <v>4155</v>
      </c>
      <c r="D27" s="8">
        <v>7219</v>
      </c>
      <c r="E27" s="7">
        <v>1.737</v>
      </c>
      <c r="F27" s="7">
        <v>2.061</v>
      </c>
      <c r="G27" s="7">
        <v>69.3</v>
      </c>
      <c r="H27" s="7">
        <v>99.9753</v>
      </c>
      <c r="I27" s="6"/>
    </row>
    <row r="28" ht="15" customHeight="1" spans="1:9" x14ac:dyDescent="0.25">
      <c r="A28" s="6" t="s">
        <v>69</v>
      </c>
      <c r="B28" s="6" t="s">
        <v>1916</v>
      </c>
      <c r="C28" s="8">
        <v>4189</v>
      </c>
      <c r="D28" s="8">
        <v>7265</v>
      </c>
      <c r="E28" s="7">
        <v>1.734</v>
      </c>
      <c r="F28" s="7">
        <v>2.137</v>
      </c>
      <c r="G28" s="7">
        <v>69.8</v>
      </c>
      <c r="H28" s="7">
        <v>99.9738</v>
      </c>
      <c r="I28" s="6"/>
    </row>
    <row r="29" ht="15" customHeight="1" spans="1:9" x14ac:dyDescent="0.25">
      <c r="A29" s="6" t="s">
        <v>69</v>
      </c>
      <c r="B29" s="6" t="s">
        <v>1917</v>
      </c>
      <c r="C29" s="8">
        <v>4180</v>
      </c>
      <c r="D29" s="8">
        <v>7305</v>
      </c>
      <c r="E29" s="7">
        <v>1.748</v>
      </c>
      <c r="F29" s="7">
        <v>2.101</v>
      </c>
      <c r="G29" s="7">
        <v>69.7</v>
      </c>
      <c r="H29" s="7">
        <v>99.9782</v>
      </c>
      <c r="I29" s="6"/>
    </row>
    <row r="30" ht="15" customHeight="1" spans="1:9" x14ac:dyDescent="0.25">
      <c r="A30" s="6" t="s">
        <v>69</v>
      </c>
      <c r="B30" s="6" t="s">
        <v>1918</v>
      </c>
      <c r="C30" s="8">
        <v>4229</v>
      </c>
      <c r="D30" s="8">
        <v>7310</v>
      </c>
      <c r="E30" s="7">
        <v>1.728</v>
      </c>
      <c r="F30" s="7">
        <v>2.112</v>
      </c>
      <c r="G30" s="7">
        <v>70.5</v>
      </c>
      <c r="H30" s="7">
        <v>99.9754</v>
      </c>
      <c r="I30" s="6"/>
    </row>
    <row r="31" ht="15" customHeight="1" spans="1:9" x14ac:dyDescent="0.25">
      <c r="A31" s="6" t="s">
        <v>69</v>
      </c>
      <c r="B31" s="6" t="s">
        <v>1919</v>
      </c>
      <c r="C31" s="8">
        <v>4314</v>
      </c>
      <c r="D31" s="8">
        <v>7466</v>
      </c>
      <c r="E31" s="7">
        <v>1.731</v>
      </c>
      <c r="F31" s="7">
        <v>2.08</v>
      </c>
      <c r="G31" s="7">
        <v>71.9</v>
      </c>
      <c r="H31" s="7">
        <v>99.9803</v>
      </c>
      <c r="I31" s="6"/>
    </row>
    <row r="32" ht="15" customHeight="1" spans="1:9" x14ac:dyDescent="0.25">
      <c r="A32" s="6" t="s">
        <v>69</v>
      </c>
      <c r="B32" s="6" t="s">
        <v>1920</v>
      </c>
      <c r="C32" s="8">
        <v>4376</v>
      </c>
      <c r="D32" s="8">
        <v>7614</v>
      </c>
      <c r="E32" s="7">
        <v>1.74</v>
      </c>
      <c r="F32" s="7">
        <v>2.063</v>
      </c>
      <c r="G32" s="7">
        <v>72.9</v>
      </c>
      <c r="H32" s="7">
        <v>99.9878</v>
      </c>
      <c r="I32" s="6"/>
    </row>
    <row r="33" ht="15" customHeight="1" spans="1:9" x14ac:dyDescent="0.25">
      <c r="A33" s="6" t="s">
        <v>69</v>
      </c>
      <c r="B33" s="6" t="s">
        <v>1921</v>
      </c>
      <c r="C33" s="8">
        <v>4360</v>
      </c>
      <c r="D33" s="8">
        <v>7764</v>
      </c>
      <c r="E33" s="7">
        <v>1.781</v>
      </c>
      <c r="F33" s="7">
        <v>2.075</v>
      </c>
      <c r="G33" s="7">
        <v>72.7</v>
      </c>
      <c r="H33" s="7">
        <v>99.9773</v>
      </c>
      <c r="I33" s="6"/>
    </row>
    <row r="34" ht="15" customHeight="1" spans="1:9" x14ac:dyDescent="0.25">
      <c r="A34" s="6" t="s">
        <v>69</v>
      </c>
      <c r="B34" s="6" t="s">
        <v>1922</v>
      </c>
      <c r="C34" s="8">
        <v>4445</v>
      </c>
      <c r="D34" s="8">
        <v>7933</v>
      </c>
      <c r="E34" s="7">
        <v>1.784</v>
      </c>
      <c r="F34" s="7">
        <v>2.062</v>
      </c>
      <c r="G34" s="7">
        <v>74.1</v>
      </c>
      <c r="H34" s="7">
        <v>99.9925</v>
      </c>
      <c r="I34" s="6"/>
    </row>
    <row r="35" ht="15" customHeight="1" spans="1:9" x14ac:dyDescent="0.25">
      <c r="A35" s="6" t="s">
        <v>69</v>
      </c>
      <c r="B35" s="6" t="s">
        <v>1923</v>
      </c>
      <c r="C35" s="8">
        <v>4474</v>
      </c>
      <c r="D35" s="8">
        <v>7930</v>
      </c>
      <c r="E35" s="7">
        <v>1.772</v>
      </c>
      <c r="F35" s="7">
        <v>2.138</v>
      </c>
      <c r="G35" s="7">
        <v>74.6</v>
      </c>
      <c r="H35" s="7">
        <v>99.9773</v>
      </c>
      <c r="I35" s="6"/>
    </row>
    <row r="36" ht="15" customHeight="1" spans="1:9" x14ac:dyDescent="0.25">
      <c r="A36" s="6" t="s">
        <v>69</v>
      </c>
      <c r="B36" s="6" t="s">
        <v>1924</v>
      </c>
      <c r="C36" s="8">
        <v>4458</v>
      </c>
      <c r="D36" s="8">
        <v>7746</v>
      </c>
      <c r="E36" s="7">
        <v>1.737</v>
      </c>
      <c r="F36" s="7">
        <v>2.096</v>
      </c>
      <c r="G36" s="7">
        <v>74.3</v>
      </c>
      <c r="H36" s="7">
        <v>99.9956</v>
      </c>
      <c r="I36" s="6"/>
    </row>
    <row r="37" ht="15" customHeight="1" spans="1:9" x14ac:dyDescent="0.25">
      <c r="A37" s="6" t="s">
        <v>69</v>
      </c>
      <c r="B37" s="6" t="s">
        <v>1925</v>
      </c>
      <c r="C37" s="8">
        <v>4484</v>
      </c>
      <c r="D37" s="8">
        <v>7826</v>
      </c>
      <c r="E37" s="7">
        <v>1.745</v>
      </c>
      <c r="F37" s="7">
        <v>2.085</v>
      </c>
      <c r="G37" s="7">
        <v>74.7</v>
      </c>
      <c r="H37" s="7">
        <v>99.9767</v>
      </c>
      <c r="I37" s="6"/>
    </row>
    <row r="38" ht="15" customHeight="1" spans="1:9" x14ac:dyDescent="0.25">
      <c r="A38" s="6" t="s">
        <v>69</v>
      </c>
      <c r="B38" s="6" t="s">
        <v>1926</v>
      </c>
      <c r="C38" s="8">
        <v>4578</v>
      </c>
      <c r="D38" s="8">
        <v>7931</v>
      </c>
      <c r="E38" s="7">
        <v>1.732</v>
      </c>
      <c r="F38" s="7">
        <v>2.092</v>
      </c>
      <c r="G38" s="7">
        <v>76.3</v>
      </c>
      <c r="H38" s="7">
        <v>99.9892</v>
      </c>
      <c r="I38" s="6"/>
    </row>
    <row r="39" ht="15" customHeight="1" spans="1:9" x14ac:dyDescent="0.25">
      <c r="A39" s="6" t="s">
        <v>69</v>
      </c>
      <c r="B39" s="6" t="s">
        <v>1927</v>
      </c>
      <c r="C39" s="8">
        <v>4547</v>
      </c>
      <c r="D39" s="8">
        <v>7925</v>
      </c>
      <c r="E39" s="7">
        <v>1.743</v>
      </c>
      <c r="F39" s="7">
        <v>2.096</v>
      </c>
      <c r="G39" s="7">
        <v>75.8</v>
      </c>
      <c r="H39" s="7">
        <v>99.9763</v>
      </c>
      <c r="I39" s="6"/>
    </row>
    <row r="40" ht="15" customHeight="1" spans="1:9" x14ac:dyDescent="0.25">
      <c r="A40" s="6" t="s">
        <v>69</v>
      </c>
      <c r="B40" s="6" t="s">
        <v>1928</v>
      </c>
      <c r="C40" s="8">
        <v>4569</v>
      </c>
      <c r="D40" s="8">
        <v>7961</v>
      </c>
      <c r="E40" s="7">
        <v>1.742</v>
      </c>
      <c r="F40" s="7">
        <v>2.131</v>
      </c>
      <c r="G40" s="7">
        <v>76.2</v>
      </c>
      <c r="H40" s="7">
        <v>99.9748</v>
      </c>
      <c r="I40" s="6"/>
    </row>
    <row r="41" ht="15" customHeight="1" spans="1:9" x14ac:dyDescent="0.25">
      <c r="A41" s="6" t="s">
        <v>69</v>
      </c>
      <c r="B41" s="6" t="s">
        <v>1481</v>
      </c>
      <c r="C41" s="8">
        <v>4597</v>
      </c>
      <c r="D41" s="8">
        <v>8042</v>
      </c>
      <c r="E41" s="7">
        <v>1.75</v>
      </c>
      <c r="F41" s="7">
        <v>2.088</v>
      </c>
      <c r="G41" s="7">
        <v>76.6</v>
      </c>
      <c r="H41" s="7">
        <v>99.9807</v>
      </c>
      <c r="I41" s="6"/>
    </row>
    <row r="42" ht="15" customHeight="1" spans="1:9" x14ac:dyDescent="0.25">
      <c r="A42" s="6" t="s">
        <v>69</v>
      </c>
      <c r="B42" s="6" t="s">
        <v>1482</v>
      </c>
      <c r="C42" s="8">
        <v>4714</v>
      </c>
      <c r="D42" s="8">
        <v>8240</v>
      </c>
      <c r="E42" s="7">
        <v>1.748</v>
      </c>
      <c r="F42" s="7">
        <v>2.116</v>
      </c>
      <c r="G42" s="7">
        <v>78.6</v>
      </c>
      <c r="H42" s="7">
        <v>99.9813</v>
      </c>
      <c r="I42" s="6"/>
    </row>
    <row r="43" ht="15" customHeight="1" spans="1:9" x14ac:dyDescent="0.25">
      <c r="A43" s="6" t="s">
        <v>69</v>
      </c>
      <c r="B43" s="6" t="s">
        <v>1483</v>
      </c>
      <c r="C43" s="8">
        <v>4786</v>
      </c>
      <c r="D43" s="8">
        <v>8325</v>
      </c>
      <c r="E43" s="7">
        <v>1.739</v>
      </c>
      <c r="F43" s="7">
        <v>2.091</v>
      </c>
      <c r="G43" s="7">
        <v>79.8</v>
      </c>
      <c r="H43" s="7">
        <v>99.9838</v>
      </c>
      <c r="I43" s="6"/>
    </row>
    <row r="44" ht="15" customHeight="1" spans="1:9" x14ac:dyDescent="0.25">
      <c r="A44" s="6" t="s">
        <v>69</v>
      </c>
      <c r="B44" s="6" t="s">
        <v>1484</v>
      </c>
      <c r="C44" s="8">
        <v>4809</v>
      </c>
      <c r="D44" s="8">
        <v>8386</v>
      </c>
      <c r="E44" s="7">
        <v>1.744</v>
      </c>
      <c r="F44" s="7">
        <v>2.074</v>
      </c>
      <c r="G44" s="7">
        <v>80.2</v>
      </c>
      <c r="H44" s="7">
        <v>99.9737</v>
      </c>
      <c r="I44" s="6"/>
    </row>
    <row r="45" ht="15" customHeight="1" spans="1:9" x14ac:dyDescent="0.25">
      <c r="A45" s="6" t="s">
        <v>69</v>
      </c>
      <c r="B45" s="6" t="s">
        <v>1485</v>
      </c>
      <c r="C45" s="8">
        <v>4868</v>
      </c>
      <c r="D45" s="8">
        <v>8625</v>
      </c>
      <c r="E45" s="7">
        <v>1.772</v>
      </c>
      <c r="F45" s="7">
        <v>2.095</v>
      </c>
      <c r="G45" s="7">
        <v>81.1</v>
      </c>
      <c r="H45" s="7">
        <v>99.9896</v>
      </c>
      <c r="I45" s="6"/>
    </row>
    <row r="46" ht="15" customHeight="1" spans="1:9" x14ac:dyDescent="0.25">
      <c r="A46" s="6" t="s">
        <v>69</v>
      </c>
      <c r="B46" s="6" t="s">
        <v>1486</v>
      </c>
      <c r="C46" s="8">
        <v>4839</v>
      </c>
      <c r="D46" s="8">
        <v>8606</v>
      </c>
      <c r="E46" s="7">
        <v>1.778</v>
      </c>
      <c r="F46" s="7">
        <v>2.122</v>
      </c>
      <c r="G46" s="7">
        <v>80.7</v>
      </c>
      <c r="H46" s="7">
        <v>99.973</v>
      </c>
      <c r="I46" s="6"/>
    </row>
    <row r="47" ht="15" customHeight="1" spans="1:9" x14ac:dyDescent="0.25">
      <c r="A47" s="6" t="s">
        <v>69</v>
      </c>
      <c r="B47" s="6" t="s">
        <v>1487</v>
      </c>
      <c r="C47" s="8">
        <v>4949</v>
      </c>
      <c r="D47" s="8">
        <v>8725</v>
      </c>
      <c r="E47" s="7">
        <v>1.763</v>
      </c>
      <c r="F47" s="7">
        <v>2.085</v>
      </c>
      <c r="G47" s="7">
        <v>82.5</v>
      </c>
      <c r="H47" s="7">
        <v>99.9971</v>
      </c>
      <c r="I47" s="6"/>
    </row>
    <row r="48" ht="15" customHeight="1" spans="1:9" x14ac:dyDescent="0.25">
      <c r="A48" s="6" t="s">
        <v>69</v>
      </c>
      <c r="B48" s="6" t="s">
        <v>1488</v>
      </c>
      <c r="C48" s="8">
        <v>4964</v>
      </c>
      <c r="D48" s="8">
        <v>8693</v>
      </c>
      <c r="E48" s="7">
        <v>1.751</v>
      </c>
      <c r="F48" s="7">
        <v>2.125</v>
      </c>
      <c r="G48" s="7">
        <v>82.7</v>
      </c>
      <c r="H48" s="7">
        <v>99.9887</v>
      </c>
      <c r="I48" s="6"/>
    </row>
    <row r="49" ht="15" customHeight="1" spans="1:9" x14ac:dyDescent="0.25">
      <c r="A49" s="6" t="s">
        <v>69</v>
      </c>
      <c r="B49" s="6" t="s">
        <v>1489</v>
      </c>
      <c r="C49" s="8">
        <v>4991</v>
      </c>
      <c r="D49" s="8">
        <v>8736</v>
      </c>
      <c r="E49" s="7">
        <v>1.75</v>
      </c>
      <c r="F49" s="7">
        <v>2.121</v>
      </c>
      <c r="G49" s="7">
        <v>83.2</v>
      </c>
      <c r="H49" s="7">
        <v>99.9736</v>
      </c>
      <c r="I49" s="6"/>
    </row>
    <row r="50" ht="15" customHeight="1" spans="1:9" x14ac:dyDescent="0.25">
      <c r="A50" s="6" t="s">
        <v>73</v>
      </c>
      <c r="B50" s="6" t="s">
        <v>1914</v>
      </c>
      <c r="C50" s="8">
        <v>4501</v>
      </c>
      <c r="D50" s="8">
        <v>7289</v>
      </c>
      <c r="E50" s="7">
        <v>1.62</v>
      </c>
      <c r="F50" s="7">
        <v>2.419</v>
      </c>
      <c r="G50" s="7">
        <v>56.3</v>
      </c>
      <c r="H50" s="7">
        <v>99.9757</v>
      </c>
      <c r="I50" s="6"/>
    </row>
    <row r="51" ht="15" customHeight="1" spans="1:9" x14ac:dyDescent="0.25">
      <c r="A51" s="6" t="s">
        <v>73</v>
      </c>
      <c r="B51" s="6" t="s">
        <v>1915</v>
      </c>
      <c r="C51" s="8">
        <v>4584</v>
      </c>
      <c r="D51" s="8">
        <v>7465</v>
      </c>
      <c r="E51" s="7">
        <v>1.628</v>
      </c>
      <c r="F51" s="7">
        <v>2.421</v>
      </c>
      <c r="G51" s="7">
        <v>57.3</v>
      </c>
      <c r="H51" s="7">
        <v>99.982</v>
      </c>
      <c r="I51" s="6"/>
    </row>
    <row r="52" ht="15" customHeight="1" spans="1:9" x14ac:dyDescent="0.25">
      <c r="A52" s="6" t="s">
        <v>73</v>
      </c>
      <c r="B52" s="6" t="s">
        <v>1916</v>
      </c>
      <c r="C52" s="8">
        <v>4568</v>
      </c>
      <c r="D52" s="8">
        <v>7390</v>
      </c>
      <c r="E52" s="7">
        <v>1.618</v>
      </c>
      <c r="F52" s="7">
        <v>2.447</v>
      </c>
      <c r="G52" s="7">
        <v>57.1</v>
      </c>
      <c r="H52" s="7">
        <v>99.9719</v>
      </c>
      <c r="I52" s="6"/>
    </row>
    <row r="53" ht="15" customHeight="1" spans="1:9" x14ac:dyDescent="0.25">
      <c r="A53" s="6" t="s">
        <v>73</v>
      </c>
      <c r="B53" s="6" t="s">
        <v>1917</v>
      </c>
      <c r="C53" s="8">
        <v>4620</v>
      </c>
      <c r="D53" s="8">
        <v>7455</v>
      </c>
      <c r="E53" s="7">
        <v>1.614</v>
      </c>
      <c r="F53" s="7">
        <v>2.442</v>
      </c>
      <c r="G53" s="7">
        <v>57.7</v>
      </c>
      <c r="H53" s="7">
        <v>99.995</v>
      </c>
      <c r="I53" s="6"/>
    </row>
    <row r="54" ht="15" customHeight="1" spans="1:9" x14ac:dyDescent="0.25">
      <c r="A54" s="6" t="s">
        <v>73</v>
      </c>
      <c r="B54" s="6" t="s">
        <v>1918</v>
      </c>
      <c r="C54" s="8">
        <v>4680</v>
      </c>
      <c r="D54" s="8">
        <v>7576</v>
      </c>
      <c r="E54" s="7">
        <v>1.619</v>
      </c>
      <c r="F54" s="7">
        <v>2.479</v>
      </c>
      <c r="G54" s="7">
        <v>58.5</v>
      </c>
      <c r="H54" s="7">
        <v>99.9886</v>
      </c>
      <c r="I54" s="6"/>
    </row>
    <row r="55" ht="15" customHeight="1" spans="1:9" x14ac:dyDescent="0.25">
      <c r="A55" s="6" t="s">
        <v>73</v>
      </c>
      <c r="B55" s="6" t="s">
        <v>1919</v>
      </c>
      <c r="C55" s="8">
        <v>4758</v>
      </c>
      <c r="D55" s="8">
        <v>7744</v>
      </c>
      <c r="E55" s="7">
        <v>1.628</v>
      </c>
      <c r="F55" s="7">
        <v>2.489</v>
      </c>
      <c r="G55" s="7">
        <v>59.5</v>
      </c>
      <c r="H55" s="7">
        <v>99.9734</v>
      </c>
      <c r="I55" s="6"/>
    </row>
    <row r="56" ht="15" customHeight="1" spans="1:9" x14ac:dyDescent="0.25">
      <c r="A56" s="6" t="s">
        <v>73</v>
      </c>
      <c r="B56" s="6" t="s">
        <v>1920</v>
      </c>
      <c r="C56" s="8">
        <v>4703</v>
      </c>
      <c r="D56" s="8">
        <v>7656</v>
      </c>
      <c r="E56" s="7">
        <v>1.628</v>
      </c>
      <c r="F56" s="7">
        <v>2.426</v>
      </c>
      <c r="G56" s="7">
        <v>58.8</v>
      </c>
      <c r="H56" s="7">
        <v>99.9769</v>
      </c>
      <c r="I56" s="6"/>
    </row>
    <row r="57" ht="15" customHeight="1" spans="1:9" x14ac:dyDescent="0.25">
      <c r="A57" s="6" t="s">
        <v>73</v>
      </c>
      <c r="B57" s="6" t="s">
        <v>1921</v>
      </c>
      <c r="C57" s="8">
        <v>4769</v>
      </c>
      <c r="D57" s="8">
        <v>7876</v>
      </c>
      <c r="E57" s="7">
        <v>1.652</v>
      </c>
      <c r="F57" s="7">
        <v>2.411</v>
      </c>
      <c r="G57" s="7">
        <v>59.6</v>
      </c>
      <c r="H57" s="7">
        <v>99.9824</v>
      </c>
      <c r="I57" s="6"/>
    </row>
    <row r="58" ht="15" customHeight="1" spans="1:9" x14ac:dyDescent="0.25">
      <c r="A58" s="6" t="s">
        <v>73</v>
      </c>
      <c r="B58" s="6" t="s">
        <v>1922</v>
      </c>
      <c r="C58" s="8">
        <v>4864</v>
      </c>
      <c r="D58" s="8">
        <v>8068</v>
      </c>
      <c r="E58" s="7">
        <v>1.659</v>
      </c>
      <c r="F58" s="7">
        <v>2.477</v>
      </c>
      <c r="G58" s="7">
        <v>60.8</v>
      </c>
      <c r="H58" s="7">
        <v>99.9733</v>
      </c>
      <c r="I58" s="6"/>
    </row>
    <row r="59" ht="15" customHeight="1" spans="1:9" x14ac:dyDescent="0.25">
      <c r="A59" s="6" t="s">
        <v>73</v>
      </c>
      <c r="B59" s="6" t="s">
        <v>1923</v>
      </c>
      <c r="C59" s="8">
        <v>4916</v>
      </c>
      <c r="D59" s="8">
        <v>8116</v>
      </c>
      <c r="E59" s="7">
        <v>1.651</v>
      </c>
      <c r="F59" s="7">
        <v>2.413</v>
      </c>
      <c r="G59" s="7">
        <v>61.5</v>
      </c>
      <c r="H59" s="7">
        <v>99.9907</v>
      </c>
      <c r="I59" s="6"/>
    </row>
    <row r="60" ht="15" customHeight="1" spans="1:9" x14ac:dyDescent="0.25">
      <c r="A60" s="6" t="s">
        <v>73</v>
      </c>
      <c r="B60" s="6" t="s">
        <v>1924</v>
      </c>
      <c r="C60" s="8">
        <v>4916</v>
      </c>
      <c r="D60" s="8">
        <v>7951</v>
      </c>
      <c r="E60" s="7">
        <v>1.617</v>
      </c>
      <c r="F60" s="7">
        <v>2.412</v>
      </c>
      <c r="G60" s="7">
        <v>61.5</v>
      </c>
      <c r="H60" s="7">
        <v>99.9737</v>
      </c>
      <c r="I60" s="6"/>
    </row>
    <row r="61" ht="15" customHeight="1" spans="1:9" x14ac:dyDescent="0.25">
      <c r="A61" s="6" t="s">
        <v>73</v>
      </c>
      <c r="B61" s="6" t="s">
        <v>1925</v>
      </c>
      <c r="C61" s="8">
        <v>5007</v>
      </c>
      <c r="D61" s="8">
        <v>8081</v>
      </c>
      <c r="E61" s="7">
        <v>1.614</v>
      </c>
      <c r="F61" s="7">
        <v>2.458</v>
      </c>
      <c r="G61" s="7">
        <v>62.6</v>
      </c>
      <c r="H61" s="7">
        <v>99.9737</v>
      </c>
      <c r="I61" s="6"/>
    </row>
    <row r="62" ht="15" customHeight="1" spans="1:9" x14ac:dyDescent="0.25">
      <c r="A62" s="6" t="s">
        <v>73</v>
      </c>
      <c r="B62" s="6" t="s">
        <v>1926</v>
      </c>
      <c r="C62" s="8">
        <v>5008</v>
      </c>
      <c r="D62" s="8">
        <v>8063</v>
      </c>
      <c r="E62" s="7">
        <v>1.61</v>
      </c>
      <c r="F62" s="7">
        <v>2.474</v>
      </c>
      <c r="G62" s="7">
        <v>62.6</v>
      </c>
      <c r="H62" s="7">
        <v>99.9742</v>
      </c>
      <c r="I62" s="6"/>
    </row>
    <row r="63" ht="15" customHeight="1" spans="1:9" x14ac:dyDescent="0.25">
      <c r="A63" s="6" t="s">
        <v>73</v>
      </c>
      <c r="B63" s="6" t="s">
        <v>1927</v>
      </c>
      <c r="C63" s="8">
        <v>5053</v>
      </c>
      <c r="D63" s="8">
        <v>8198</v>
      </c>
      <c r="E63" s="7">
        <v>1.622</v>
      </c>
      <c r="F63" s="7">
        <v>2.452</v>
      </c>
      <c r="G63" s="7">
        <v>63.2</v>
      </c>
      <c r="H63" s="7">
        <v>99.975</v>
      </c>
      <c r="I63" s="6"/>
    </row>
    <row r="64" ht="15" customHeight="1" spans="1:9" x14ac:dyDescent="0.25">
      <c r="A64" s="6" t="s">
        <v>73</v>
      </c>
      <c r="B64" s="6" t="s">
        <v>1928</v>
      </c>
      <c r="C64" s="8">
        <v>5128</v>
      </c>
      <c r="D64" s="8">
        <v>8328</v>
      </c>
      <c r="E64" s="7">
        <v>1.624</v>
      </c>
      <c r="F64" s="7">
        <v>2.454</v>
      </c>
      <c r="G64" s="7">
        <v>64.1</v>
      </c>
      <c r="H64" s="7">
        <v>99.9872</v>
      </c>
      <c r="I64" s="6"/>
    </row>
    <row r="65" ht="15" customHeight="1" spans="1:9" x14ac:dyDescent="0.25">
      <c r="A65" s="6" t="s">
        <v>73</v>
      </c>
      <c r="B65" s="6" t="s">
        <v>1481</v>
      </c>
      <c r="C65" s="8">
        <v>5178</v>
      </c>
      <c r="D65" s="8">
        <v>8377</v>
      </c>
      <c r="E65" s="7">
        <v>1.618</v>
      </c>
      <c r="F65" s="7">
        <v>2.417</v>
      </c>
      <c r="G65" s="7">
        <v>64.7</v>
      </c>
      <c r="H65" s="7">
        <v>99.9724</v>
      </c>
      <c r="I65" s="6"/>
    </row>
    <row r="66" ht="15" customHeight="1" spans="1:9" x14ac:dyDescent="0.25">
      <c r="A66" s="6" t="s">
        <v>73</v>
      </c>
      <c r="B66" s="6" t="s">
        <v>1482</v>
      </c>
      <c r="C66" s="8">
        <v>5229</v>
      </c>
      <c r="D66" s="8">
        <v>8414</v>
      </c>
      <c r="E66" s="7">
        <v>1.609</v>
      </c>
      <c r="F66" s="7">
        <v>2.453</v>
      </c>
      <c r="G66" s="7">
        <v>65.4</v>
      </c>
      <c r="H66" s="7">
        <v>99.9952</v>
      </c>
      <c r="I66" s="6"/>
    </row>
    <row r="67" ht="15" customHeight="1" spans="1:9" x14ac:dyDescent="0.25">
      <c r="A67" s="6" t="s">
        <v>73</v>
      </c>
      <c r="B67" s="6" t="s">
        <v>1483</v>
      </c>
      <c r="C67" s="8">
        <v>5146</v>
      </c>
      <c r="D67" s="8">
        <v>8302</v>
      </c>
      <c r="E67" s="7">
        <v>1.613</v>
      </c>
      <c r="F67" s="7">
        <v>2.49</v>
      </c>
      <c r="G67" s="7">
        <v>64.3</v>
      </c>
      <c r="H67" s="7">
        <v>99.9803</v>
      </c>
      <c r="I67" s="6"/>
    </row>
    <row r="68" ht="15" customHeight="1" spans="1:9" x14ac:dyDescent="0.25">
      <c r="A68" s="6" t="s">
        <v>73</v>
      </c>
      <c r="B68" s="6" t="s">
        <v>1484</v>
      </c>
      <c r="C68" s="8">
        <v>5310</v>
      </c>
      <c r="D68" s="8">
        <v>8603</v>
      </c>
      <c r="E68" s="7">
        <v>1.62</v>
      </c>
      <c r="F68" s="7">
        <v>2.486</v>
      </c>
      <c r="G68" s="7">
        <v>66.4</v>
      </c>
      <c r="H68" s="7">
        <v>99.9951</v>
      </c>
      <c r="I68" s="6"/>
    </row>
    <row r="69" ht="15" customHeight="1" spans="1:9" x14ac:dyDescent="0.25">
      <c r="A69" s="6" t="s">
        <v>73</v>
      </c>
      <c r="B69" s="6" t="s">
        <v>1485</v>
      </c>
      <c r="C69" s="8">
        <v>5339</v>
      </c>
      <c r="D69" s="8">
        <v>8832</v>
      </c>
      <c r="E69" s="7">
        <v>1.654</v>
      </c>
      <c r="F69" s="7">
        <v>2.485</v>
      </c>
      <c r="G69" s="7">
        <v>66.7</v>
      </c>
      <c r="H69" s="7">
        <v>99.9944</v>
      </c>
      <c r="I69" s="6"/>
    </row>
    <row r="70" ht="15" customHeight="1" spans="1:9" x14ac:dyDescent="0.25">
      <c r="A70" s="6" t="s">
        <v>73</v>
      </c>
      <c r="B70" s="6" t="s">
        <v>1486</v>
      </c>
      <c r="C70" s="8">
        <v>5250</v>
      </c>
      <c r="D70" s="8">
        <v>8715</v>
      </c>
      <c r="E70" s="7">
        <v>1.66</v>
      </c>
      <c r="F70" s="7">
        <v>2.45</v>
      </c>
      <c r="G70" s="7">
        <v>65.6</v>
      </c>
      <c r="H70" s="7">
        <v>99.9843</v>
      </c>
      <c r="I70" s="6"/>
    </row>
    <row r="71" ht="15" customHeight="1" spans="1:9" x14ac:dyDescent="0.25">
      <c r="A71" s="6" t="s">
        <v>73</v>
      </c>
      <c r="B71" s="6" t="s">
        <v>1487</v>
      </c>
      <c r="C71" s="8">
        <v>5330</v>
      </c>
      <c r="D71" s="8">
        <v>8843</v>
      </c>
      <c r="E71" s="7">
        <v>1.659</v>
      </c>
      <c r="F71" s="7">
        <v>2.488</v>
      </c>
      <c r="G71" s="7">
        <v>66.6</v>
      </c>
      <c r="H71" s="7">
        <v>99.9981</v>
      </c>
      <c r="I71" s="6"/>
    </row>
    <row r="72" ht="15" customHeight="1" spans="1:9" x14ac:dyDescent="0.25">
      <c r="A72" s="6" t="s">
        <v>73</v>
      </c>
      <c r="B72" s="6" t="s">
        <v>1488</v>
      </c>
      <c r="C72" s="8">
        <v>5472</v>
      </c>
      <c r="D72" s="8">
        <v>8879</v>
      </c>
      <c r="E72" s="7">
        <v>1.623</v>
      </c>
      <c r="F72" s="7">
        <v>2.481</v>
      </c>
      <c r="G72" s="7">
        <v>68.4</v>
      </c>
      <c r="H72" s="7">
        <v>99.9923</v>
      </c>
      <c r="I72" s="6"/>
    </row>
    <row r="73" ht="15" customHeight="1" spans="1:9" x14ac:dyDescent="0.25">
      <c r="A73" s="6" t="s">
        <v>73</v>
      </c>
      <c r="B73" s="6" t="s">
        <v>1489</v>
      </c>
      <c r="C73" s="8">
        <v>5447</v>
      </c>
      <c r="D73" s="8">
        <v>8856</v>
      </c>
      <c r="E73" s="7">
        <v>1.626</v>
      </c>
      <c r="F73" s="7">
        <v>2.425</v>
      </c>
      <c r="G73" s="7">
        <v>68.1</v>
      </c>
      <c r="H73" s="7">
        <v>99.9729</v>
      </c>
      <c r="I73" s="6"/>
    </row>
    <row r="74" ht="15" customHeight="1" spans="1:9" x14ac:dyDescent="0.25">
      <c r="A74" s="6" t="s">
        <v>79</v>
      </c>
      <c r="B74" s="6" t="s">
        <v>1914</v>
      </c>
      <c r="C74" s="8">
        <v>6287</v>
      </c>
      <c r="D74" s="8">
        <v>8363</v>
      </c>
      <c r="E74" s="7">
        <v>1.33</v>
      </c>
      <c r="F74" s="7">
        <v>0.914</v>
      </c>
      <c r="G74" s="7">
        <v>44.9</v>
      </c>
      <c r="H74" s="7">
        <v>99.9935</v>
      </c>
      <c r="I74" s="6"/>
    </row>
    <row r="75" ht="15" customHeight="1" spans="1:9" x14ac:dyDescent="0.25">
      <c r="A75" s="6" t="s">
        <v>79</v>
      </c>
      <c r="B75" s="6" t="s">
        <v>1915</v>
      </c>
      <c r="C75" s="8">
        <v>6425</v>
      </c>
      <c r="D75" s="8">
        <v>8590</v>
      </c>
      <c r="E75" s="7">
        <v>1.337</v>
      </c>
      <c r="F75" s="7">
        <v>0.936</v>
      </c>
      <c r="G75" s="7">
        <v>45.9</v>
      </c>
      <c r="H75" s="7">
        <v>99.9961</v>
      </c>
      <c r="I75" s="6"/>
    </row>
    <row r="76" ht="15" customHeight="1" spans="1:9" x14ac:dyDescent="0.25">
      <c r="A76" s="6" t="s">
        <v>79</v>
      </c>
      <c r="B76" s="6" t="s">
        <v>1916</v>
      </c>
      <c r="C76" s="8">
        <v>6546</v>
      </c>
      <c r="D76" s="8">
        <v>8750</v>
      </c>
      <c r="E76" s="7">
        <v>1.337</v>
      </c>
      <c r="F76" s="7">
        <v>0.957</v>
      </c>
      <c r="G76" s="7">
        <v>46.8</v>
      </c>
      <c r="H76" s="7">
        <v>99.9719</v>
      </c>
      <c r="I76" s="6"/>
    </row>
    <row r="77" ht="15" customHeight="1" spans="1:9" x14ac:dyDescent="0.25">
      <c r="A77" s="6" t="s">
        <v>79</v>
      </c>
      <c r="B77" s="6" t="s">
        <v>1917</v>
      </c>
      <c r="C77" s="8">
        <v>6556</v>
      </c>
      <c r="D77" s="8">
        <v>8855</v>
      </c>
      <c r="E77" s="7">
        <v>1.351</v>
      </c>
      <c r="F77" s="7">
        <v>0.983</v>
      </c>
      <c r="G77" s="7">
        <v>46.8</v>
      </c>
      <c r="H77" s="7">
        <v>99.9835</v>
      </c>
      <c r="I77" s="6"/>
    </row>
    <row r="78" ht="15" customHeight="1" spans="1:9" x14ac:dyDescent="0.25">
      <c r="A78" s="6" t="s">
        <v>79</v>
      </c>
      <c r="B78" s="6" t="s">
        <v>1918</v>
      </c>
      <c r="C78" s="8">
        <v>6616</v>
      </c>
      <c r="D78" s="8">
        <v>8941</v>
      </c>
      <c r="E78" s="7">
        <v>1.351</v>
      </c>
      <c r="F78" s="7">
        <v>0.954</v>
      </c>
      <c r="G78" s="7">
        <v>47.3</v>
      </c>
      <c r="H78" s="7">
        <v>99.9851</v>
      </c>
      <c r="I78" s="6"/>
    </row>
    <row r="79" ht="15" customHeight="1" spans="1:9" x14ac:dyDescent="0.25">
      <c r="A79" s="6" t="s">
        <v>79</v>
      </c>
      <c r="B79" s="6" t="s">
        <v>1919</v>
      </c>
      <c r="C79" s="8">
        <v>6696</v>
      </c>
      <c r="D79" s="8">
        <v>9039</v>
      </c>
      <c r="E79" s="7">
        <v>1.35</v>
      </c>
      <c r="F79" s="7">
        <v>0.923</v>
      </c>
      <c r="G79" s="7">
        <v>47.8</v>
      </c>
      <c r="H79" s="7">
        <v>99.9724</v>
      </c>
      <c r="I79" s="6"/>
    </row>
    <row r="80" ht="15" customHeight="1" spans="1:9" x14ac:dyDescent="0.25">
      <c r="A80" s="6" t="s">
        <v>79</v>
      </c>
      <c r="B80" s="6" t="s">
        <v>1920</v>
      </c>
      <c r="C80" s="8">
        <v>6753</v>
      </c>
      <c r="D80" s="8">
        <v>8976</v>
      </c>
      <c r="E80" s="7">
        <v>1.329</v>
      </c>
      <c r="F80" s="7">
        <v>0.976</v>
      </c>
      <c r="G80" s="7">
        <v>48.2</v>
      </c>
      <c r="H80" s="7">
        <v>99.9933</v>
      </c>
      <c r="I80" s="6"/>
    </row>
    <row r="81" ht="15" customHeight="1" spans="1:9" x14ac:dyDescent="0.25">
      <c r="A81" s="6" t="s">
        <v>79</v>
      </c>
      <c r="B81" s="6" t="s">
        <v>1921</v>
      </c>
      <c r="C81" s="8">
        <v>6855</v>
      </c>
      <c r="D81" s="8">
        <v>9460</v>
      </c>
      <c r="E81" s="7">
        <v>1.38</v>
      </c>
      <c r="F81" s="7">
        <v>0.927</v>
      </c>
      <c r="G81" s="7">
        <v>49</v>
      </c>
      <c r="H81" s="7">
        <v>99.9873</v>
      </c>
      <c r="I81" s="6"/>
    </row>
    <row r="82" ht="15" customHeight="1" spans="1:9" x14ac:dyDescent="0.25">
      <c r="A82" s="6" t="s">
        <v>79</v>
      </c>
      <c r="B82" s="6" t="s">
        <v>1922</v>
      </c>
      <c r="C82" s="8">
        <v>6895</v>
      </c>
      <c r="D82" s="8">
        <v>9458</v>
      </c>
      <c r="E82" s="7">
        <v>1.372</v>
      </c>
      <c r="F82" s="7">
        <v>0.937</v>
      </c>
      <c r="G82" s="7">
        <v>49.3</v>
      </c>
      <c r="H82" s="7">
        <v>99.9926</v>
      </c>
      <c r="I82" s="6"/>
    </row>
    <row r="83" ht="15" customHeight="1" spans="1:9" x14ac:dyDescent="0.25">
      <c r="A83" s="6" t="s">
        <v>79</v>
      </c>
      <c r="B83" s="6" t="s">
        <v>1923</v>
      </c>
      <c r="C83" s="8">
        <v>6816</v>
      </c>
      <c r="D83" s="8">
        <v>9312</v>
      </c>
      <c r="E83" s="7">
        <v>1.366</v>
      </c>
      <c r="F83" s="7">
        <v>0.957</v>
      </c>
      <c r="G83" s="7">
        <v>48.7</v>
      </c>
      <c r="H83" s="7">
        <v>99.9721</v>
      </c>
      <c r="I83" s="6"/>
    </row>
    <row r="84" ht="15" customHeight="1" spans="1:9" x14ac:dyDescent="0.25">
      <c r="A84" s="6" t="s">
        <v>79</v>
      </c>
      <c r="B84" s="6" t="s">
        <v>1924</v>
      </c>
      <c r="C84" s="8">
        <v>6890</v>
      </c>
      <c r="D84" s="8">
        <v>9254</v>
      </c>
      <c r="E84" s="7">
        <v>1.343</v>
      </c>
      <c r="F84" s="7">
        <v>0.988</v>
      </c>
      <c r="G84" s="7">
        <v>49.2</v>
      </c>
      <c r="H84" s="7">
        <v>99.988</v>
      </c>
      <c r="I84" s="6"/>
    </row>
    <row r="85" ht="15" customHeight="1" spans="1:9" x14ac:dyDescent="0.25">
      <c r="A85" s="6" t="s">
        <v>79</v>
      </c>
      <c r="B85" s="6" t="s">
        <v>1925</v>
      </c>
      <c r="C85" s="8">
        <v>7025</v>
      </c>
      <c r="D85" s="8">
        <v>9358</v>
      </c>
      <c r="E85" s="7">
        <v>1.332</v>
      </c>
      <c r="F85" s="7">
        <v>0.926</v>
      </c>
      <c r="G85" s="7">
        <v>50.2</v>
      </c>
      <c r="H85" s="7">
        <v>99.9728</v>
      </c>
      <c r="I85" s="6"/>
    </row>
    <row r="86" ht="15" customHeight="1" spans="1:9" x14ac:dyDescent="0.25">
      <c r="A86" s="6" t="s">
        <v>79</v>
      </c>
      <c r="B86" s="6" t="s">
        <v>1926</v>
      </c>
      <c r="C86" s="8">
        <v>7129</v>
      </c>
      <c r="D86" s="8">
        <v>9478</v>
      </c>
      <c r="E86" s="7">
        <v>1.33</v>
      </c>
      <c r="F86" s="7">
        <v>0.949</v>
      </c>
      <c r="G86" s="7">
        <v>50.9</v>
      </c>
      <c r="H86" s="7">
        <v>99.9871</v>
      </c>
      <c r="I86" s="6"/>
    </row>
    <row r="87" ht="15" customHeight="1" spans="1:9" x14ac:dyDescent="0.25">
      <c r="A87" s="6" t="s">
        <v>79</v>
      </c>
      <c r="B87" s="6" t="s">
        <v>1927</v>
      </c>
      <c r="C87" s="8">
        <v>7091</v>
      </c>
      <c r="D87" s="8">
        <v>9515</v>
      </c>
      <c r="E87" s="7">
        <v>1.342</v>
      </c>
      <c r="F87" s="7">
        <v>0.964</v>
      </c>
      <c r="G87" s="7">
        <v>50.6</v>
      </c>
      <c r="H87" s="7">
        <v>99.9954</v>
      </c>
      <c r="I87" s="6"/>
    </row>
    <row r="88" ht="15" customHeight="1" spans="1:9" x14ac:dyDescent="0.25">
      <c r="A88" s="6" t="s">
        <v>79</v>
      </c>
      <c r="B88" s="6" t="s">
        <v>1928</v>
      </c>
      <c r="C88" s="8">
        <v>7107</v>
      </c>
      <c r="D88" s="8">
        <v>9444</v>
      </c>
      <c r="E88" s="7">
        <v>1.329</v>
      </c>
      <c r="F88" s="7">
        <v>0.943</v>
      </c>
      <c r="G88" s="7">
        <v>50.8</v>
      </c>
      <c r="H88" s="7">
        <v>99.9727</v>
      </c>
      <c r="I88" s="6"/>
    </row>
    <row r="89" ht="15" customHeight="1" spans="1:9" x14ac:dyDescent="0.25">
      <c r="A89" s="6" t="s">
        <v>79</v>
      </c>
      <c r="B89" s="6" t="s">
        <v>1481</v>
      </c>
      <c r="C89" s="8">
        <v>7218</v>
      </c>
      <c r="D89" s="8">
        <v>9608</v>
      </c>
      <c r="E89" s="7">
        <v>1.331</v>
      </c>
      <c r="F89" s="7">
        <v>0.912</v>
      </c>
      <c r="G89" s="7">
        <v>51.6</v>
      </c>
      <c r="H89" s="7">
        <v>99.9873</v>
      </c>
      <c r="I89" s="6"/>
    </row>
    <row r="90" ht="15" customHeight="1" spans="1:9" x14ac:dyDescent="0.25">
      <c r="A90" s="6" t="s">
        <v>79</v>
      </c>
      <c r="B90" s="6" t="s">
        <v>1482</v>
      </c>
      <c r="C90" s="8">
        <v>7197</v>
      </c>
      <c r="D90" s="8">
        <v>9590</v>
      </c>
      <c r="E90" s="7">
        <v>1.332</v>
      </c>
      <c r="F90" s="7">
        <v>0.962</v>
      </c>
      <c r="G90" s="7">
        <v>51.4</v>
      </c>
      <c r="H90" s="7">
        <v>99.9815</v>
      </c>
      <c r="I90" s="6"/>
    </row>
    <row r="91" ht="15" customHeight="1" spans="1:9" x14ac:dyDescent="0.25">
      <c r="A91" s="6" t="s">
        <v>79</v>
      </c>
      <c r="B91" s="6" t="s">
        <v>1483</v>
      </c>
      <c r="C91" s="8">
        <v>7315</v>
      </c>
      <c r="D91" s="8">
        <v>9811</v>
      </c>
      <c r="E91" s="7">
        <v>1.341</v>
      </c>
      <c r="F91" s="7">
        <v>0.93</v>
      </c>
      <c r="G91" s="7">
        <v>52.3</v>
      </c>
      <c r="H91" s="7">
        <v>99.9818</v>
      </c>
      <c r="I91" s="6"/>
    </row>
    <row r="92" ht="15" customHeight="1" spans="1:9" x14ac:dyDescent="0.25">
      <c r="A92" s="6" t="s">
        <v>79</v>
      </c>
      <c r="B92" s="6" t="s">
        <v>1484</v>
      </c>
      <c r="C92" s="8">
        <v>7365</v>
      </c>
      <c r="D92" s="8">
        <v>9810</v>
      </c>
      <c r="E92" s="7">
        <v>1.332</v>
      </c>
      <c r="F92" s="7">
        <v>0.967</v>
      </c>
      <c r="G92" s="7">
        <v>52.6</v>
      </c>
      <c r="H92" s="7">
        <v>99.9842</v>
      </c>
      <c r="I92" s="6"/>
    </row>
    <row r="93" ht="15" customHeight="1" spans="1:9" x14ac:dyDescent="0.25">
      <c r="A93" s="6" t="s">
        <v>79</v>
      </c>
      <c r="B93" s="6" t="s">
        <v>1485</v>
      </c>
      <c r="C93" s="8">
        <v>7386</v>
      </c>
      <c r="D93" s="8">
        <v>10219</v>
      </c>
      <c r="E93" s="7">
        <v>1.384</v>
      </c>
      <c r="F93" s="7">
        <v>0.924</v>
      </c>
      <c r="G93" s="7">
        <v>52.8</v>
      </c>
      <c r="H93" s="7">
        <v>99.9838</v>
      </c>
      <c r="I93" s="6"/>
    </row>
    <row r="94" ht="15" customHeight="1" spans="1:9" x14ac:dyDescent="0.25">
      <c r="A94" s="6" t="s">
        <v>79</v>
      </c>
      <c r="B94" s="6" t="s">
        <v>1486</v>
      </c>
      <c r="C94" s="8">
        <v>7607</v>
      </c>
      <c r="D94" s="8">
        <v>10439</v>
      </c>
      <c r="E94" s="7">
        <v>1.372</v>
      </c>
      <c r="F94" s="7">
        <v>0.934</v>
      </c>
      <c r="G94" s="7">
        <v>54.3</v>
      </c>
      <c r="H94" s="7">
        <v>99.9896</v>
      </c>
      <c r="I94" s="6"/>
    </row>
    <row r="95" ht="15" customHeight="1" spans="1:9" x14ac:dyDescent="0.25">
      <c r="A95" s="6" t="s">
        <v>79</v>
      </c>
      <c r="B95" s="6" t="s">
        <v>1487</v>
      </c>
      <c r="C95" s="8">
        <v>7626</v>
      </c>
      <c r="D95" s="8">
        <v>10451</v>
      </c>
      <c r="E95" s="7">
        <v>1.37</v>
      </c>
      <c r="F95" s="7">
        <v>0.912</v>
      </c>
      <c r="G95" s="7">
        <v>54.5</v>
      </c>
      <c r="H95" s="7">
        <v>99.9989</v>
      </c>
      <c r="I95" s="6"/>
    </row>
    <row r="96" ht="15" customHeight="1" spans="1:9" x14ac:dyDescent="0.25">
      <c r="A96" s="6" t="s">
        <v>79</v>
      </c>
      <c r="B96" s="6" t="s">
        <v>1488</v>
      </c>
      <c r="C96" s="8">
        <v>7628</v>
      </c>
      <c r="D96" s="8">
        <v>10194</v>
      </c>
      <c r="E96" s="7">
        <v>1.336</v>
      </c>
      <c r="F96" s="7">
        <v>0.911</v>
      </c>
      <c r="G96" s="7">
        <v>54.5</v>
      </c>
      <c r="H96" s="7">
        <v>99.9818</v>
      </c>
      <c r="I96" s="6"/>
    </row>
    <row r="97" ht="15" customHeight="1" spans="1:9" x14ac:dyDescent="0.25">
      <c r="A97" s="6" t="s">
        <v>79</v>
      </c>
      <c r="B97" s="6" t="s">
        <v>1489</v>
      </c>
      <c r="C97" s="8">
        <v>7622</v>
      </c>
      <c r="D97" s="8">
        <v>10195</v>
      </c>
      <c r="E97" s="7">
        <v>1.338</v>
      </c>
      <c r="F97" s="7">
        <v>0.982</v>
      </c>
      <c r="G97" s="7">
        <v>54.4</v>
      </c>
      <c r="H97" s="7">
        <v>99.9774</v>
      </c>
      <c r="I97" s="6"/>
    </row>
    <row r="98" ht="15" customHeight="1" spans="1:9" x14ac:dyDescent="0.25">
      <c r="A98" s="6" t="s">
        <v>85</v>
      </c>
      <c r="B98" s="6" t="s">
        <v>1914</v>
      </c>
      <c r="C98" s="8">
        <v>6271</v>
      </c>
      <c r="D98" s="8">
        <v>10540</v>
      </c>
      <c r="E98" s="7">
        <v>1.681</v>
      </c>
      <c r="F98" s="7">
        <v>1.988</v>
      </c>
      <c r="G98" s="7">
        <v>69.7</v>
      </c>
      <c r="H98" s="7">
        <v>99.9802</v>
      </c>
      <c r="I98" s="6"/>
    </row>
    <row r="99" ht="15" customHeight="1" spans="1:9" x14ac:dyDescent="0.25">
      <c r="A99" s="6" t="s">
        <v>85</v>
      </c>
      <c r="B99" s="6" t="s">
        <v>1915</v>
      </c>
      <c r="C99" s="8">
        <v>6262</v>
      </c>
      <c r="D99" s="8">
        <v>10562</v>
      </c>
      <c r="E99" s="7">
        <v>1.687</v>
      </c>
      <c r="F99" s="7">
        <v>1.981</v>
      </c>
      <c r="G99" s="7">
        <v>69.6</v>
      </c>
      <c r="H99" s="7">
        <v>99.9842</v>
      </c>
      <c r="I99" s="6"/>
    </row>
    <row r="100" ht="15" customHeight="1" spans="1:9" x14ac:dyDescent="0.25">
      <c r="A100" s="6" t="s">
        <v>85</v>
      </c>
      <c r="B100" s="6" t="s">
        <v>1916</v>
      </c>
      <c r="C100" s="8">
        <v>6206</v>
      </c>
      <c r="D100" s="8">
        <v>10500</v>
      </c>
      <c r="E100" s="7">
        <v>1.692</v>
      </c>
      <c r="F100" s="7">
        <v>1.967</v>
      </c>
      <c r="G100" s="7">
        <v>69</v>
      </c>
      <c r="H100" s="7">
        <v>99.9975</v>
      </c>
      <c r="I100" s="6"/>
    </row>
    <row r="101" ht="15" customHeight="1" spans="1:9" x14ac:dyDescent="0.25">
      <c r="A101" s="6" t="s">
        <v>85</v>
      </c>
      <c r="B101" s="6" t="s">
        <v>1917</v>
      </c>
      <c r="C101" s="8">
        <v>6389</v>
      </c>
      <c r="D101" s="8">
        <v>10672</v>
      </c>
      <c r="E101" s="7">
        <v>1.67</v>
      </c>
      <c r="F101" s="7">
        <v>1.924</v>
      </c>
      <c r="G101" s="7">
        <v>71</v>
      </c>
      <c r="H101" s="7">
        <v>99.994</v>
      </c>
      <c r="I101" s="6"/>
    </row>
    <row r="102" ht="15" customHeight="1" spans="1:9" x14ac:dyDescent="0.25">
      <c r="A102" s="6" t="s">
        <v>85</v>
      </c>
      <c r="B102" s="6" t="s">
        <v>1918</v>
      </c>
      <c r="C102" s="8">
        <v>6403</v>
      </c>
      <c r="D102" s="8">
        <v>10827</v>
      </c>
      <c r="E102" s="7">
        <v>1.691</v>
      </c>
      <c r="F102" s="7">
        <v>1.937</v>
      </c>
      <c r="G102" s="7">
        <v>71.1</v>
      </c>
      <c r="H102" s="7">
        <v>99.9948</v>
      </c>
      <c r="I102" s="6"/>
    </row>
    <row r="103" ht="15" customHeight="1" spans="1:9" x14ac:dyDescent="0.25">
      <c r="A103" s="6" t="s">
        <v>85</v>
      </c>
      <c r="B103" s="6" t="s">
        <v>1919</v>
      </c>
      <c r="C103" s="8">
        <v>6399</v>
      </c>
      <c r="D103" s="8">
        <v>10745</v>
      </c>
      <c r="E103" s="7">
        <v>1.679</v>
      </c>
      <c r="F103" s="7">
        <v>1.986</v>
      </c>
      <c r="G103" s="7">
        <v>71.1</v>
      </c>
      <c r="H103" s="7">
        <v>99.9718</v>
      </c>
      <c r="I103" s="6"/>
    </row>
    <row r="104" ht="15" customHeight="1" spans="1:9" x14ac:dyDescent="0.25">
      <c r="A104" s="6" t="s">
        <v>85</v>
      </c>
      <c r="B104" s="6" t="s">
        <v>1920</v>
      </c>
      <c r="C104" s="8">
        <v>6420</v>
      </c>
      <c r="D104" s="8">
        <v>10770</v>
      </c>
      <c r="E104" s="7">
        <v>1.677</v>
      </c>
      <c r="F104" s="7">
        <v>1.945</v>
      </c>
      <c r="G104" s="7">
        <v>71.3</v>
      </c>
      <c r="H104" s="7">
        <v>99.9786</v>
      </c>
      <c r="I104" s="6"/>
    </row>
    <row r="105" ht="15" customHeight="1" spans="1:9" x14ac:dyDescent="0.25">
      <c r="A105" s="6" t="s">
        <v>85</v>
      </c>
      <c r="B105" s="6" t="s">
        <v>1921</v>
      </c>
      <c r="C105" s="8">
        <v>6579</v>
      </c>
      <c r="D105" s="8">
        <v>11205</v>
      </c>
      <c r="E105" s="7">
        <v>1.703</v>
      </c>
      <c r="F105" s="7">
        <v>1.984</v>
      </c>
      <c r="G105" s="7">
        <v>73.1</v>
      </c>
      <c r="H105" s="7">
        <v>99.998</v>
      </c>
      <c r="I105" s="6"/>
    </row>
    <row r="106" ht="15" customHeight="1" spans="1:9" x14ac:dyDescent="0.25">
      <c r="A106" s="6" t="s">
        <v>85</v>
      </c>
      <c r="B106" s="6" t="s">
        <v>1922</v>
      </c>
      <c r="C106" s="8">
        <v>6704</v>
      </c>
      <c r="D106" s="8">
        <v>11418</v>
      </c>
      <c r="E106" s="7">
        <v>1.703</v>
      </c>
      <c r="F106" s="7">
        <v>1.939</v>
      </c>
      <c r="G106" s="7">
        <v>74.5</v>
      </c>
      <c r="H106" s="7">
        <v>99.9825</v>
      </c>
      <c r="I106" s="6"/>
    </row>
    <row r="107" ht="15" customHeight="1" spans="1:9" x14ac:dyDescent="0.25">
      <c r="A107" s="6" t="s">
        <v>85</v>
      </c>
      <c r="B107" s="6" t="s">
        <v>1923</v>
      </c>
      <c r="C107" s="8">
        <v>6702</v>
      </c>
      <c r="D107" s="8">
        <v>11476</v>
      </c>
      <c r="E107" s="7">
        <v>1.712</v>
      </c>
      <c r="F107" s="7">
        <v>1.986</v>
      </c>
      <c r="G107" s="7">
        <v>74.5</v>
      </c>
      <c r="H107" s="7">
        <v>99.9909</v>
      </c>
      <c r="I107" s="6"/>
    </row>
    <row r="108" ht="15" customHeight="1" spans="1:9" x14ac:dyDescent="0.25">
      <c r="A108" s="6" t="s">
        <v>85</v>
      </c>
      <c r="B108" s="6" t="s">
        <v>1924</v>
      </c>
      <c r="C108" s="8">
        <v>6737</v>
      </c>
      <c r="D108" s="8">
        <v>11326</v>
      </c>
      <c r="E108" s="7">
        <v>1.681</v>
      </c>
      <c r="F108" s="7">
        <v>1.952</v>
      </c>
      <c r="G108" s="7">
        <v>74.9</v>
      </c>
      <c r="H108" s="7">
        <v>99.9839</v>
      </c>
      <c r="I108" s="6"/>
    </row>
    <row r="109" ht="15" customHeight="1" spans="1:9" x14ac:dyDescent="0.25">
      <c r="A109" s="6" t="s">
        <v>85</v>
      </c>
      <c r="B109" s="6" t="s">
        <v>1925</v>
      </c>
      <c r="C109" s="8">
        <v>6780</v>
      </c>
      <c r="D109" s="8">
        <v>11396</v>
      </c>
      <c r="E109" s="7">
        <v>1.681</v>
      </c>
      <c r="F109" s="7">
        <v>1.923</v>
      </c>
      <c r="G109" s="7">
        <v>75.3</v>
      </c>
      <c r="H109" s="7">
        <v>99.9791</v>
      </c>
      <c r="I109" s="6"/>
    </row>
    <row r="110" ht="15" customHeight="1" spans="1:9" x14ac:dyDescent="0.25">
      <c r="A110" s="6" t="s">
        <v>85</v>
      </c>
      <c r="B110" s="6" t="s">
        <v>1926</v>
      </c>
      <c r="C110" s="8">
        <v>6928</v>
      </c>
      <c r="D110" s="8">
        <v>11676</v>
      </c>
      <c r="E110" s="7">
        <v>1.685</v>
      </c>
      <c r="F110" s="7">
        <v>1.955</v>
      </c>
      <c r="G110" s="7">
        <v>77</v>
      </c>
      <c r="H110" s="7">
        <v>99.9894</v>
      </c>
      <c r="I110" s="6"/>
    </row>
    <row r="111" ht="15" customHeight="1" spans="1:9" x14ac:dyDescent="0.25">
      <c r="A111" s="6" t="s">
        <v>85</v>
      </c>
      <c r="B111" s="6" t="s">
        <v>1927</v>
      </c>
      <c r="C111" s="8">
        <v>6934</v>
      </c>
      <c r="D111" s="8">
        <v>11724</v>
      </c>
      <c r="E111" s="7">
        <v>1.691</v>
      </c>
      <c r="F111" s="7">
        <v>1.967</v>
      </c>
      <c r="G111" s="7">
        <v>77</v>
      </c>
      <c r="H111" s="7">
        <v>99.9871</v>
      </c>
      <c r="I111" s="6"/>
    </row>
    <row r="112" ht="15" customHeight="1" spans="1:9" x14ac:dyDescent="0.25">
      <c r="A112" s="6" t="s">
        <v>85</v>
      </c>
      <c r="B112" s="6" t="s">
        <v>1928</v>
      </c>
      <c r="C112" s="8">
        <v>6916</v>
      </c>
      <c r="D112" s="8">
        <v>11599</v>
      </c>
      <c r="E112" s="7">
        <v>1.677</v>
      </c>
      <c r="F112" s="7">
        <v>1.918</v>
      </c>
      <c r="G112" s="7">
        <v>76.8</v>
      </c>
      <c r="H112" s="7">
        <v>99.9844</v>
      </c>
      <c r="I112" s="6"/>
    </row>
    <row r="113" ht="15" customHeight="1" spans="1:9" x14ac:dyDescent="0.25">
      <c r="A113" s="6" t="s">
        <v>85</v>
      </c>
      <c r="B113" s="6" t="s">
        <v>1481</v>
      </c>
      <c r="C113" s="8">
        <v>7111</v>
      </c>
      <c r="D113" s="8">
        <v>11869</v>
      </c>
      <c r="E113" s="7">
        <v>1.669</v>
      </c>
      <c r="F113" s="7">
        <v>1.926</v>
      </c>
      <c r="G113" s="7">
        <v>79</v>
      </c>
      <c r="H113" s="7">
        <v>99.9771</v>
      </c>
      <c r="I113" s="6"/>
    </row>
    <row r="114" ht="15" customHeight="1" spans="1:9" x14ac:dyDescent="0.25">
      <c r="A114" s="6" t="s">
        <v>85</v>
      </c>
      <c r="B114" s="6" t="s">
        <v>1482</v>
      </c>
      <c r="C114" s="8">
        <v>7094</v>
      </c>
      <c r="D114" s="8">
        <v>11990</v>
      </c>
      <c r="E114" s="7">
        <v>1.69</v>
      </c>
      <c r="F114" s="7">
        <v>1.963</v>
      </c>
      <c r="G114" s="7">
        <v>78.8</v>
      </c>
      <c r="H114" s="7">
        <v>99.9739</v>
      </c>
      <c r="I114" s="6"/>
    </row>
    <row r="115" ht="15" customHeight="1" spans="1:9" x14ac:dyDescent="0.25">
      <c r="A115" s="6" t="s">
        <v>85</v>
      </c>
      <c r="B115" s="6" t="s">
        <v>1483</v>
      </c>
      <c r="C115" s="8">
        <v>7059</v>
      </c>
      <c r="D115" s="8">
        <v>11846</v>
      </c>
      <c r="E115" s="7">
        <v>1.678</v>
      </c>
      <c r="F115" s="7">
        <v>1.987</v>
      </c>
      <c r="G115" s="7">
        <v>78.4</v>
      </c>
      <c r="H115" s="7">
        <v>99.9731</v>
      </c>
      <c r="I115" s="6"/>
    </row>
    <row r="116" ht="15" customHeight="1" spans="1:9" x14ac:dyDescent="0.25">
      <c r="A116" s="6" t="s">
        <v>85</v>
      </c>
      <c r="B116" s="6" t="s">
        <v>1484</v>
      </c>
      <c r="C116" s="8">
        <v>7097</v>
      </c>
      <c r="D116" s="8">
        <v>11926</v>
      </c>
      <c r="E116" s="7">
        <v>1.68</v>
      </c>
      <c r="F116" s="7">
        <v>1.934</v>
      </c>
      <c r="G116" s="7">
        <v>78.9</v>
      </c>
      <c r="H116" s="7">
        <v>99.9823</v>
      </c>
      <c r="I116" s="6"/>
    </row>
    <row r="117" ht="15" customHeight="1" spans="1:9" x14ac:dyDescent="0.25">
      <c r="A117" s="6" t="s">
        <v>85</v>
      </c>
      <c r="B117" s="6" t="s">
        <v>1485</v>
      </c>
      <c r="C117" s="8">
        <v>7201</v>
      </c>
      <c r="D117" s="8">
        <v>12427</v>
      </c>
      <c r="E117" s="7">
        <v>1.726</v>
      </c>
      <c r="F117" s="7">
        <v>1.978</v>
      </c>
      <c r="G117" s="7">
        <v>80</v>
      </c>
      <c r="H117" s="7">
        <v>99.9884</v>
      </c>
      <c r="I117" s="6"/>
    </row>
    <row r="118" ht="15" customHeight="1" spans="1:9" x14ac:dyDescent="0.25">
      <c r="A118" s="6" t="s">
        <v>85</v>
      </c>
      <c r="B118" s="6" t="s">
        <v>1486</v>
      </c>
      <c r="C118" s="8">
        <v>7239</v>
      </c>
      <c r="D118" s="8">
        <v>12480</v>
      </c>
      <c r="E118" s="7">
        <v>1.724</v>
      </c>
      <c r="F118" s="7">
        <v>1.936</v>
      </c>
      <c r="G118" s="7">
        <v>80.4</v>
      </c>
      <c r="H118" s="7">
        <v>99.9908</v>
      </c>
      <c r="I118" s="6"/>
    </row>
    <row r="119" ht="15" customHeight="1" spans="1:9" x14ac:dyDescent="0.25">
      <c r="A119" s="6" t="s">
        <v>85</v>
      </c>
      <c r="B119" s="6" t="s">
        <v>1487</v>
      </c>
      <c r="C119" s="8">
        <v>7256</v>
      </c>
      <c r="D119" s="8">
        <v>12472</v>
      </c>
      <c r="E119" s="7">
        <v>1.719</v>
      </c>
      <c r="F119" s="7">
        <v>1.942</v>
      </c>
      <c r="G119" s="7">
        <v>80.6</v>
      </c>
      <c r="H119" s="7">
        <v>99.9948</v>
      </c>
      <c r="I119" s="6"/>
    </row>
    <row r="120" ht="15" customHeight="1" spans="1:9" x14ac:dyDescent="0.25">
      <c r="A120" s="6" t="s">
        <v>85</v>
      </c>
      <c r="B120" s="6" t="s">
        <v>1488</v>
      </c>
      <c r="C120" s="8">
        <v>7388</v>
      </c>
      <c r="D120" s="8">
        <v>12332</v>
      </c>
      <c r="E120" s="7">
        <v>1.669</v>
      </c>
      <c r="F120" s="7">
        <v>1.96</v>
      </c>
      <c r="G120" s="7">
        <v>82.1</v>
      </c>
      <c r="H120" s="7">
        <v>99.9921</v>
      </c>
      <c r="I120" s="6"/>
    </row>
    <row r="121" ht="15" customHeight="1" spans="1:9" x14ac:dyDescent="0.25">
      <c r="A121" s="6" t="s">
        <v>85</v>
      </c>
      <c r="B121" s="6" t="s">
        <v>1489</v>
      </c>
      <c r="C121" s="8">
        <v>7488</v>
      </c>
      <c r="D121" s="8">
        <v>12513</v>
      </c>
      <c r="E121" s="7">
        <v>1.671</v>
      </c>
      <c r="F121" s="7">
        <v>1.957</v>
      </c>
      <c r="G121" s="7">
        <v>83.2</v>
      </c>
      <c r="H121" s="7">
        <v>99.987</v>
      </c>
      <c r="I121" s="6"/>
    </row>
    <row r="123" ht="15" customHeight="1" spans="1:2" x14ac:dyDescent="0.25">
      <c r="A123" s="9" t="s">
        <v>1930</v>
      </c>
    </row>
    <row r="124" ht="15" customHeight="1" spans="1:2" x14ac:dyDescent="0.25">
      <c r="A124" s="9" t="s">
        <v>1931</v>
      </c>
    </row>
    <row r="125" ht="15" customHeight="1" spans="1:2" x14ac:dyDescent="0.25">
      <c r="A125" s="9" t="s">
        <v>1932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2187</v>
      </c>
    </row>
    <row r="3" ht="15" customHeight="1" spans="1:4" x14ac:dyDescent="0.25">
      <c r="A3" s="11" t="s">
        <v>2188</v>
      </c>
      <c r="B3" s="11" t="s">
        <v>2189</v>
      </c>
      <c r="C3" s="11" t="s">
        <v>2190</v>
      </c>
      <c r="D3" s="11" t="s">
        <v>50</v>
      </c>
    </row>
    <row r="4" ht="15" customHeight="1" spans="1:4" x14ac:dyDescent="0.25">
      <c r="A4" s="6" t="s">
        <v>2191</v>
      </c>
      <c r="B4" s="6">
        <f>SUMIFS(03_rows!O2:O25,03_rows!Q2:Q25,"structural")</f>
        <v>640</v>
      </c>
      <c r="C4" s="6">
        <v>640</v>
      </c>
      <c r="D4" s="12" t="str">
        <f>IF(ABS(B4-C4)&lt;0.5,"PASS","FAIL")</f>
        <v>PASS</v>
      </c>
    </row>
    <row r="5" ht="15" customHeight="1" spans="1:4" x14ac:dyDescent="0.25">
      <c r="A5" s="6" t="s">
        <v>2192</v>
      </c>
      <c r="B5" s="6">
        <f>SUMIFS(03_rows!O2:O25,03_rows!Q2:Q25,"planned headroom")</f>
        <v>480</v>
      </c>
      <c r="C5" s="6">
        <v>480</v>
      </c>
      <c r="D5" s="12" t="str">
        <f>IF(ABS(B5-C5)&lt;0.5,"PASS","FAIL")</f>
        <v>PASS</v>
      </c>
    </row>
    <row r="6" ht="15" customHeight="1" spans="1:4" x14ac:dyDescent="0.25">
      <c r="A6" s="6" t="s">
        <v>2193</v>
      </c>
      <c r="B6" s="6">
        <f>SUM(03_rows!H2:H25)</f>
        <v>6800</v>
      </c>
      <c r="C6" s="6">
        <v>6800</v>
      </c>
      <c r="D6" s="12" t="str">
        <f>IF(ABS(B6-C6)&lt;0.5,"PASS","FAIL")</f>
        <v>PASS</v>
      </c>
    </row>
    <row r="7" ht="15" customHeight="1" spans="1:4" x14ac:dyDescent="0.25">
      <c r="A7" s="6" t="s">
        <v>2194</v>
      </c>
      <c r="B7" s="6">
        <f>SUMIFS(03_rows!G2:G25,03_rows!B2:B25,"MUM-1-H4")</f>
        <v>34</v>
      </c>
      <c r="C7" s="6">
        <v>34</v>
      </c>
      <c r="D7" s="12" t="str">
        <f>IF(ABS(B7-C7)&lt;0.5,"PASS","FAIL")</f>
        <v>PASS</v>
      </c>
    </row>
    <row r="8" ht="15" customHeight="1" spans="1:4" x14ac:dyDescent="0.25">
      <c r="A8" s="6" t="s">
        <v>2195</v>
      </c>
      <c r="B8" s="6">
        <f>SUMIFS(03_rows!I2:I25,03_rows!B2:B25,"MUM-1-H4")-SUMIFS(03_rows!H2:H25,03_rows!B2:B25,"MUM-1-H4")</f>
        <v>1320</v>
      </c>
      <c r="C8" s="6">
        <v>1320</v>
      </c>
      <c r="D8" s="12" t="str">
        <f>IF(ABS(B8-C8)&lt;0.5,"PASS","FAIL")</f>
        <v>PASS</v>
      </c>
    </row>
    <row r="9" ht="15" customHeight="1" spans="1:4" x14ac:dyDescent="0.25">
      <c r="A9" s="6" t="s">
        <v>2196</v>
      </c>
      <c r="B9" s="6">
        <f>SUMIFS(03_rows!J2:J25,03_rows!B2:B25,"MUM-1-H4")-SUMIFS(03_rows!H2:H25,03_rows!B2:B25,"MUM-1-H4")</f>
        <v>840</v>
      </c>
      <c r="C9" s="6">
        <v>840</v>
      </c>
      <c r="D9" s="12" t="str">
        <f>IF(ABS(B9-C9)&lt;0.5,"PASS","FAIL")</f>
        <v>PASS</v>
      </c>
    </row>
    <row r="10" ht="15" customHeight="1" spans="1:4" x14ac:dyDescent="0.25">
      <c r="A10" s="6" t="s">
        <v>2197</v>
      </c>
      <c r="B10" s="6">
        <f>COUNTIFS(07_cascade_result!K2:K13,"exceeded")</f>
        <v>5</v>
      </c>
      <c r="C10" s="6">
        <v>5</v>
      </c>
      <c r="D10" s="12" t="str">
        <f>IF(ABS(B10-C10)&lt;0.5,"PASS","FAIL")</f>
        <v>PASS</v>
      </c>
    </row>
    <row r="11" ht="15" customHeight="1" spans="1:4" x14ac:dyDescent="0.25">
      <c r="A11" s="6" t="s">
        <v>2198</v>
      </c>
      <c r="B11" s="6">
        <f>COUNTIFS(07_cascade_result!K2:K13,"redundancy_lost")</f>
        <v>2</v>
      </c>
      <c r="C11" s="6">
        <v>2</v>
      </c>
      <c r="D11" s="12" t="str">
        <f>IF(ABS(B11-C11)&lt;0.5,"PASS","FAIL")</f>
        <v>PASS</v>
      </c>
    </row>
    <row r="12" ht="15" customHeight="1" spans="1:4" x14ac:dyDescent="0.25">
      <c r="A12" s="6" t="s">
        <v>2199</v>
      </c>
      <c r="B12" s="6">
        <f>SUM(06_upgrade_options!D2:D7)</f>
        <v>250</v>
      </c>
      <c r="C12" s="6">
        <v>250</v>
      </c>
      <c r="D12" s="12" t="str">
        <f>IF(ABS(B12-C12)&lt;0.5,"PASS","FAIL")</f>
        <v>PASS</v>
      </c>
    </row>
    <row r="13" ht="15" customHeight="1" spans="1:4" x14ac:dyDescent="0.25">
      <c r="A13" s="6" t="s">
        <v>2200</v>
      </c>
      <c r="B13" s="6">
        <f>MAX(06_upgrade_options!E2:E7)</f>
        <v>16</v>
      </c>
      <c r="C13" s="6">
        <v>16</v>
      </c>
      <c r="D13" s="12" t="str">
        <f>IF(ABS(B13-C13)&lt;0.5,"PASS","FAIL")</f>
        <v>PASS</v>
      </c>
    </row>
    <row r="14" ht="15" customHeight="1" spans="1:4" x14ac:dyDescent="0.25">
      <c r="A14" s="6" t="s">
        <v>2201</v>
      </c>
      <c r="B14" s="6">
        <f>SUM(01_facilities!J2:J7)</f>
        <v>67000</v>
      </c>
      <c r="C14" s="6">
        <v>67000</v>
      </c>
      <c r="D14" s="12" t="str">
        <f>IF(ABS(B14-C14)&lt;0.5,"PASS","FAIL")</f>
        <v>PASS</v>
      </c>
    </row>
    <row r="15" ht="15" customHeight="1" spans="1:4" x14ac:dyDescent="0.25">
      <c r="A15" s="6" t="s">
        <v>2202</v>
      </c>
      <c r="B15" s="6">
        <f>COUNTA(04_racks!A2:A481)</f>
        <v>480</v>
      </c>
      <c r="C15" s="6">
        <v>480</v>
      </c>
      <c r="D15" s="12" t="str">
        <f>IF(ABS(B15-C15)&lt;0.5,"PASS","FAIL")</f>
        <v>PASS</v>
      </c>
    </row>
    <row r="16" ht="15" customHeight="1" spans="1:4" x14ac:dyDescent="0.25">
      <c r="A16" s="6" t="s">
        <v>2203</v>
      </c>
      <c r="B16" s="6">
        <f>ROUND(SUM(04_racks!N2:N481),0)</f>
        <v>6800</v>
      </c>
      <c r="C16" s="6">
        <v>6800</v>
      </c>
      <c r="D16" s="12" t="str">
        <f>IF(ABS(B16-C16)&lt;0.5,"PASS","FAIL")</f>
        <v>PASS</v>
      </c>
    </row>
    <row r="17" ht="15" customHeight="1" spans="1:4" x14ac:dyDescent="0.25">
      <c r="A17" s="6" t="s">
        <v>2204</v>
      </c>
      <c r="B17" s="6">
        <f>COUNTIFS(04_racks!O2:O481,"occupied")</f>
        <v>366</v>
      </c>
      <c r="C17" s="6">
        <v>366</v>
      </c>
      <c r="D17" s="12" t="str">
        <f>IF(ABS(B17-C17)&lt;0.5,"PASS","FAIL")</f>
        <v>PASS</v>
      </c>
    </row>
    <row r="18" ht="15" customHeight="1" spans="1:4" x14ac:dyDescent="0.25">
      <c r="A18" s="6" t="s">
        <v>2205</v>
      </c>
      <c r="B18" s="6">
        <f>COUNTIFS(04_racks!C2:C481,"MUM-1-H4",04_racks!O2:O481,"free")</f>
        <v>34</v>
      </c>
      <c r="C18" s="6">
        <v>34</v>
      </c>
      <c r="D18" s="12" t="str">
        <f>IF(ABS(B18-C18)&lt;0.5,"PASS","FAIL")</f>
        <v>PASS</v>
      </c>
    </row>
    <row r="19" ht="15" customHeight="1" spans="1:4" x14ac:dyDescent="0.25">
      <c r="A19" s="6" t="s">
        <v>2206</v>
      </c>
      <c r="B19" s="6">
        <f>COUNTIFS(04_racks!O2:O481,"blocked")</f>
        <v>1</v>
      </c>
      <c r="C19" s="6">
        <v>1</v>
      </c>
      <c r="D19" s="12" t="str">
        <f>IF(ABS(B19-C19)&lt;0.5,"PASS","FAIL")</f>
        <v>PASS</v>
      </c>
    </row>
    <row r="20" ht="15" customHeight="1" spans="1:4" x14ac:dyDescent="0.25">
      <c r="A20" s="6" t="s">
        <v>2207</v>
      </c>
      <c r="B20" s="6">
        <f>COUNTA(04b_component_positions!A2:A149)</f>
        <v>148</v>
      </c>
      <c r="C20" s="6">
        <v>148</v>
      </c>
      <c r="D20" s="12" t="str">
        <f>IF(ABS(B20-C20)&lt;0.5,"PASS","FAIL")</f>
        <v>PASS</v>
      </c>
    </row>
    <row r="22" ht="15" customHeight="1" spans="1:1" x14ac:dyDescent="0.25">
      <c r="A22" s="9" t="s">
        <v>2208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12" customWidth="1"/>
    <col min="5" max="5" width="44" customWidth="1"/>
    <col min="6" max="6" width="6" customWidth="1"/>
    <col min="7" max="7" width="72" customWidth="1"/>
    <col min="8" max="8" width="18" customWidth="1"/>
    <col min="9" max="9" width="11" customWidth="1"/>
  </cols>
  <sheetData>
    <row r="1" spans="1:9" x14ac:dyDescent="0.25">
      <c r="A1" s="5" t="s">
        <v>1933</v>
      </c>
      <c r="B1" s="5" t="s">
        <v>789</v>
      </c>
      <c r="C1" s="5" t="s">
        <v>1934</v>
      </c>
      <c r="D1" s="5" t="s">
        <v>1935</v>
      </c>
      <c r="E1" s="5" t="s">
        <v>1936</v>
      </c>
      <c r="F1" s="5" t="s">
        <v>1937</v>
      </c>
      <c r="G1" s="5" t="s">
        <v>1576</v>
      </c>
      <c r="H1" s="5" t="s">
        <v>1830</v>
      </c>
      <c r="I1" s="5" t="s">
        <v>1938</v>
      </c>
    </row>
    <row r="2" spans="1:9" x14ac:dyDescent="0.25">
      <c r="A2" s="6" t="s">
        <v>1939</v>
      </c>
      <c r="B2" s="6" t="s">
        <v>831</v>
      </c>
      <c r="C2" s="6" t="s">
        <v>1940</v>
      </c>
      <c r="D2" s="6" t="s">
        <v>1941</v>
      </c>
      <c r="E2" s="6" t="s">
        <v>1942</v>
      </c>
      <c r="F2" s="8">
        <v>1</v>
      </c>
      <c r="G2" s="6" t="s">
        <v>1943</v>
      </c>
      <c r="H2" s="6" t="s">
        <v>1842</v>
      </c>
      <c r="I2" s="8">
        <v>30</v>
      </c>
    </row>
    <row r="3" spans="1:9" x14ac:dyDescent="0.25">
      <c r="A3" s="6" t="s">
        <v>1939</v>
      </c>
      <c r="B3" s="6" t="s">
        <v>831</v>
      </c>
      <c r="C3" s="6" t="s">
        <v>1940</v>
      </c>
      <c r="D3" s="6" t="s">
        <v>1941</v>
      </c>
      <c r="E3" s="6" t="s">
        <v>1942</v>
      </c>
      <c r="F3" s="8">
        <v>2</v>
      </c>
      <c r="G3" s="6" t="s">
        <v>1944</v>
      </c>
      <c r="H3" s="6" t="s">
        <v>1842</v>
      </c>
      <c r="I3" s="8">
        <v>60</v>
      </c>
    </row>
    <row r="4" spans="1:9" x14ac:dyDescent="0.25">
      <c r="A4" s="6" t="s">
        <v>1939</v>
      </c>
      <c r="B4" s="6" t="s">
        <v>831</v>
      </c>
      <c r="C4" s="6" t="s">
        <v>1940</v>
      </c>
      <c r="D4" s="6" t="s">
        <v>1941</v>
      </c>
      <c r="E4" s="6" t="s">
        <v>1942</v>
      </c>
      <c r="F4" s="8">
        <v>3</v>
      </c>
      <c r="G4" s="6" t="s">
        <v>1945</v>
      </c>
      <c r="H4" s="6" t="s">
        <v>1871</v>
      </c>
      <c r="I4" s="8">
        <v>120</v>
      </c>
    </row>
    <row r="5" spans="1:9" x14ac:dyDescent="0.25">
      <c r="A5" s="6" t="s">
        <v>1939</v>
      </c>
      <c r="B5" s="6" t="s">
        <v>831</v>
      </c>
      <c r="C5" s="6" t="s">
        <v>1940</v>
      </c>
      <c r="D5" s="6" t="s">
        <v>1941</v>
      </c>
      <c r="E5" s="6" t="s">
        <v>1942</v>
      </c>
      <c r="F5" s="8">
        <v>4</v>
      </c>
      <c r="G5" s="6" t="s">
        <v>1946</v>
      </c>
      <c r="H5" s="6" t="s">
        <v>8</v>
      </c>
      <c r="I5" s="8">
        <v>240</v>
      </c>
    </row>
    <row r="6" spans="1:9" x14ac:dyDescent="0.25">
      <c r="A6" s="6" t="s">
        <v>1939</v>
      </c>
      <c r="B6" s="6" t="s">
        <v>831</v>
      </c>
      <c r="C6" s="6" t="s">
        <v>1940</v>
      </c>
      <c r="D6" s="6" t="s">
        <v>1941</v>
      </c>
      <c r="E6" s="6" t="s">
        <v>1942</v>
      </c>
      <c r="F6" s="8">
        <v>5</v>
      </c>
      <c r="G6" s="6" t="s">
        <v>1947</v>
      </c>
      <c r="H6" s="6" t="s">
        <v>1842</v>
      </c>
      <c r="I6" s="8">
        <v>1440</v>
      </c>
    </row>
    <row r="7" spans="1:9" x14ac:dyDescent="0.25">
      <c r="A7" s="6" t="s">
        <v>1948</v>
      </c>
      <c r="B7" s="6" t="s">
        <v>988</v>
      </c>
      <c r="C7" s="6" t="s">
        <v>1949</v>
      </c>
      <c r="D7" s="6" t="s">
        <v>1941</v>
      </c>
      <c r="E7" s="6" t="s">
        <v>1950</v>
      </c>
      <c r="F7" s="8">
        <v>1</v>
      </c>
      <c r="G7" s="6" t="s">
        <v>1951</v>
      </c>
      <c r="H7" s="6" t="s">
        <v>8</v>
      </c>
      <c r="I7" s="8">
        <v>15</v>
      </c>
    </row>
    <row r="8" spans="1:9" x14ac:dyDescent="0.25">
      <c r="A8" s="6" t="s">
        <v>1948</v>
      </c>
      <c r="B8" s="6" t="s">
        <v>988</v>
      </c>
      <c r="C8" s="6" t="s">
        <v>1949</v>
      </c>
      <c r="D8" s="6" t="s">
        <v>1941</v>
      </c>
      <c r="E8" s="6" t="s">
        <v>1950</v>
      </c>
      <c r="F8" s="8">
        <v>2</v>
      </c>
      <c r="G8" s="6" t="s">
        <v>1952</v>
      </c>
      <c r="H8" s="6" t="s">
        <v>8</v>
      </c>
      <c r="I8" s="8">
        <v>30</v>
      </c>
    </row>
    <row r="9" spans="1:9" x14ac:dyDescent="0.25">
      <c r="A9" s="6" t="s">
        <v>1948</v>
      </c>
      <c r="B9" s="6" t="s">
        <v>988</v>
      </c>
      <c r="C9" s="6" t="s">
        <v>1949</v>
      </c>
      <c r="D9" s="6" t="s">
        <v>1941</v>
      </c>
      <c r="E9" s="6" t="s">
        <v>1950</v>
      </c>
      <c r="F9" s="8">
        <v>3</v>
      </c>
      <c r="G9" s="6" t="s">
        <v>1953</v>
      </c>
      <c r="H9" s="6" t="s">
        <v>8</v>
      </c>
      <c r="I9" s="8">
        <v>180</v>
      </c>
    </row>
    <row r="10" spans="1:9" x14ac:dyDescent="0.25">
      <c r="A10" s="6" t="s">
        <v>1948</v>
      </c>
      <c r="B10" s="6" t="s">
        <v>988</v>
      </c>
      <c r="C10" s="6" t="s">
        <v>1949</v>
      </c>
      <c r="D10" s="6" t="s">
        <v>1941</v>
      </c>
      <c r="E10" s="6" t="s">
        <v>1950</v>
      </c>
      <c r="F10" s="8">
        <v>4</v>
      </c>
      <c r="G10" s="6" t="s">
        <v>1954</v>
      </c>
      <c r="H10" s="6" t="s">
        <v>1880</v>
      </c>
      <c r="I10" s="8">
        <v>1440</v>
      </c>
    </row>
    <row r="11" spans="1:9" x14ac:dyDescent="0.25">
      <c r="A11" s="6" t="s">
        <v>1955</v>
      </c>
      <c r="B11" s="6" t="s">
        <v>988</v>
      </c>
      <c r="C11" s="6" t="s">
        <v>1956</v>
      </c>
      <c r="D11" s="6" t="s">
        <v>1957</v>
      </c>
      <c r="E11" s="6" t="s">
        <v>1958</v>
      </c>
      <c r="F11" s="8">
        <v>1</v>
      </c>
      <c r="G11" s="6" t="s">
        <v>1959</v>
      </c>
      <c r="H11" s="6" t="s">
        <v>8</v>
      </c>
      <c r="I11" s="8">
        <v>1440</v>
      </c>
    </row>
    <row r="12" spans="1:9" x14ac:dyDescent="0.25">
      <c r="A12" s="6" t="s">
        <v>1955</v>
      </c>
      <c r="B12" s="6" t="s">
        <v>988</v>
      </c>
      <c r="C12" s="6" t="s">
        <v>1956</v>
      </c>
      <c r="D12" s="6" t="s">
        <v>1957</v>
      </c>
      <c r="E12" s="6" t="s">
        <v>1958</v>
      </c>
      <c r="F12" s="8">
        <v>2</v>
      </c>
      <c r="G12" s="6" t="s">
        <v>1960</v>
      </c>
      <c r="H12" s="6" t="s">
        <v>8</v>
      </c>
      <c r="I12" s="8">
        <v>2880</v>
      </c>
    </row>
    <row r="13" spans="1:9" x14ac:dyDescent="0.25">
      <c r="A13" s="6" t="s">
        <v>1961</v>
      </c>
      <c r="B13" s="6" t="s">
        <v>977</v>
      </c>
      <c r="C13" s="6" t="s">
        <v>1962</v>
      </c>
      <c r="D13" s="6" t="s">
        <v>1941</v>
      </c>
      <c r="E13" s="6" t="s">
        <v>1963</v>
      </c>
      <c r="F13" s="8">
        <v>1</v>
      </c>
      <c r="G13" s="6" t="s">
        <v>1964</v>
      </c>
      <c r="H13" s="6" t="s">
        <v>8</v>
      </c>
      <c r="I13" s="8">
        <v>15</v>
      </c>
    </row>
    <row r="14" spans="1:9" x14ac:dyDescent="0.25">
      <c r="A14" s="6" t="s">
        <v>1961</v>
      </c>
      <c r="B14" s="6" t="s">
        <v>977</v>
      </c>
      <c r="C14" s="6" t="s">
        <v>1962</v>
      </c>
      <c r="D14" s="6" t="s">
        <v>1941</v>
      </c>
      <c r="E14" s="6" t="s">
        <v>1963</v>
      </c>
      <c r="F14" s="8">
        <v>2</v>
      </c>
      <c r="G14" s="6" t="s">
        <v>1965</v>
      </c>
      <c r="H14" s="6" t="s">
        <v>8</v>
      </c>
      <c r="I14" s="8">
        <v>30</v>
      </c>
    </row>
    <row r="15" spans="1:9" x14ac:dyDescent="0.25">
      <c r="A15" s="6" t="s">
        <v>1961</v>
      </c>
      <c r="B15" s="6" t="s">
        <v>977</v>
      </c>
      <c r="C15" s="6" t="s">
        <v>1962</v>
      </c>
      <c r="D15" s="6" t="s">
        <v>1941</v>
      </c>
      <c r="E15" s="6" t="s">
        <v>1963</v>
      </c>
      <c r="F15" s="8">
        <v>3</v>
      </c>
      <c r="G15" s="6" t="s">
        <v>1966</v>
      </c>
      <c r="H15" s="6" t="s">
        <v>8</v>
      </c>
      <c r="I15" s="8">
        <v>1440</v>
      </c>
    </row>
    <row r="16" spans="1:9" x14ac:dyDescent="0.25">
      <c r="A16" s="6" t="s">
        <v>1961</v>
      </c>
      <c r="B16" s="6" t="s">
        <v>977</v>
      </c>
      <c r="C16" s="6" t="s">
        <v>1962</v>
      </c>
      <c r="D16" s="6" t="s">
        <v>1941</v>
      </c>
      <c r="E16" s="6" t="s">
        <v>1963</v>
      </c>
      <c r="F16" s="8">
        <v>4</v>
      </c>
      <c r="G16" s="6" t="s">
        <v>1967</v>
      </c>
      <c r="H16" s="6" t="s">
        <v>8</v>
      </c>
      <c r="I16" s="8">
        <v>4320</v>
      </c>
    </row>
    <row r="17" spans="1:9" x14ac:dyDescent="0.25">
      <c r="A17" s="6" t="s">
        <v>1968</v>
      </c>
      <c r="B17" s="6" t="s">
        <v>977</v>
      </c>
      <c r="C17" s="6" t="s">
        <v>1969</v>
      </c>
      <c r="D17" s="6" t="s">
        <v>1957</v>
      </c>
      <c r="E17" s="6" t="s">
        <v>1970</v>
      </c>
      <c r="F17" s="8">
        <v>1</v>
      </c>
      <c r="G17" s="6" t="s">
        <v>1971</v>
      </c>
      <c r="H17" s="6" t="s">
        <v>8</v>
      </c>
      <c r="I17" s="8">
        <v>240</v>
      </c>
    </row>
    <row r="18" spans="1:9" x14ac:dyDescent="0.25">
      <c r="A18" s="6" t="s">
        <v>1968</v>
      </c>
      <c r="B18" s="6" t="s">
        <v>977</v>
      </c>
      <c r="C18" s="6" t="s">
        <v>1969</v>
      </c>
      <c r="D18" s="6" t="s">
        <v>1957</v>
      </c>
      <c r="E18" s="6" t="s">
        <v>1970</v>
      </c>
      <c r="F18" s="8">
        <v>2</v>
      </c>
      <c r="G18" s="6" t="s">
        <v>1972</v>
      </c>
      <c r="H18" s="6" t="s">
        <v>8</v>
      </c>
      <c r="I18" s="8">
        <v>480</v>
      </c>
    </row>
    <row r="19" spans="1:9" x14ac:dyDescent="0.25">
      <c r="A19" s="6" t="s">
        <v>1968</v>
      </c>
      <c r="B19" s="6" t="s">
        <v>977</v>
      </c>
      <c r="C19" s="6" t="s">
        <v>1969</v>
      </c>
      <c r="D19" s="6" t="s">
        <v>1957</v>
      </c>
      <c r="E19" s="6" t="s">
        <v>1970</v>
      </c>
      <c r="F19" s="8">
        <v>3</v>
      </c>
      <c r="G19" s="6" t="s">
        <v>1973</v>
      </c>
      <c r="H19" s="6" t="s">
        <v>8</v>
      </c>
      <c r="I19" s="8">
        <v>10080</v>
      </c>
    </row>
    <row r="20" spans="1:9" x14ac:dyDescent="0.25">
      <c r="A20" s="6" t="s">
        <v>1968</v>
      </c>
      <c r="B20" s="6" t="s">
        <v>977</v>
      </c>
      <c r="C20" s="6" t="s">
        <v>1969</v>
      </c>
      <c r="D20" s="6" t="s">
        <v>1957</v>
      </c>
      <c r="E20" s="6" t="s">
        <v>1970</v>
      </c>
      <c r="F20" s="8">
        <v>4</v>
      </c>
      <c r="G20" s="6" t="s">
        <v>1974</v>
      </c>
      <c r="H20" s="6" t="s">
        <v>1885</v>
      </c>
      <c r="I20" s="8">
        <v>10080</v>
      </c>
    </row>
    <row r="21" spans="1:9" x14ac:dyDescent="0.25">
      <c r="A21" s="6" t="s">
        <v>1975</v>
      </c>
      <c r="B21" s="6" t="s">
        <v>970</v>
      </c>
      <c r="C21" s="6" t="s">
        <v>1976</v>
      </c>
      <c r="D21" s="6" t="s">
        <v>1941</v>
      </c>
      <c r="E21" s="6" t="s">
        <v>1977</v>
      </c>
      <c r="F21" s="8">
        <v>1</v>
      </c>
      <c r="G21" s="6" t="s">
        <v>1978</v>
      </c>
      <c r="H21" s="6" t="s">
        <v>8</v>
      </c>
      <c r="I21" s="8">
        <v>30</v>
      </c>
    </row>
    <row r="22" spans="1:9" x14ac:dyDescent="0.25">
      <c r="A22" s="6" t="s">
        <v>1975</v>
      </c>
      <c r="B22" s="6" t="s">
        <v>970</v>
      </c>
      <c r="C22" s="6" t="s">
        <v>1976</v>
      </c>
      <c r="D22" s="6" t="s">
        <v>1941</v>
      </c>
      <c r="E22" s="6" t="s">
        <v>1977</v>
      </c>
      <c r="F22" s="8">
        <v>2</v>
      </c>
      <c r="G22" s="6" t="s">
        <v>1979</v>
      </c>
      <c r="H22" s="6" t="s">
        <v>8</v>
      </c>
      <c r="I22" s="8">
        <v>240</v>
      </c>
    </row>
    <row r="23" spans="1:9" x14ac:dyDescent="0.25">
      <c r="A23" s="6" t="s">
        <v>1975</v>
      </c>
      <c r="B23" s="6" t="s">
        <v>970</v>
      </c>
      <c r="C23" s="6" t="s">
        <v>1976</v>
      </c>
      <c r="D23" s="6" t="s">
        <v>1941</v>
      </c>
      <c r="E23" s="6" t="s">
        <v>1977</v>
      </c>
      <c r="F23" s="8">
        <v>3</v>
      </c>
      <c r="G23" s="6" t="s">
        <v>1980</v>
      </c>
      <c r="H23" s="6" t="s">
        <v>8</v>
      </c>
      <c r="I23" s="8">
        <v>480</v>
      </c>
    </row>
    <row r="24" spans="1:9" x14ac:dyDescent="0.25">
      <c r="A24" s="6" t="s">
        <v>1981</v>
      </c>
      <c r="B24" s="6" t="s">
        <v>970</v>
      </c>
      <c r="C24" s="6" t="s">
        <v>1982</v>
      </c>
      <c r="D24" s="6" t="s">
        <v>1983</v>
      </c>
      <c r="E24" s="6" t="s">
        <v>1984</v>
      </c>
      <c r="F24" s="8">
        <v>1</v>
      </c>
      <c r="G24" s="6" t="s">
        <v>1985</v>
      </c>
      <c r="H24" s="6" t="s">
        <v>1885</v>
      </c>
      <c r="I24" s="8">
        <v>240</v>
      </c>
    </row>
    <row r="25" spans="1:9" x14ac:dyDescent="0.25">
      <c r="A25" s="6" t="s">
        <v>1981</v>
      </c>
      <c r="B25" s="6" t="s">
        <v>970</v>
      </c>
      <c r="C25" s="6" t="s">
        <v>1982</v>
      </c>
      <c r="D25" s="6" t="s">
        <v>1983</v>
      </c>
      <c r="E25" s="6" t="s">
        <v>1984</v>
      </c>
      <c r="F25" s="8">
        <v>2</v>
      </c>
      <c r="G25" s="6" t="s">
        <v>1980</v>
      </c>
      <c r="H25" s="6" t="s">
        <v>8</v>
      </c>
      <c r="I25" s="8">
        <v>480</v>
      </c>
    </row>
    <row r="26" spans="1:9" x14ac:dyDescent="0.25">
      <c r="A26" s="6" t="s">
        <v>1981</v>
      </c>
      <c r="B26" s="6" t="s">
        <v>970</v>
      </c>
      <c r="C26" s="6" t="s">
        <v>1982</v>
      </c>
      <c r="D26" s="6" t="s">
        <v>1983</v>
      </c>
      <c r="E26" s="6" t="s">
        <v>1984</v>
      </c>
      <c r="F26" s="8">
        <v>3</v>
      </c>
      <c r="G26" s="6" t="s">
        <v>1986</v>
      </c>
      <c r="H26" s="6" t="s">
        <v>1885</v>
      </c>
      <c r="I26" s="8">
        <v>4320</v>
      </c>
    </row>
    <row r="27" spans="1:9" x14ac:dyDescent="0.25">
      <c r="A27" s="6" t="s">
        <v>1987</v>
      </c>
      <c r="B27" s="6" t="s">
        <v>982</v>
      </c>
      <c r="C27" s="6" t="s">
        <v>1988</v>
      </c>
      <c r="D27" s="6" t="s">
        <v>1957</v>
      </c>
      <c r="E27" s="6" t="s">
        <v>1989</v>
      </c>
      <c r="F27" s="8">
        <v>1</v>
      </c>
      <c r="G27" s="6" t="s">
        <v>1990</v>
      </c>
      <c r="H27" s="6" t="s">
        <v>8</v>
      </c>
      <c r="I27" s="8">
        <v>240</v>
      </c>
    </row>
    <row r="28" spans="1:9" x14ac:dyDescent="0.25">
      <c r="A28" s="6" t="s">
        <v>1987</v>
      </c>
      <c r="B28" s="6" t="s">
        <v>982</v>
      </c>
      <c r="C28" s="6" t="s">
        <v>1988</v>
      </c>
      <c r="D28" s="6" t="s">
        <v>1957</v>
      </c>
      <c r="E28" s="6" t="s">
        <v>1989</v>
      </c>
      <c r="F28" s="8">
        <v>2</v>
      </c>
      <c r="G28" s="6" t="s">
        <v>1991</v>
      </c>
      <c r="H28" s="6" t="s">
        <v>8</v>
      </c>
      <c r="I28" s="8">
        <v>4320</v>
      </c>
    </row>
    <row r="29" spans="1:9" x14ac:dyDescent="0.25">
      <c r="A29" s="6" t="s">
        <v>1992</v>
      </c>
      <c r="B29" s="6" t="s">
        <v>851</v>
      </c>
      <c r="C29" s="6" t="s">
        <v>1993</v>
      </c>
      <c r="D29" s="6" t="s">
        <v>1941</v>
      </c>
      <c r="E29" s="6" t="s">
        <v>1994</v>
      </c>
      <c r="F29" s="8">
        <v>1</v>
      </c>
      <c r="G29" s="6" t="s">
        <v>1995</v>
      </c>
      <c r="H29" s="6" t="s">
        <v>1842</v>
      </c>
      <c r="I29" s="8">
        <v>120</v>
      </c>
    </row>
    <row r="30" spans="1:9" x14ac:dyDescent="0.25">
      <c r="A30" s="6" t="s">
        <v>1992</v>
      </c>
      <c r="B30" s="6" t="s">
        <v>851</v>
      </c>
      <c r="C30" s="6" t="s">
        <v>1993</v>
      </c>
      <c r="D30" s="6" t="s">
        <v>1941</v>
      </c>
      <c r="E30" s="6" t="s">
        <v>1994</v>
      </c>
      <c r="F30" s="8">
        <v>2</v>
      </c>
      <c r="G30" s="6" t="s">
        <v>1996</v>
      </c>
      <c r="H30" s="6" t="s">
        <v>1842</v>
      </c>
      <c r="I30" s="8">
        <v>1440</v>
      </c>
    </row>
    <row r="31" spans="1:9" x14ac:dyDescent="0.25">
      <c r="A31" s="6" t="s">
        <v>1992</v>
      </c>
      <c r="B31" s="6" t="s">
        <v>851</v>
      </c>
      <c r="C31" s="6" t="s">
        <v>1993</v>
      </c>
      <c r="D31" s="6" t="s">
        <v>1941</v>
      </c>
      <c r="E31" s="6" t="s">
        <v>1994</v>
      </c>
      <c r="F31" s="8">
        <v>3</v>
      </c>
      <c r="G31" s="6" t="s">
        <v>1997</v>
      </c>
      <c r="H31" s="6" t="s">
        <v>1842</v>
      </c>
      <c r="I31" s="8">
        <v>4320</v>
      </c>
    </row>
    <row r="32" spans="1:9" x14ac:dyDescent="0.25">
      <c r="A32" s="6" t="s">
        <v>1998</v>
      </c>
      <c r="B32" s="6" t="s">
        <v>854</v>
      </c>
      <c r="C32" s="6" t="s">
        <v>1999</v>
      </c>
      <c r="D32" s="6" t="s">
        <v>792</v>
      </c>
      <c r="E32" s="6" t="s">
        <v>2000</v>
      </c>
      <c r="F32" s="8">
        <v>1</v>
      </c>
      <c r="G32" s="6" t="s">
        <v>2001</v>
      </c>
      <c r="H32" s="6" t="s">
        <v>1880</v>
      </c>
      <c r="I32" s="8">
        <v>60</v>
      </c>
    </row>
    <row r="33" spans="1:9" x14ac:dyDescent="0.25">
      <c r="A33" s="6" t="s">
        <v>1998</v>
      </c>
      <c r="B33" s="6" t="s">
        <v>854</v>
      </c>
      <c r="C33" s="6" t="s">
        <v>1999</v>
      </c>
      <c r="D33" s="6" t="s">
        <v>792</v>
      </c>
      <c r="E33" s="6" t="s">
        <v>2000</v>
      </c>
      <c r="F33" s="8">
        <v>2</v>
      </c>
      <c r="G33" s="6" t="s">
        <v>2002</v>
      </c>
      <c r="H33" s="6" t="s">
        <v>1880</v>
      </c>
      <c r="I33" s="8">
        <v>4320</v>
      </c>
    </row>
    <row r="34" spans="1:9" x14ac:dyDescent="0.25">
      <c r="A34" s="6" t="s">
        <v>1998</v>
      </c>
      <c r="B34" s="6" t="s">
        <v>854</v>
      </c>
      <c r="C34" s="6" t="s">
        <v>1999</v>
      </c>
      <c r="D34" s="6" t="s">
        <v>792</v>
      </c>
      <c r="E34" s="6" t="s">
        <v>2000</v>
      </c>
      <c r="F34" s="8">
        <v>3</v>
      </c>
      <c r="G34" s="6" t="s">
        <v>2003</v>
      </c>
      <c r="H34" s="6" t="s">
        <v>1880</v>
      </c>
      <c r="I34" s="8">
        <v>10080</v>
      </c>
    </row>
    <row r="35" spans="1:9" x14ac:dyDescent="0.25">
      <c r="A35" s="6" t="s">
        <v>2004</v>
      </c>
      <c r="B35" s="6" t="s">
        <v>818</v>
      </c>
      <c r="C35" s="6" t="s">
        <v>2005</v>
      </c>
      <c r="D35" s="6" t="s">
        <v>1941</v>
      </c>
      <c r="E35" s="6" t="s">
        <v>2006</v>
      </c>
      <c r="F35" s="8">
        <v>1</v>
      </c>
      <c r="G35" s="6" t="s">
        <v>2007</v>
      </c>
      <c r="H35" s="6" t="s">
        <v>8</v>
      </c>
      <c r="I35" s="8">
        <v>240</v>
      </c>
    </row>
    <row r="36" spans="1:9" x14ac:dyDescent="0.25">
      <c r="A36" s="6" t="s">
        <v>2004</v>
      </c>
      <c r="B36" s="6" t="s">
        <v>818</v>
      </c>
      <c r="C36" s="6" t="s">
        <v>2005</v>
      </c>
      <c r="D36" s="6" t="s">
        <v>1941</v>
      </c>
      <c r="E36" s="6" t="s">
        <v>2006</v>
      </c>
      <c r="F36" s="8">
        <v>2</v>
      </c>
      <c r="G36" s="6" t="s">
        <v>2008</v>
      </c>
      <c r="H36" s="6" t="s">
        <v>1842</v>
      </c>
      <c r="I36" s="8">
        <v>1440</v>
      </c>
    </row>
    <row r="37" spans="1:9" x14ac:dyDescent="0.25">
      <c r="A37" s="6" t="s">
        <v>2004</v>
      </c>
      <c r="B37" s="6" t="s">
        <v>818</v>
      </c>
      <c r="C37" s="6" t="s">
        <v>2005</v>
      </c>
      <c r="D37" s="6" t="s">
        <v>1941</v>
      </c>
      <c r="E37" s="6" t="s">
        <v>2006</v>
      </c>
      <c r="F37" s="8">
        <v>3</v>
      </c>
      <c r="G37" s="6" t="s">
        <v>2009</v>
      </c>
      <c r="H37" s="6" t="s">
        <v>8</v>
      </c>
      <c r="I37" s="8">
        <v>10080</v>
      </c>
    </row>
    <row r="38" spans="1:9" x14ac:dyDescent="0.25">
      <c r="A38" s="6" t="s">
        <v>2010</v>
      </c>
      <c r="B38" s="6" t="s">
        <v>802</v>
      </c>
      <c r="C38" s="6" t="s">
        <v>2011</v>
      </c>
      <c r="D38" s="6" t="s">
        <v>792</v>
      </c>
      <c r="E38" s="6" t="s">
        <v>2012</v>
      </c>
      <c r="F38" s="8">
        <v>1</v>
      </c>
      <c r="G38" s="6" t="s">
        <v>2013</v>
      </c>
      <c r="H38" s="6" t="s">
        <v>1880</v>
      </c>
      <c r="I38" s="8">
        <v>60</v>
      </c>
    </row>
    <row r="39" spans="1:9" x14ac:dyDescent="0.25">
      <c r="A39" s="6" t="s">
        <v>2010</v>
      </c>
      <c r="B39" s="6" t="s">
        <v>802</v>
      </c>
      <c r="C39" s="6" t="s">
        <v>2011</v>
      </c>
      <c r="D39" s="6" t="s">
        <v>792</v>
      </c>
      <c r="E39" s="6" t="s">
        <v>2012</v>
      </c>
      <c r="F39" s="8">
        <v>2</v>
      </c>
      <c r="G39" s="6" t="s">
        <v>2014</v>
      </c>
      <c r="H39" s="6" t="s">
        <v>1880</v>
      </c>
      <c r="I39" s="8">
        <v>1440</v>
      </c>
    </row>
    <row r="40" spans="1:9" x14ac:dyDescent="0.25">
      <c r="A40" s="6" t="s">
        <v>2010</v>
      </c>
      <c r="B40" s="6" t="s">
        <v>802</v>
      </c>
      <c r="C40" s="6" t="s">
        <v>2011</v>
      </c>
      <c r="D40" s="6" t="s">
        <v>792</v>
      </c>
      <c r="E40" s="6" t="s">
        <v>2012</v>
      </c>
      <c r="F40" s="8">
        <v>3</v>
      </c>
      <c r="G40" s="6" t="s">
        <v>2015</v>
      </c>
      <c r="H40" s="6" t="s">
        <v>1871</v>
      </c>
      <c r="I40" s="8">
        <v>10080</v>
      </c>
    </row>
    <row r="41" spans="1:9" x14ac:dyDescent="0.25">
      <c r="A41" s="6" t="s">
        <v>2016</v>
      </c>
      <c r="B41" s="6" t="s">
        <v>1062</v>
      </c>
      <c r="C41" s="6" t="s">
        <v>2017</v>
      </c>
      <c r="D41" s="6" t="s">
        <v>792</v>
      </c>
      <c r="E41" s="6" t="s">
        <v>2018</v>
      </c>
      <c r="F41" s="8">
        <v>1</v>
      </c>
      <c r="G41" s="6" t="s">
        <v>2019</v>
      </c>
      <c r="H41" s="6" t="s">
        <v>1880</v>
      </c>
      <c r="I41" s="8">
        <v>1440</v>
      </c>
    </row>
    <row r="42" spans="1:9" x14ac:dyDescent="0.25">
      <c r="A42" s="6" t="s">
        <v>2016</v>
      </c>
      <c r="B42" s="6" t="s">
        <v>1062</v>
      </c>
      <c r="C42" s="6" t="s">
        <v>2017</v>
      </c>
      <c r="D42" s="6" t="s">
        <v>792</v>
      </c>
      <c r="E42" s="6" t="s">
        <v>2018</v>
      </c>
      <c r="F42" s="8">
        <v>2</v>
      </c>
      <c r="G42" s="6" t="s">
        <v>2020</v>
      </c>
      <c r="H42" s="6" t="s">
        <v>1880</v>
      </c>
      <c r="I42" s="8">
        <v>4320</v>
      </c>
    </row>
    <row r="44" spans="1:1" x14ac:dyDescent="0.25">
      <c r="A44" s="9" t="s">
        <v>2021</v>
      </c>
    </row>
    <row r="45" spans="1:1" x14ac:dyDescent="0.25">
      <c r="A45" s="9" t="s">
        <v>2022</v>
      </c>
    </row>
    <row r="46" spans="1:1" x14ac:dyDescent="0.25">
      <c r="A46" s="9" t="s">
        <v>2023</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2024</v>
      </c>
      <c r="C1" s="5" t="s">
        <v>2025</v>
      </c>
      <c r="D1" s="5" t="s">
        <v>2026</v>
      </c>
      <c r="E1" s="5" t="s">
        <v>2027</v>
      </c>
      <c r="F1" s="5" t="s">
        <v>2028</v>
      </c>
      <c r="G1" s="5" t="s">
        <v>2029</v>
      </c>
      <c r="H1" s="5" t="s">
        <v>2030</v>
      </c>
    </row>
    <row r="2" spans="1:8" x14ac:dyDescent="0.25">
      <c r="A2" s="6" t="s">
        <v>61</v>
      </c>
      <c r="B2" s="6" t="s">
        <v>2031</v>
      </c>
      <c r="C2" s="8">
        <v>4</v>
      </c>
      <c r="D2" s="8">
        <v>3</v>
      </c>
      <c r="E2" s="8">
        <v>2</v>
      </c>
      <c r="F2" s="8">
        <v>3</v>
      </c>
      <c r="G2" s="8">
        <v>18</v>
      </c>
      <c r="H2" s="6" t="s">
        <v>2032</v>
      </c>
    </row>
    <row r="3" spans="1:8" x14ac:dyDescent="0.25">
      <c r="A3" s="6" t="s">
        <v>69</v>
      </c>
      <c r="B3" s="6" t="s">
        <v>2031</v>
      </c>
      <c r="C3" s="8">
        <v>4</v>
      </c>
      <c r="D3" s="8">
        <v>3</v>
      </c>
      <c r="E3" s="8">
        <v>2</v>
      </c>
      <c r="F3" s="8">
        <v>5</v>
      </c>
      <c r="G3" s="8">
        <v>23</v>
      </c>
      <c r="H3" s="6" t="s">
        <v>2033</v>
      </c>
    </row>
    <row r="4" spans="1:8" x14ac:dyDescent="0.25">
      <c r="A4" s="6" t="s">
        <v>73</v>
      </c>
      <c r="B4" s="6" t="s">
        <v>2031</v>
      </c>
      <c r="C4" s="8">
        <v>4</v>
      </c>
      <c r="D4" s="8">
        <v>4</v>
      </c>
      <c r="E4" s="8">
        <v>4</v>
      </c>
      <c r="F4" s="8">
        <v>4</v>
      </c>
      <c r="G4" s="8">
        <v>27</v>
      </c>
      <c r="H4" s="6" t="s">
        <v>2034</v>
      </c>
    </row>
    <row r="5" spans="1:8" x14ac:dyDescent="0.25">
      <c r="A5" s="6" t="s">
        <v>79</v>
      </c>
      <c r="B5" s="6" t="s">
        <v>2035</v>
      </c>
      <c r="C5" s="8">
        <v>3</v>
      </c>
      <c r="D5" s="8">
        <v>1</v>
      </c>
      <c r="E5" s="8">
        <v>4</v>
      </c>
      <c r="F5" s="8">
        <v>2</v>
      </c>
      <c r="G5" s="8">
        <v>11</v>
      </c>
      <c r="H5" s="6" t="s">
        <v>2036</v>
      </c>
    </row>
    <row r="6" spans="1:8" x14ac:dyDescent="0.25">
      <c r="A6" s="6" t="s">
        <v>85</v>
      </c>
      <c r="B6" s="6" t="s">
        <v>2037</v>
      </c>
      <c r="C6" s="8">
        <v>2</v>
      </c>
      <c r="D6" s="8">
        <v>1</v>
      </c>
      <c r="E6" s="8">
        <v>5</v>
      </c>
      <c r="F6" s="8">
        <v>7</v>
      </c>
      <c r="G6" s="8">
        <v>34</v>
      </c>
      <c r="H6" s="6" t="s">
        <v>2038</v>
      </c>
    </row>
    <row r="7" spans="1:8" x14ac:dyDescent="0.25">
      <c r="A7" s="6" t="s">
        <v>91</v>
      </c>
      <c r="B7" s="6" t="s">
        <v>2035</v>
      </c>
      <c r="C7" s="8">
        <v>3</v>
      </c>
      <c r="D7" s="8">
        <v>1</v>
      </c>
      <c r="E7" s="8">
        <v>2</v>
      </c>
      <c r="F7" s="6"/>
      <c r="G7" s="6"/>
      <c r="H7" s="6" t="s">
        <v>2039</v>
      </c>
    </row>
    <row r="9" spans="1:1" x14ac:dyDescent="0.25">
      <c r="A9" s="9" t="s">
        <v>2040</v>
      </c>
    </row>
    <row r="10" spans="1:1" x14ac:dyDescent="0.25">
      <c r="A10" s="9" t="s">
        <v>2041</v>
      </c>
    </row>
    <row r="11" spans="1:1" x14ac:dyDescent="0.25">
      <c r="A11" s="9" t="s">
        <v>2042</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2043</v>
      </c>
      <c r="C1" s="5" t="s">
        <v>2044</v>
      </c>
      <c r="D1" s="5" t="s">
        <v>2045</v>
      </c>
      <c r="E1" s="5" t="s">
        <v>800</v>
      </c>
      <c r="F1" s="5" t="s">
        <v>2046</v>
      </c>
      <c r="G1" s="5" t="s">
        <v>2047</v>
      </c>
    </row>
    <row r="2" spans="1:7" x14ac:dyDescent="0.25">
      <c r="A2" s="6" t="s">
        <v>831</v>
      </c>
      <c r="B2" s="6" t="s">
        <v>2048</v>
      </c>
      <c r="C2" s="6" t="s">
        <v>2049</v>
      </c>
      <c r="D2" s="6" t="s">
        <v>2050</v>
      </c>
      <c r="E2" s="8">
        <v>16</v>
      </c>
      <c r="F2" s="8">
        <v>0</v>
      </c>
      <c r="G2" s="6" t="s">
        <v>2051</v>
      </c>
    </row>
    <row r="3" spans="1:7" x14ac:dyDescent="0.25">
      <c r="A3" s="6" t="s">
        <v>854</v>
      </c>
      <c r="B3" s="6" t="s">
        <v>2052</v>
      </c>
      <c r="C3" s="6" t="s">
        <v>2053</v>
      </c>
      <c r="D3" s="6" t="s">
        <v>2054</v>
      </c>
      <c r="E3" s="8">
        <v>10</v>
      </c>
      <c r="F3" s="8">
        <v>2</v>
      </c>
      <c r="G3" s="6" t="s">
        <v>2055</v>
      </c>
    </row>
    <row r="4" spans="1:7" x14ac:dyDescent="0.25">
      <c r="A4" s="6" t="s">
        <v>847</v>
      </c>
      <c r="B4" s="6" t="s">
        <v>2052</v>
      </c>
      <c r="C4" s="6" t="s">
        <v>2053</v>
      </c>
      <c r="D4" s="6" t="s">
        <v>2054</v>
      </c>
      <c r="E4" s="8">
        <v>9</v>
      </c>
      <c r="F4" s="8">
        <v>1</v>
      </c>
      <c r="G4" s="6" t="s">
        <v>2056</v>
      </c>
    </row>
    <row r="5" spans="1:7" x14ac:dyDescent="0.25">
      <c r="A5" s="6" t="s">
        <v>851</v>
      </c>
      <c r="B5" s="6" t="s">
        <v>2057</v>
      </c>
      <c r="C5" s="6" t="s">
        <v>2058</v>
      </c>
      <c r="D5" s="6" t="s">
        <v>2050</v>
      </c>
      <c r="E5" s="8">
        <v>14</v>
      </c>
      <c r="F5" s="8">
        <v>0</v>
      </c>
      <c r="G5" s="6" t="s">
        <v>2059</v>
      </c>
    </row>
    <row r="6" spans="1:7" x14ac:dyDescent="0.25">
      <c r="A6" s="6" t="s">
        <v>988</v>
      </c>
      <c r="B6" s="6" t="s">
        <v>2060</v>
      </c>
      <c r="C6" s="6" t="s">
        <v>2061</v>
      </c>
      <c r="D6" s="6" t="s">
        <v>2054</v>
      </c>
      <c r="E6" s="8">
        <v>8</v>
      </c>
      <c r="F6" s="8">
        <v>1</v>
      </c>
      <c r="G6" s="6" t="s">
        <v>2062</v>
      </c>
    </row>
    <row r="7" spans="1:7" x14ac:dyDescent="0.25">
      <c r="A7" s="6" t="s">
        <v>977</v>
      </c>
      <c r="B7" s="6" t="s">
        <v>2063</v>
      </c>
      <c r="C7" s="6" t="s">
        <v>2064</v>
      </c>
      <c r="D7" s="6" t="s">
        <v>2050</v>
      </c>
      <c r="E7" s="8">
        <v>22</v>
      </c>
      <c r="F7" s="8">
        <v>0</v>
      </c>
      <c r="G7" s="6" t="s">
        <v>2065</v>
      </c>
    </row>
    <row r="8" spans="1:7" x14ac:dyDescent="0.25">
      <c r="A8" s="6" t="s">
        <v>970</v>
      </c>
      <c r="B8" s="6" t="s">
        <v>2066</v>
      </c>
      <c r="C8" s="6" t="s">
        <v>2053</v>
      </c>
      <c r="D8" s="6" t="s">
        <v>2054</v>
      </c>
      <c r="E8" s="8">
        <v>12</v>
      </c>
      <c r="F8" s="8">
        <v>0</v>
      </c>
      <c r="G8" s="6" t="s">
        <v>2067</v>
      </c>
    </row>
    <row r="9" spans="1:7" x14ac:dyDescent="0.25">
      <c r="A9" s="6" t="s">
        <v>982</v>
      </c>
      <c r="B9" s="6" t="s">
        <v>2066</v>
      </c>
      <c r="C9" s="6" t="s">
        <v>2053</v>
      </c>
      <c r="D9" s="6" t="s">
        <v>2054</v>
      </c>
      <c r="E9" s="8">
        <v>6</v>
      </c>
      <c r="F9" s="8">
        <v>0</v>
      </c>
      <c r="G9" s="6" t="s">
        <v>2068</v>
      </c>
    </row>
    <row r="10" spans="1:7" x14ac:dyDescent="0.25">
      <c r="A10" s="6" t="s">
        <v>818</v>
      </c>
      <c r="B10" s="6" t="s">
        <v>2069</v>
      </c>
      <c r="C10" s="6" t="s">
        <v>2070</v>
      </c>
      <c r="D10" s="6" t="s">
        <v>2054</v>
      </c>
      <c r="E10" s="8">
        <v>26</v>
      </c>
      <c r="F10" s="8">
        <v>0</v>
      </c>
      <c r="G10" s="6" t="s">
        <v>2071</v>
      </c>
    </row>
    <row r="11" spans="1:7" x14ac:dyDescent="0.25">
      <c r="A11" s="6" t="s">
        <v>812</v>
      </c>
      <c r="B11" s="6" t="s">
        <v>2072</v>
      </c>
      <c r="C11" s="6" t="s">
        <v>2053</v>
      </c>
      <c r="D11" s="6" t="s">
        <v>2054</v>
      </c>
      <c r="E11" s="8">
        <v>34</v>
      </c>
      <c r="F11" s="8">
        <v>0</v>
      </c>
      <c r="G11" s="6" t="s">
        <v>2073</v>
      </c>
    </row>
    <row r="12" spans="1:7" x14ac:dyDescent="0.25">
      <c r="A12" s="6" t="s">
        <v>826</v>
      </c>
      <c r="B12" s="6" t="s">
        <v>2074</v>
      </c>
      <c r="C12" s="6" t="s">
        <v>2075</v>
      </c>
      <c r="D12" s="6" t="s">
        <v>2050</v>
      </c>
      <c r="E12" s="8">
        <v>20</v>
      </c>
      <c r="F12" s="8">
        <v>0</v>
      </c>
      <c r="G12" s="6" t="s">
        <v>2076</v>
      </c>
    </row>
    <row r="14" spans="1:1" x14ac:dyDescent="0.25">
      <c r="A14" s="9" t="s">
        <v>2077</v>
      </c>
    </row>
    <row r="15" spans="1:1" x14ac:dyDescent="0.25">
      <c r="A15" s="9" t="s">
        <v>2078</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2079</v>
      </c>
      <c r="B1" s="5" t="s">
        <v>42</v>
      </c>
      <c r="C1" s="5" t="s">
        <v>99</v>
      </c>
      <c r="D1" s="5" t="s">
        <v>139</v>
      </c>
      <c r="E1" s="5" t="s">
        <v>788</v>
      </c>
      <c r="F1" s="5" t="s">
        <v>2080</v>
      </c>
      <c r="G1" s="5" t="s">
        <v>2081</v>
      </c>
      <c r="H1" s="5" t="s">
        <v>2082</v>
      </c>
      <c r="I1" s="5" t="s">
        <v>2083</v>
      </c>
      <c r="J1" s="5" t="s">
        <v>2084</v>
      </c>
    </row>
    <row r="2" spans="1:10" x14ac:dyDescent="0.25">
      <c r="A2" s="6" t="s">
        <v>2085</v>
      </c>
      <c r="B2" s="6" t="s">
        <v>61</v>
      </c>
      <c r="C2" s="6" t="s">
        <v>108</v>
      </c>
      <c r="D2" s="6" t="s">
        <v>150</v>
      </c>
      <c r="E2" s="6" t="s">
        <v>204</v>
      </c>
      <c r="F2" s="6" t="s">
        <v>2086</v>
      </c>
      <c r="G2" s="10">
        <v>21.3</v>
      </c>
      <c r="H2" s="6"/>
      <c r="I2" s="8">
        <v>27</v>
      </c>
      <c r="J2" s="6" t="s">
        <v>2087</v>
      </c>
    </row>
    <row r="3" spans="1:10" x14ac:dyDescent="0.25">
      <c r="A3" s="6" t="s">
        <v>2088</v>
      </c>
      <c r="B3" s="6" t="s">
        <v>61</v>
      </c>
      <c r="C3" s="6" t="s">
        <v>108</v>
      </c>
      <c r="D3" s="6" t="s">
        <v>150</v>
      </c>
      <c r="E3" s="6" t="s">
        <v>216</v>
      </c>
      <c r="F3" s="6" t="s">
        <v>2089</v>
      </c>
      <c r="G3" s="10">
        <v>21.9</v>
      </c>
      <c r="H3" s="6"/>
      <c r="I3" s="8">
        <v>27</v>
      </c>
      <c r="J3" s="6" t="s">
        <v>2087</v>
      </c>
    </row>
    <row r="4" spans="1:10" x14ac:dyDescent="0.25">
      <c r="A4" s="6" t="s">
        <v>2090</v>
      </c>
      <c r="B4" s="6" t="s">
        <v>61</v>
      </c>
      <c r="C4" s="6" t="s">
        <v>108</v>
      </c>
      <c r="D4" s="6" t="s">
        <v>152</v>
      </c>
      <c r="E4" s="6" t="s">
        <v>229</v>
      </c>
      <c r="F4" s="6" t="s">
        <v>2086</v>
      </c>
      <c r="G4" s="10">
        <v>21.3</v>
      </c>
      <c r="H4" s="6"/>
      <c r="I4" s="8">
        <v>27</v>
      </c>
      <c r="J4" s="6" t="s">
        <v>2087</v>
      </c>
    </row>
    <row r="5" spans="1:10" x14ac:dyDescent="0.25">
      <c r="A5" s="6" t="s">
        <v>2091</v>
      </c>
      <c r="B5" s="6" t="s">
        <v>61</v>
      </c>
      <c r="C5" s="6" t="s">
        <v>108</v>
      </c>
      <c r="D5" s="6" t="s">
        <v>152</v>
      </c>
      <c r="E5" s="6" t="s">
        <v>241</v>
      </c>
      <c r="F5" s="6" t="s">
        <v>2089</v>
      </c>
      <c r="G5" s="8">
        <v>22</v>
      </c>
      <c r="H5" s="6"/>
      <c r="I5" s="8">
        <v>27</v>
      </c>
      <c r="J5" s="6" t="s">
        <v>2087</v>
      </c>
    </row>
    <row r="6" spans="1:10" x14ac:dyDescent="0.25">
      <c r="A6" s="6" t="s">
        <v>2092</v>
      </c>
      <c r="B6" s="6" t="s">
        <v>61</v>
      </c>
      <c r="C6" s="6" t="s">
        <v>108</v>
      </c>
      <c r="D6" s="6" t="s">
        <v>153</v>
      </c>
      <c r="E6" s="6" t="s">
        <v>254</v>
      </c>
      <c r="F6" s="6" t="s">
        <v>2086</v>
      </c>
      <c r="G6" s="10">
        <v>20.9</v>
      </c>
      <c r="H6" s="6"/>
      <c r="I6" s="8">
        <v>27</v>
      </c>
      <c r="J6" s="6" t="s">
        <v>2087</v>
      </c>
    </row>
    <row r="7" spans="1:10" x14ac:dyDescent="0.25">
      <c r="A7" s="6" t="s">
        <v>2093</v>
      </c>
      <c r="B7" s="6" t="s">
        <v>61</v>
      </c>
      <c r="C7" s="6" t="s">
        <v>108</v>
      </c>
      <c r="D7" s="6" t="s">
        <v>153</v>
      </c>
      <c r="E7" s="6" t="s">
        <v>266</v>
      </c>
      <c r="F7" s="6" t="s">
        <v>2089</v>
      </c>
      <c r="G7" s="10">
        <v>21.7</v>
      </c>
      <c r="H7" s="6"/>
      <c r="I7" s="8">
        <v>27</v>
      </c>
      <c r="J7" s="6" t="s">
        <v>2087</v>
      </c>
    </row>
    <row r="8" spans="1:10" x14ac:dyDescent="0.25">
      <c r="A8" s="6" t="s">
        <v>2094</v>
      </c>
      <c r="B8" s="6" t="s">
        <v>61</v>
      </c>
      <c r="C8" s="6" t="s">
        <v>108</v>
      </c>
      <c r="D8" s="6" t="s">
        <v>157</v>
      </c>
      <c r="E8" s="6" t="s">
        <v>280</v>
      </c>
      <c r="F8" s="6" t="s">
        <v>2086</v>
      </c>
      <c r="G8" s="10">
        <v>21.1</v>
      </c>
      <c r="H8" s="6"/>
      <c r="I8" s="8">
        <v>27</v>
      </c>
      <c r="J8" s="6" t="s">
        <v>2087</v>
      </c>
    </row>
    <row r="9" spans="1:10" x14ac:dyDescent="0.25">
      <c r="A9" s="6" t="s">
        <v>2095</v>
      </c>
      <c r="B9" s="6" t="s">
        <v>61</v>
      </c>
      <c r="C9" s="6" t="s">
        <v>108</v>
      </c>
      <c r="D9" s="6" t="s">
        <v>157</v>
      </c>
      <c r="E9" s="6" t="s">
        <v>292</v>
      </c>
      <c r="F9" s="6" t="s">
        <v>2089</v>
      </c>
      <c r="G9" s="8">
        <v>22</v>
      </c>
      <c r="H9" s="6"/>
      <c r="I9" s="8">
        <v>27</v>
      </c>
      <c r="J9" s="6" t="s">
        <v>2087</v>
      </c>
    </row>
    <row r="10" spans="1:10" x14ac:dyDescent="0.25">
      <c r="A10" s="6" t="s">
        <v>2096</v>
      </c>
      <c r="B10" s="6" t="s">
        <v>61</v>
      </c>
      <c r="C10" s="6" t="s">
        <v>108</v>
      </c>
      <c r="D10" s="6" t="s">
        <v>158</v>
      </c>
      <c r="E10" s="6" t="s">
        <v>305</v>
      </c>
      <c r="F10" s="6" t="s">
        <v>2086</v>
      </c>
      <c r="G10" s="10">
        <v>20.9</v>
      </c>
      <c r="H10" s="6"/>
      <c r="I10" s="8">
        <v>27</v>
      </c>
      <c r="J10" s="6" t="s">
        <v>2087</v>
      </c>
    </row>
    <row r="11" spans="1:10" x14ac:dyDescent="0.25">
      <c r="A11" s="6" t="s">
        <v>2097</v>
      </c>
      <c r="B11" s="6" t="s">
        <v>61</v>
      </c>
      <c r="C11" s="6" t="s">
        <v>108</v>
      </c>
      <c r="D11" s="6" t="s">
        <v>158</v>
      </c>
      <c r="E11" s="6" t="s">
        <v>317</v>
      </c>
      <c r="F11" s="6" t="s">
        <v>2089</v>
      </c>
      <c r="G11" s="10">
        <v>21.9</v>
      </c>
      <c r="H11" s="6"/>
      <c r="I11" s="8">
        <v>27</v>
      </c>
      <c r="J11" s="6" t="s">
        <v>2087</v>
      </c>
    </row>
    <row r="12" spans="1:10" x14ac:dyDescent="0.25">
      <c r="A12" s="6" t="s">
        <v>2098</v>
      </c>
      <c r="B12" s="6" t="s">
        <v>61</v>
      </c>
      <c r="C12" s="6" t="s">
        <v>108</v>
      </c>
      <c r="D12" s="6" t="s">
        <v>159</v>
      </c>
      <c r="E12" s="6" t="s">
        <v>330</v>
      </c>
      <c r="F12" s="6" t="s">
        <v>2086</v>
      </c>
      <c r="G12" s="10">
        <v>20.8</v>
      </c>
      <c r="H12" s="6"/>
      <c r="I12" s="8">
        <v>27</v>
      </c>
      <c r="J12" s="6" t="s">
        <v>2087</v>
      </c>
    </row>
    <row r="13" spans="1:10" x14ac:dyDescent="0.25">
      <c r="A13" s="6" t="s">
        <v>2099</v>
      </c>
      <c r="B13" s="6" t="s">
        <v>61</v>
      </c>
      <c r="C13" s="6" t="s">
        <v>108</v>
      </c>
      <c r="D13" s="6" t="s">
        <v>159</v>
      </c>
      <c r="E13" s="6" t="s">
        <v>342</v>
      </c>
      <c r="F13" s="6" t="s">
        <v>2089</v>
      </c>
      <c r="G13" s="10">
        <v>21.9</v>
      </c>
      <c r="H13" s="6"/>
      <c r="I13" s="8">
        <v>27</v>
      </c>
      <c r="J13" s="6" t="s">
        <v>2087</v>
      </c>
    </row>
    <row r="14" spans="1:10" x14ac:dyDescent="0.25">
      <c r="A14" s="6" t="s">
        <v>2100</v>
      </c>
      <c r="B14" s="6" t="s">
        <v>61</v>
      </c>
      <c r="C14" s="6" t="s">
        <v>112</v>
      </c>
      <c r="D14" s="6" t="s">
        <v>160</v>
      </c>
      <c r="E14" s="6" t="s">
        <v>354</v>
      </c>
      <c r="F14" s="6" t="s">
        <v>2086</v>
      </c>
      <c r="G14" s="10">
        <v>21.6</v>
      </c>
      <c r="H14" s="6"/>
      <c r="I14" s="8">
        <v>27</v>
      </c>
      <c r="J14" s="6" t="s">
        <v>2087</v>
      </c>
    </row>
    <row r="15" spans="1:10" x14ac:dyDescent="0.25">
      <c r="A15" s="6" t="s">
        <v>2101</v>
      </c>
      <c r="B15" s="6" t="s">
        <v>61</v>
      </c>
      <c r="C15" s="6" t="s">
        <v>112</v>
      </c>
      <c r="D15" s="6" t="s">
        <v>160</v>
      </c>
      <c r="E15" s="6" t="s">
        <v>366</v>
      </c>
      <c r="F15" s="6" t="s">
        <v>2089</v>
      </c>
      <c r="G15" s="10">
        <v>22.2</v>
      </c>
      <c r="H15" s="6"/>
      <c r="I15" s="8">
        <v>27</v>
      </c>
      <c r="J15" s="6" t="s">
        <v>2087</v>
      </c>
    </row>
    <row r="16" spans="1:10" x14ac:dyDescent="0.25">
      <c r="A16" s="6" t="s">
        <v>2102</v>
      </c>
      <c r="B16" s="6" t="s">
        <v>61</v>
      </c>
      <c r="C16" s="6" t="s">
        <v>112</v>
      </c>
      <c r="D16" s="6" t="s">
        <v>162</v>
      </c>
      <c r="E16" s="6" t="s">
        <v>378</v>
      </c>
      <c r="F16" s="6" t="s">
        <v>2086</v>
      </c>
      <c r="G16" s="10">
        <v>21.2</v>
      </c>
      <c r="H16" s="6"/>
      <c r="I16" s="8">
        <v>27</v>
      </c>
      <c r="J16" s="6" t="s">
        <v>2087</v>
      </c>
    </row>
    <row r="17" spans="1:10" x14ac:dyDescent="0.25">
      <c r="A17" s="6" t="s">
        <v>2103</v>
      </c>
      <c r="B17" s="6" t="s">
        <v>61</v>
      </c>
      <c r="C17" s="6" t="s">
        <v>112</v>
      </c>
      <c r="D17" s="6" t="s">
        <v>162</v>
      </c>
      <c r="E17" s="6" t="s">
        <v>390</v>
      </c>
      <c r="F17" s="6" t="s">
        <v>2089</v>
      </c>
      <c r="G17" s="10">
        <v>21.9</v>
      </c>
      <c r="H17" s="6"/>
      <c r="I17" s="8">
        <v>27</v>
      </c>
      <c r="J17" s="6" t="s">
        <v>2087</v>
      </c>
    </row>
    <row r="18" spans="1:10" x14ac:dyDescent="0.25">
      <c r="A18" s="6" t="s">
        <v>2104</v>
      </c>
      <c r="B18" s="6" t="s">
        <v>61</v>
      </c>
      <c r="C18" s="6" t="s">
        <v>112</v>
      </c>
      <c r="D18" s="6" t="s">
        <v>163</v>
      </c>
      <c r="E18" s="6" t="s">
        <v>402</v>
      </c>
      <c r="F18" s="6" t="s">
        <v>2086</v>
      </c>
      <c r="G18" s="10">
        <v>21.1</v>
      </c>
      <c r="H18" s="6"/>
      <c r="I18" s="8">
        <v>27</v>
      </c>
      <c r="J18" s="6" t="s">
        <v>2087</v>
      </c>
    </row>
    <row r="19" spans="1:10" x14ac:dyDescent="0.25">
      <c r="A19" s="6" t="s">
        <v>2105</v>
      </c>
      <c r="B19" s="6" t="s">
        <v>61</v>
      </c>
      <c r="C19" s="6" t="s">
        <v>112</v>
      </c>
      <c r="D19" s="6" t="s">
        <v>163</v>
      </c>
      <c r="E19" s="6" t="s">
        <v>414</v>
      </c>
      <c r="F19" s="6" t="s">
        <v>2089</v>
      </c>
      <c r="G19" s="10">
        <v>21.9</v>
      </c>
      <c r="H19" s="6"/>
      <c r="I19" s="8">
        <v>27</v>
      </c>
      <c r="J19" s="6" t="s">
        <v>2087</v>
      </c>
    </row>
    <row r="20" spans="1:10" x14ac:dyDescent="0.25">
      <c r="A20" s="6" t="s">
        <v>2106</v>
      </c>
      <c r="B20" s="6" t="s">
        <v>61</v>
      </c>
      <c r="C20" s="6" t="s">
        <v>112</v>
      </c>
      <c r="D20" s="6" t="s">
        <v>164</v>
      </c>
      <c r="E20" s="6" t="s">
        <v>426</v>
      </c>
      <c r="F20" s="6" t="s">
        <v>2086</v>
      </c>
      <c r="G20" s="10">
        <v>20.9</v>
      </c>
      <c r="H20" s="6"/>
      <c r="I20" s="8">
        <v>27</v>
      </c>
      <c r="J20" s="6" t="s">
        <v>2087</v>
      </c>
    </row>
    <row r="21" spans="1:10" x14ac:dyDescent="0.25">
      <c r="A21" s="6" t="s">
        <v>2107</v>
      </c>
      <c r="B21" s="6" t="s">
        <v>61</v>
      </c>
      <c r="C21" s="6" t="s">
        <v>112</v>
      </c>
      <c r="D21" s="6" t="s">
        <v>164</v>
      </c>
      <c r="E21" s="6" t="s">
        <v>438</v>
      </c>
      <c r="F21" s="6" t="s">
        <v>2089</v>
      </c>
      <c r="G21" s="10">
        <v>21.8</v>
      </c>
      <c r="H21" s="6"/>
      <c r="I21" s="8">
        <v>27</v>
      </c>
      <c r="J21" s="6" t="s">
        <v>2087</v>
      </c>
    </row>
    <row r="22" spans="1:10" x14ac:dyDescent="0.25">
      <c r="A22" s="6" t="s">
        <v>2108</v>
      </c>
      <c r="B22" s="6" t="s">
        <v>61</v>
      </c>
      <c r="C22" s="6" t="s">
        <v>112</v>
      </c>
      <c r="D22" s="6" t="s">
        <v>165</v>
      </c>
      <c r="E22" s="6" t="s">
        <v>451</v>
      </c>
      <c r="F22" s="6" t="s">
        <v>2086</v>
      </c>
      <c r="G22" s="8">
        <v>22</v>
      </c>
      <c r="H22" s="6"/>
      <c r="I22" s="8">
        <v>27</v>
      </c>
      <c r="J22" s="6" t="s">
        <v>2087</v>
      </c>
    </row>
    <row r="23" spans="1:10" x14ac:dyDescent="0.25">
      <c r="A23" s="6" t="s">
        <v>2109</v>
      </c>
      <c r="B23" s="6" t="s">
        <v>61</v>
      </c>
      <c r="C23" s="6" t="s">
        <v>112</v>
      </c>
      <c r="D23" s="6" t="s">
        <v>165</v>
      </c>
      <c r="E23" s="6" t="s">
        <v>463</v>
      </c>
      <c r="F23" s="6" t="s">
        <v>2089</v>
      </c>
      <c r="G23" s="8">
        <v>23</v>
      </c>
      <c r="H23" s="6"/>
      <c r="I23" s="8">
        <v>27</v>
      </c>
      <c r="J23" s="6" t="s">
        <v>2087</v>
      </c>
    </row>
    <row r="24" spans="1:10" x14ac:dyDescent="0.25">
      <c r="A24" s="6" t="s">
        <v>2110</v>
      </c>
      <c r="B24" s="6" t="s">
        <v>61</v>
      </c>
      <c r="C24" s="6" t="s">
        <v>112</v>
      </c>
      <c r="D24" s="6" t="s">
        <v>168</v>
      </c>
      <c r="E24" s="6" t="s">
        <v>475</v>
      </c>
      <c r="F24" s="6" t="s">
        <v>2086</v>
      </c>
      <c r="G24" s="10">
        <v>20.9</v>
      </c>
      <c r="H24" s="6"/>
      <c r="I24" s="8">
        <v>27</v>
      </c>
      <c r="J24" s="6" t="s">
        <v>2087</v>
      </c>
    </row>
    <row r="25" spans="1:10" x14ac:dyDescent="0.25">
      <c r="A25" s="6" t="s">
        <v>2111</v>
      </c>
      <c r="B25" s="6" t="s">
        <v>61</v>
      </c>
      <c r="C25" s="6" t="s">
        <v>112</v>
      </c>
      <c r="D25" s="6" t="s">
        <v>168</v>
      </c>
      <c r="E25" s="6" t="s">
        <v>487</v>
      </c>
      <c r="F25" s="6" t="s">
        <v>2089</v>
      </c>
      <c r="G25" s="8">
        <v>22</v>
      </c>
      <c r="H25" s="6"/>
      <c r="I25" s="8">
        <v>27</v>
      </c>
      <c r="J25" s="6" t="s">
        <v>2087</v>
      </c>
    </row>
    <row r="26" spans="1:10" x14ac:dyDescent="0.25">
      <c r="A26" s="6" t="s">
        <v>2112</v>
      </c>
      <c r="B26" s="6" t="s">
        <v>61</v>
      </c>
      <c r="C26" s="6" t="s">
        <v>114</v>
      </c>
      <c r="D26" s="6" t="s">
        <v>169</v>
      </c>
      <c r="E26" s="6" t="s">
        <v>499</v>
      </c>
      <c r="F26" s="6" t="s">
        <v>2086</v>
      </c>
      <c r="G26" s="10">
        <v>21.2</v>
      </c>
      <c r="H26" s="6"/>
      <c r="I26" s="8">
        <v>27</v>
      </c>
      <c r="J26" s="6" t="s">
        <v>2087</v>
      </c>
    </row>
    <row r="27" spans="1:10" x14ac:dyDescent="0.25">
      <c r="A27" s="6" t="s">
        <v>2113</v>
      </c>
      <c r="B27" s="6" t="s">
        <v>61</v>
      </c>
      <c r="C27" s="6" t="s">
        <v>114</v>
      </c>
      <c r="D27" s="6" t="s">
        <v>169</v>
      </c>
      <c r="E27" s="6" t="s">
        <v>511</v>
      </c>
      <c r="F27" s="6" t="s">
        <v>2089</v>
      </c>
      <c r="G27" s="10">
        <v>21.8</v>
      </c>
      <c r="H27" s="6"/>
      <c r="I27" s="8">
        <v>27</v>
      </c>
      <c r="J27" s="6" t="s">
        <v>2087</v>
      </c>
    </row>
    <row r="28" spans="1:10" x14ac:dyDescent="0.25">
      <c r="A28" s="6" t="s">
        <v>2114</v>
      </c>
      <c r="B28" s="6" t="s">
        <v>61</v>
      </c>
      <c r="C28" s="6" t="s">
        <v>114</v>
      </c>
      <c r="D28" s="6" t="s">
        <v>170</v>
      </c>
      <c r="E28" s="6" t="s">
        <v>523</v>
      </c>
      <c r="F28" s="6" t="s">
        <v>2086</v>
      </c>
      <c r="G28" s="10">
        <v>21.1</v>
      </c>
      <c r="H28" s="6"/>
      <c r="I28" s="8">
        <v>27</v>
      </c>
      <c r="J28" s="6" t="s">
        <v>2087</v>
      </c>
    </row>
    <row r="29" spans="1:10" x14ac:dyDescent="0.25">
      <c r="A29" s="6" t="s">
        <v>2115</v>
      </c>
      <c r="B29" s="6" t="s">
        <v>61</v>
      </c>
      <c r="C29" s="6" t="s">
        <v>114</v>
      </c>
      <c r="D29" s="6" t="s">
        <v>170</v>
      </c>
      <c r="E29" s="6" t="s">
        <v>535</v>
      </c>
      <c r="F29" s="6" t="s">
        <v>2089</v>
      </c>
      <c r="G29" s="10">
        <v>21.8</v>
      </c>
      <c r="H29" s="6"/>
      <c r="I29" s="8">
        <v>27</v>
      </c>
      <c r="J29" s="6" t="s">
        <v>2087</v>
      </c>
    </row>
    <row r="30" spans="1:10" x14ac:dyDescent="0.25">
      <c r="A30" s="6" t="s">
        <v>2116</v>
      </c>
      <c r="B30" s="6" t="s">
        <v>61</v>
      </c>
      <c r="C30" s="6" t="s">
        <v>114</v>
      </c>
      <c r="D30" s="6" t="s">
        <v>171</v>
      </c>
      <c r="E30" s="6" t="s">
        <v>547</v>
      </c>
      <c r="F30" s="6" t="s">
        <v>2086</v>
      </c>
      <c r="G30" s="10">
        <v>20.9</v>
      </c>
      <c r="H30" s="6"/>
      <c r="I30" s="8">
        <v>27</v>
      </c>
      <c r="J30" s="6" t="s">
        <v>2087</v>
      </c>
    </row>
    <row r="31" spans="1:10" x14ac:dyDescent="0.25">
      <c r="A31" s="6" t="s">
        <v>2117</v>
      </c>
      <c r="B31" s="6" t="s">
        <v>61</v>
      </c>
      <c r="C31" s="6" t="s">
        <v>114</v>
      </c>
      <c r="D31" s="6" t="s">
        <v>171</v>
      </c>
      <c r="E31" s="6" t="s">
        <v>559</v>
      </c>
      <c r="F31" s="6" t="s">
        <v>2089</v>
      </c>
      <c r="G31" s="10">
        <v>21.7</v>
      </c>
      <c r="H31" s="6"/>
      <c r="I31" s="8">
        <v>27</v>
      </c>
      <c r="J31" s="6" t="s">
        <v>2087</v>
      </c>
    </row>
    <row r="32" spans="1:10" x14ac:dyDescent="0.25">
      <c r="A32" s="6" t="s">
        <v>2118</v>
      </c>
      <c r="B32" s="6" t="s">
        <v>61</v>
      </c>
      <c r="C32" s="6" t="s">
        <v>114</v>
      </c>
      <c r="D32" s="6" t="s">
        <v>172</v>
      </c>
      <c r="E32" s="6" t="s">
        <v>571</v>
      </c>
      <c r="F32" s="6" t="s">
        <v>2086</v>
      </c>
      <c r="G32" s="8">
        <v>21</v>
      </c>
      <c r="H32" s="6"/>
      <c r="I32" s="8">
        <v>27</v>
      </c>
      <c r="J32" s="6" t="s">
        <v>2087</v>
      </c>
    </row>
    <row r="33" spans="1:10" x14ac:dyDescent="0.25">
      <c r="A33" s="6" t="s">
        <v>2119</v>
      </c>
      <c r="B33" s="6" t="s">
        <v>61</v>
      </c>
      <c r="C33" s="6" t="s">
        <v>114</v>
      </c>
      <c r="D33" s="6" t="s">
        <v>172</v>
      </c>
      <c r="E33" s="6" t="s">
        <v>583</v>
      </c>
      <c r="F33" s="6" t="s">
        <v>2089</v>
      </c>
      <c r="G33" s="10">
        <v>21.9</v>
      </c>
      <c r="H33" s="6"/>
      <c r="I33" s="8">
        <v>27</v>
      </c>
      <c r="J33" s="6" t="s">
        <v>2087</v>
      </c>
    </row>
    <row r="34" spans="1:10" x14ac:dyDescent="0.25">
      <c r="A34" s="6" t="s">
        <v>2120</v>
      </c>
      <c r="B34" s="6" t="s">
        <v>61</v>
      </c>
      <c r="C34" s="6" t="s">
        <v>114</v>
      </c>
      <c r="D34" s="6" t="s">
        <v>174</v>
      </c>
      <c r="E34" s="6" t="s">
        <v>595</v>
      </c>
      <c r="F34" s="6" t="s">
        <v>2086</v>
      </c>
      <c r="G34" s="10">
        <v>20.9</v>
      </c>
      <c r="H34" s="6"/>
      <c r="I34" s="8">
        <v>27</v>
      </c>
      <c r="J34" s="6" t="s">
        <v>2087</v>
      </c>
    </row>
    <row r="35" spans="1:10" x14ac:dyDescent="0.25">
      <c r="A35" s="6" t="s">
        <v>2121</v>
      </c>
      <c r="B35" s="6" t="s">
        <v>61</v>
      </c>
      <c r="C35" s="6" t="s">
        <v>114</v>
      </c>
      <c r="D35" s="6" t="s">
        <v>174</v>
      </c>
      <c r="E35" s="6" t="s">
        <v>607</v>
      </c>
      <c r="F35" s="6" t="s">
        <v>2089</v>
      </c>
      <c r="G35" s="10">
        <v>21.9</v>
      </c>
      <c r="H35" s="6"/>
      <c r="I35" s="8">
        <v>27</v>
      </c>
      <c r="J35" s="6" t="s">
        <v>2087</v>
      </c>
    </row>
    <row r="36" spans="1:10" x14ac:dyDescent="0.25">
      <c r="A36" s="6" t="s">
        <v>2122</v>
      </c>
      <c r="B36" s="6" t="s">
        <v>61</v>
      </c>
      <c r="C36" s="6" t="s">
        <v>114</v>
      </c>
      <c r="D36" s="6" t="s">
        <v>176</v>
      </c>
      <c r="E36" s="6" t="s">
        <v>619</v>
      </c>
      <c r="F36" s="6" t="s">
        <v>2086</v>
      </c>
      <c r="G36" s="10">
        <v>20.7</v>
      </c>
      <c r="H36" s="6"/>
      <c r="I36" s="8">
        <v>27</v>
      </c>
      <c r="J36" s="6" t="s">
        <v>2087</v>
      </c>
    </row>
    <row r="37" spans="1:10" x14ac:dyDescent="0.25">
      <c r="A37" s="6" t="s">
        <v>2123</v>
      </c>
      <c r="B37" s="6" t="s">
        <v>61</v>
      </c>
      <c r="C37" s="6" t="s">
        <v>114</v>
      </c>
      <c r="D37" s="6" t="s">
        <v>176</v>
      </c>
      <c r="E37" s="6" t="s">
        <v>631</v>
      </c>
      <c r="F37" s="6" t="s">
        <v>2089</v>
      </c>
      <c r="G37" s="10">
        <v>21.8</v>
      </c>
      <c r="H37" s="6"/>
      <c r="I37" s="8">
        <v>27</v>
      </c>
      <c r="J37" s="6" t="s">
        <v>2087</v>
      </c>
    </row>
    <row r="38" spans="1:10" x14ac:dyDescent="0.25">
      <c r="A38" s="6" t="s">
        <v>2124</v>
      </c>
      <c r="B38" s="6" t="s">
        <v>61</v>
      </c>
      <c r="C38" s="6" t="s">
        <v>116</v>
      </c>
      <c r="D38" s="6" t="s">
        <v>177</v>
      </c>
      <c r="E38" s="6" t="s">
        <v>643</v>
      </c>
      <c r="F38" s="6" t="s">
        <v>2086</v>
      </c>
      <c r="G38" s="10">
        <v>22.6</v>
      </c>
      <c r="H38" s="6"/>
      <c r="I38" s="8">
        <v>27</v>
      </c>
      <c r="J38" s="6" t="s">
        <v>2087</v>
      </c>
    </row>
    <row r="39" spans="1:10" x14ac:dyDescent="0.25">
      <c r="A39" s="6" t="s">
        <v>2125</v>
      </c>
      <c r="B39" s="6" t="s">
        <v>61</v>
      </c>
      <c r="C39" s="6" t="s">
        <v>116</v>
      </c>
      <c r="D39" s="6" t="s">
        <v>177</v>
      </c>
      <c r="E39" s="6" t="s">
        <v>655</v>
      </c>
      <c r="F39" s="6" t="s">
        <v>2089</v>
      </c>
      <c r="G39" s="10">
        <v>23.2</v>
      </c>
      <c r="H39" s="6"/>
      <c r="I39" s="8">
        <v>27</v>
      </c>
      <c r="J39" s="6" t="s">
        <v>2087</v>
      </c>
    </row>
    <row r="40" spans="1:10" x14ac:dyDescent="0.25">
      <c r="A40" s="6" t="s">
        <v>2126</v>
      </c>
      <c r="B40" s="6" t="s">
        <v>61</v>
      </c>
      <c r="C40" s="6" t="s">
        <v>116</v>
      </c>
      <c r="D40" s="6" t="s">
        <v>180</v>
      </c>
      <c r="E40" s="6" t="s">
        <v>667</v>
      </c>
      <c r="F40" s="6" t="s">
        <v>2086</v>
      </c>
      <c r="G40" s="10">
        <v>22.3</v>
      </c>
      <c r="H40" s="6"/>
      <c r="I40" s="8">
        <v>27</v>
      </c>
      <c r="J40" s="6" t="s">
        <v>2087</v>
      </c>
    </row>
    <row r="41" spans="1:10" x14ac:dyDescent="0.25">
      <c r="A41" s="6" t="s">
        <v>2127</v>
      </c>
      <c r="B41" s="6" t="s">
        <v>61</v>
      </c>
      <c r="C41" s="6" t="s">
        <v>116</v>
      </c>
      <c r="D41" s="6" t="s">
        <v>180</v>
      </c>
      <c r="E41" s="6" t="s">
        <v>679</v>
      </c>
      <c r="F41" s="6" t="s">
        <v>2089</v>
      </c>
      <c r="G41" s="8">
        <v>23</v>
      </c>
      <c r="H41" s="6"/>
      <c r="I41" s="8">
        <v>27</v>
      </c>
      <c r="J41" s="6" t="s">
        <v>2087</v>
      </c>
    </row>
    <row r="42" spans="1:10" x14ac:dyDescent="0.25">
      <c r="A42" s="6" t="s">
        <v>2128</v>
      </c>
      <c r="B42" s="6" t="s">
        <v>61</v>
      </c>
      <c r="C42" s="6" t="s">
        <v>116</v>
      </c>
      <c r="D42" s="6" t="s">
        <v>181</v>
      </c>
      <c r="E42" s="6" t="s">
        <v>691</v>
      </c>
      <c r="F42" s="6" t="s">
        <v>2086</v>
      </c>
      <c r="G42" s="10">
        <v>22.3</v>
      </c>
      <c r="H42" s="6"/>
      <c r="I42" s="8">
        <v>27</v>
      </c>
      <c r="J42" s="6" t="s">
        <v>2087</v>
      </c>
    </row>
    <row r="43" spans="1:10" x14ac:dyDescent="0.25">
      <c r="A43" s="6" t="s">
        <v>2129</v>
      </c>
      <c r="B43" s="6" t="s">
        <v>61</v>
      </c>
      <c r="C43" s="6" t="s">
        <v>116</v>
      </c>
      <c r="D43" s="6" t="s">
        <v>181</v>
      </c>
      <c r="E43" s="6" t="s">
        <v>703</v>
      </c>
      <c r="F43" s="6" t="s">
        <v>2089</v>
      </c>
      <c r="G43" s="10">
        <v>23.1</v>
      </c>
      <c r="H43" s="6"/>
      <c r="I43" s="8">
        <v>27</v>
      </c>
      <c r="J43" s="6" t="s">
        <v>2087</v>
      </c>
    </row>
    <row r="44" spans="1:10" x14ac:dyDescent="0.25">
      <c r="A44" s="6" t="s">
        <v>2130</v>
      </c>
      <c r="B44" s="6" t="s">
        <v>61</v>
      </c>
      <c r="C44" s="6" t="s">
        <v>116</v>
      </c>
      <c r="D44" s="6" t="s">
        <v>182</v>
      </c>
      <c r="E44" s="6" t="s">
        <v>715</v>
      </c>
      <c r="F44" s="6" t="s">
        <v>2086</v>
      </c>
      <c r="G44" s="10">
        <v>22.1</v>
      </c>
      <c r="H44" s="6"/>
      <c r="I44" s="8">
        <v>27</v>
      </c>
      <c r="J44" s="6" t="s">
        <v>2087</v>
      </c>
    </row>
    <row r="45" spans="1:10" x14ac:dyDescent="0.25">
      <c r="A45" s="6" t="s">
        <v>2131</v>
      </c>
      <c r="B45" s="6" t="s">
        <v>61</v>
      </c>
      <c r="C45" s="6" t="s">
        <v>116</v>
      </c>
      <c r="D45" s="6" t="s">
        <v>182</v>
      </c>
      <c r="E45" s="6" t="s">
        <v>727</v>
      </c>
      <c r="F45" s="6" t="s">
        <v>2089</v>
      </c>
      <c r="G45" s="8">
        <v>23</v>
      </c>
      <c r="H45" s="6"/>
      <c r="I45" s="8">
        <v>27</v>
      </c>
      <c r="J45" s="6" t="s">
        <v>2087</v>
      </c>
    </row>
    <row r="46" spans="1:10" x14ac:dyDescent="0.25">
      <c r="A46" s="6" t="s">
        <v>2132</v>
      </c>
      <c r="B46" s="6" t="s">
        <v>61</v>
      </c>
      <c r="C46" s="6" t="s">
        <v>116</v>
      </c>
      <c r="D46" s="6" t="s">
        <v>183</v>
      </c>
      <c r="E46" s="6" t="s">
        <v>739</v>
      </c>
      <c r="F46" s="6" t="s">
        <v>2086</v>
      </c>
      <c r="G46" s="8">
        <v>22</v>
      </c>
      <c r="H46" s="6"/>
      <c r="I46" s="8">
        <v>27</v>
      </c>
      <c r="J46" s="6" t="s">
        <v>2087</v>
      </c>
    </row>
    <row r="47" spans="1:10" x14ac:dyDescent="0.25">
      <c r="A47" s="6" t="s">
        <v>2133</v>
      </c>
      <c r="B47" s="6" t="s">
        <v>61</v>
      </c>
      <c r="C47" s="6" t="s">
        <v>116</v>
      </c>
      <c r="D47" s="6" t="s">
        <v>183</v>
      </c>
      <c r="E47" s="6" t="s">
        <v>751</v>
      </c>
      <c r="F47" s="6" t="s">
        <v>2089</v>
      </c>
      <c r="G47" s="8">
        <v>23</v>
      </c>
      <c r="H47" s="6"/>
      <c r="I47" s="8">
        <v>27</v>
      </c>
      <c r="J47" s="6" t="s">
        <v>2087</v>
      </c>
    </row>
    <row r="48" spans="1:10" x14ac:dyDescent="0.25">
      <c r="A48" s="6" t="s">
        <v>2134</v>
      </c>
      <c r="B48" s="6" t="s">
        <v>61</v>
      </c>
      <c r="C48" s="6" t="s">
        <v>116</v>
      </c>
      <c r="D48" s="6" t="s">
        <v>184</v>
      </c>
      <c r="E48" s="6" t="s">
        <v>763</v>
      </c>
      <c r="F48" s="6" t="s">
        <v>2086</v>
      </c>
      <c r="G48" s="8">
        <v>22</v>
      </c>
      <c r="H48" s="6"/>
      <c r="I48" s="8">
        <v>27</v>
      </c>
      <c r="J48" s="6" t="s">
        <v>2087</v>
      </c>
    </row>
    <row r="49" spans="1:10" x14ac:dyDescent="0.25">
      <c r="A49" s="6" t="s">
        <v>2135</v>
      </c>
      <c r="B49" s="6" t="s">
        <v>61</v>
      </c>
      <c r="C49" s="6" t="s">
        <v>116</v>
      </c>
      <c r="D49" s="6" t="s">
        <v>184</v>
      </c>
      <c r="E49" s="6" t="s">
        <v>775</v>
      </c>
      <c r="F49" s="6" t="s">
        <v>2089</v>
      </c>
      <c r="G49" s="10">
        <v>23.1</v>
      </c>
      <c r="H49" s="6"/>
      <c r="I49" s="8">
        <v>27</v>
      </c>
      <c r="J49" s="6" t="s">
        <v>2087</v>
      </c>
    </row>
    <row r="50" spans="1:10" x14ac:dyDescent="0.25">
      <c r="A50" s="6" t="s">
        <v>2136</v>
      </c>
      <c r="B50" s="6" t="s">
        <v>61</v>
      </c>
      <c r="C50" s="6" t="s">
        <v>108</v>
      </c>
      <c r="D50" s="6" t="s">
        <v>150</v>
      </c>
      <c r="E50" s="6" t="s">
        <v>204</v>
      </c>
      <c r="F50" s="6" t="s">
        <v>2137</v>
      </c>
      <c r="G50" s="10">
        <v>17.7</v>
      </c>
      <c r="H50" s="8">
        <v>18</v>
      </c>
      <c r="I50" s="8">
        <v>20</v>
      </c>
      <c r="J50" s="6" t="s">
        <v>2087</v>
      </c>
    </row>
    <row r="51" spans="1:10" x14ac:dyDescent="0.25">
      <c r="A51" s="6" t="s">
        <v>2138</v>
      </c>
      <c r="B51" s="6" t="s">
        <v>61</v>
      </c>
      <c r="C51" s="6" t="s">
        <v>108</v>
      </c>
      <c r="D51" s="6" t="s">
        <v>150</v>
      </c>
      <c r="E51" s="6" t="s">
        <v>216</v>
      </c>
      <c r="F51" s="6" t="s">
        <v>2137</v>
      </c>
      <c r="G51" s="10">
        <v>17.8</v>
      </c>
      <c r="H51" s="8">
        <v>18</v>
      </c>
      <c r="I51" s="8">
        <v>20</v>
      </c>
      <c r="J51" s="6" t="s">
        <v>2087</v>
      </c>
    </row>
    <row r="52" spans="1:10" x14ac:dyDescent="0.25">
      <c r="A52" s="6" t="s">
        <v>2139</v>
      </c>
      <c r="B52" s="6" t="s">
        <v>61</v>
      </c>
      <c r="C52" s="6" t="s">
        <v>108</v>
      </c>
      <c r="D52" s="6" t="s">
        <v>152</v>
      </c>
      <c r="E52" s="6" t="s">
        <v>229</v>
      </c>
      <c r="F52" s="6" t="s">
        <v>2137</v>
      </c>
      <c r="G52" s="10">
        <v>17.9</v>
      </c>
      <c r="H52" s="8">
        <v>18</v>
      </c>
      <c r="I52" s="8">
        <v>20</v>
      </c>
      <c r="J52" s="6" t="s">
        <v>2087</v>
      </c>
    </row>
    <row r="53" spans="1:10" x14ac:dyDescent="0.25">
      <c r="A53" s="6" t="s">
        <v>2140</v>
      </c>
      <c r="B53" s="6" t="s">
        <v>61</v>
      </c>
      <c r="C53" s="6" t="s">
        <v>108</v>
      </c>
      <c r="D53" s="6" t="s">
        <v>152</v>
      </c>
      <c r="E53" s="6" t="s">
        <v>241</v>
      </c>
      <c r="F53" s="6" t="s">
        <v>2137</v>
      </c>
      <c r="G53" s="8">
        <v>18</v>
      </c>
      <c r="H53" s="8">
        <v>18</v>
      </c>
      <c r="I53" s="8">
        <v>20</v>
      </c>
      <c r="J53" s="6" t="s">
        <v>2087</v>
      </c>
    </row>
    <row r="54" spans="1:10" x14ac:dyDescent="0.25">
      <c r="A54" s="6" t="s">
        <v>2141</v>
      </c>
      <c r="B54" s="6" t="s">
        <v>61</v>
      </c>
      <c r="C54" s="6" t="s">
        <v>108</v>
      </c>
      <c r="D54" s="6" t="s">
        <v>153</v>
      </c>
      <c r="E54" s="6" t="s">
        <v>254</v>
      </c>
      <c r="F54" s="6" t="s">
        <v>2137</v>
      </c>
      <c r="G54" s="10">
        <v>18.1</v>
      </c>
      <c r="H54" s="8">
        <v>18</v>
      </c>
      <c r="I54" s="8">
        <v>20</v>
      </c>
      <c r="J54" s="6" t="s">
        <v>2087</v>
      </c>
    </row>
    <row r="55" spans="1:10" x14ac:dyDescent="0.25">
      <c r="A55" s="6" t="s">
        <v>2142</v>
      </c>
      <c r="B55" s="6" t="s">
        <v>61</v>
      </c>
      <c r="C55" s="6" t="s">
        <v>108</v>
      </c>
      <c r="D55" s="6" t="s">
        <v>153</v>
      </c>
      <c r="E55" s="6" t="s">
        <v>266</v>
      </c>
      <c r="F55" s="6" t="s">
        <v>2137</v>
      </c>
      <c r="G55" s="10">
        <v>18.2</v>
      </c>
      <c r="H55" s="8">
        <v>18</v>
      </c>
      <c r="I55" s="8">
        <v>20</v>
      </c>
      <c r="J55" s="6" t="s">
        <v>2087</v>
      </c>
    </row>
    <row r="56" spans="1:10" x14ac:dyDescent="0.25">
      <c r="A56" s="6" t="s">
        <v>2143</v>
      </c>
      <c r="B56" s="6" t="s">
        <v>61</v>
      </c>
      <c r="C56" s="6" t="s">
        <v>108</v>
      </c>
      <c r="D56" s="6" t="s">
        <v>157</v>
      </c>
      <c r="E56" s="6" t="s">
        <v>280</v>
      </c>
      <c r="F56" s="6" t="s">
        <v>2137</v>
      </c>
      <c r="G56" s="10">
        <v>18.3</v>
      </c>
      <c r="H56" s="8">
        <v>18</v>
      </c>
      <c r="I56" s="8">
        <v>20</v>
      </c>
      <c r="J56" s="6" t="s">
        <v>2087</v>
      </c>
    </row>
    <row r="57" spans="1:10" x14ac:dyDescent="0.25">
      <c r="A57" s="6" t="s">
        <v>2144</v>
      </c>
      <c r="B57" s="6" t="s">
        <v>61</v>
      </c>
      <c r="C57" s="6" t="s">
        <v>108</v>
      </c>
      <c r="D57" s="6" t="s">
        <v>157</v>
      </c>
      <c r="E57" s="6" t="s">
        <v>292</v>
      </c>
      <c r="F57" s="6" t="s">
        <v>2137</v>
      </c>
      <c r="G57" s="10">
        <v>18.4</v>
      </c>
      <c r="H57" s="8">
        <v>18</v>
      </c>
      <c r="I57" s="8">
        <v>20</v>
      </c>
      <c r="J57" s="6" t="s">
        <v>2087</v>
      </c>
    </row>
    <row r="58" spans="1:10" x14ac:dyDescent="0.25">
      <c r="A58" s="6" t="s">
        <v>2145</v>
      </c>
      <c r="B58" s="6" t="s">
        <v>61</v>
      </c>
      <c r="C58" s="6" t="s">
        <v>108</v>
      </c>
      <c r="D58" s="6" t="s">
        <v>158</v>
      </c>
      <c r="E58" s="6" t="s">
        <v>305</v>
      </c>
      <c r="F58" s="6" t="s">
        <v>2137</v>
      </c>
      <c r="G58" s="10">
        <v>17.6</v>
      </c>
      <c r="H58" s="8">
        <v>18</v>
      </c>
      <c r="I58" s="8">
        <v>20</v>
      </c>
      <c r="J58" s="6" t="s">
        <v>2087</v>
      </c>
    </row>
    <row r="59" spans="1:10" x14ac:dyDescent="0.25">
      <c r="A59" s="6" t="s">
        <v>2146</v>
      </c>
      <c r="B59" s="6" t="s">
        <v>61</v>
      </c>
      <c r="C59" s="6" t="s">
        <v>108</v>
      </c>
      <c r="D59" s="6" t="s">
        <v>158</v>
      </c>
      <c r="E59" s="6" t="s">
        <v>317</v>
      </c>
      <c r="F59" s="6" t="s">
        <v>2137</v>
      </c>
      <c r="G59" s="10">
        <v>17.7</v>
      </c>
      <c r="H59" s="8">
        <v>18</v>
      </c>
      <c r="I59" s="8">
        <v>20</v>
      </c>
      <c r="J59" s="6" t="s">
        <v>2087</v>
      </c>
    </row>
    <row r="60" spans="1:10" x14ac:dyDescent="0.25">
      <c r="A60" s="6" t="s">
        <v>2147</v>
      </c>
      <c r="B60" s="6" t="s">
        <v>61</v>
      </c>
      <c r="C60" s="6" t="s">
        <v>108</v>
      </c>
      <c r="D60" s="6" t="s">
        <v>159</v>
      </c>
      <c r="E60" s="6" t="s">
        <v>330</v>
      </c>
      <c r="F60" s="6" t="s">
        <v>2137</v>
      </c>
      <c r="G60" s="10">
        <v>17.8</v>
      </c>
      <c r="H60" s="8">
        <v>18</v>
      </c>
      <c r="I60" s="8">
        <v>20</v>
      </c>
      <c r="J60" s="6" t="s">
        <v>2087</v>
      </c>
    </row>
    <row r="61" spans="1:10" x14ac:dyDescent="0.25">
      <c r="A61" s="6" t="s">
        <v>2148</v>
      </c>
      <c r="B61" s="6" t="s">
        <v>61</v>
      </c>
      <c r="C61" s="6" t="s">
        <v>108</v>
      </c>
      <c r="D61" s="6" t="s">
        <v>159</v>
      </c>
      <c r="E61" s="6" t="s">
        <v>342</v>
      </c>
      <c r="F61" s="6" t="s">
        <v>2137</v>
      </c>
      <c r="G61" s="10">
        <v>17.9</v>
      </c>
      <c r="H61" s="8">
        <v>18</v>
      </c>
      <c r="I61" s="8">
        <v>20</v>
      </c>
      <c r="J61" s="6" t="s">
        <v>2087</v>
      </c>
    </row>
    <row r="62" spans="1:10" x14ac:dyDescent="0.25">
      <c r="A62" s="6" t="s">
        <v>2149</v>
      </c>
      <c r="B62" s="6" t="s">
        <v>61</v>
      </c>
      <c r="C62" s="6" t="s">
        <v>112</v>
      </c>
      <c r="D62" s="6" t="s">
        <v>160</v>
      </c>
      <c r="E62" s="6" t="s">
        <v>354</v>
      </c>
      <c r="F62" s="6" t="s">
        <v>2137</v>
      </c>
      <c r="G62" s="8">
        <v>18</v>
      </c>
      <c r="H62" s="8">
        <v>18</v>
      </c>
      <c r="I62" s="8">
        <v>20</v>
      </c>
      <c r="J62" s="6" t="s">
        <v>2087</v>
      </c>
    </row>
    <row r="63" spans="1:10" x14ac:dyDescent="0.25">
      <c r="A63" s="6" t="s">
        <v>2150</v>
      </c>
      <c r="B63" s="6" t="s">
        <v>61</v>
      </c>
      <c r="C63" s="6" t="s">
        <v>112</v>
      </c>
      <c r="D63" s="6" t="s">
        <v>160</v>
      </c>
      <c r="E63" s="6" t="s">
        <v>366</v>
      </c>
      <c r="F63" s="6" t="s">
        <v>2137</v>
      </c>
      <c r="G63" s="10">
        <v>18.1</v>
      </c>
      <c r="H63" s="8">
        <v>18</v>
      </c>
      <c r="I63" s="8">
        <v>20</v>
      </c>
      <c r="J63" s="6" t="s">
        <v>2087</v>
      </c>
    </row>
    <row r="64" spans="1:10" x14ac:dyDescent="0.25">
      <c r="A64" s="6" t="s">
        <v>2151</v>
      </c>
      <c r="B64" s="6" t="s">
        <v>61</v>
      </c>
      <c r="C64" s="6" t="s">
        <v>112</v>
      </c>
      <c r="D64" s="6" t="s">
        <v>162</v>
      </c>
      <c r="E64" s="6" t="s">
        <v>378</v>
      </c>
      <c r="F64" s="6" t="s">
        <v>2137</v>
      </c>
      <c r="G64" s="10">
        <v>18.2</v>
      </c>
      <c r="H64" s="8">
        <v>18</v>
      </c>
      <c r="I64" s="8">
        <v>20</v>
      </c>
      <c r="J64" s="6" t="s">
        <v>2087</v>
      </c>
    </row>
    <row r="65" spans="1:10" x14ac:dyDescent="0.25">
      <c r="A65" s="6" t="s">
        <v>2152</v>
      </c>
      <c r="B65" s="6" t="s">
        <v>61</v>
      </c>
      <c r="C65" s="6" t="s">
        <v>112</v>
      </c>
      <c r="D65" s="6" t="s">
        <v>162</v>
      </c>
      <c r="E65" s="6" t="s">
        <v>390</v>
      </c>
      <c r="F65" s="6" t="s">
        <v>2137</v>
      </c>
      <c r="G65" s="10">
        <v>18.3</v>
      </c>
      <c r="H65" s="8">
        <v>18</v>
      </c>
      <c r="I65" s="8">
        <v>20</v>
      </c>
      <c r="J65" s="6" t="s">
        <v>2087</v>
      </c>
    </row>
    <row r="66" spans="1:10" x14ac:dyDescent="0.25">
      <c r="A66" s="6" t="s">
        <v>2153</v>
      </c>
      <c r="B66" s="6" t="s">
        <v>61</v>
      </c>
      <c r="C66" s="6" t="s">
        <v>112</v>
      </c>
      <c r="D66" s="6" t="s">
        <v>163</v>
      </c>
      <c r="E66" s="6" t="s">
        <v>402</v>
      </c>
      <c r="F66" s="6" t="s">
        <v>2137</v>
      </c>
      <c r="G66" s="10">
        <v>18.4</v>
      </c>
      <c r="H66" s="8">
        <v>18</v>
      </c>
      <c r="I66" s="8">
        <v>20</v>
      </c>
      <c r="J66" s="6" t="s">
        <v>2087</v>
      </c>
    </row>
    <row r="67" spans="1:10" x14ac:dyDescent="0.25">
      <c r="A67" s="6" t="s">
        <v>2154</v>
      </c>
      <c r="B67" s="6" t="s">
        <v>61</v>
      </c>
      <c r="C67" s="6" t="s">
        <v>112</v>
      </c>
      <c r="D67" s="6" t="s">
        <v>163</v>
      </c>
      <c r="E67" s="6" t="s">
        <v>414</v>
      </c>
      <c r="F67" s="6" t="s">
        <v>2137</v>
      </c>
      <c r="G67" s="10">
        <v>17.6</v>
      </c>
      <c r="H67" s="8">
        <v>18</v>
      </c>
      <c r="I67" s="8">
        <v>20</v>
      </c>
      <c r="J67" s="6" t="s">
        <v>2087</v>
      </c>
    </row>
    <row r="68" spans="1:10" x14ac:dyDescent="0.25">
      <c r="A68" s="6" t="s">
        <v>2155</v>
      </c>
      <c r="B68" s="6" t="s">
        <v>61</v>
      </c>
      <c r="C68" s="6" t="s">
        <v>112</v>
      </c>
      <c r="D68" s="6" t="s">
        <v>164</v>
      </c>
      <c r="E68" s="6" t="s">
        <v>426</v>
      </c>
      <c r="F68" s="6" t="s">
        <v>2137</v>
      </c>
      <c r="G68" s="10">
        <v>17.7</v>
      </c>
      <c r="H68" s="8">
        <v>18</v>
      </c>
      <c r="I68" s="8">
        <v>20</v>
      </c>
      <c r="J68" s="6" t="s">
        <v>2087</v>
      </c>
    </row>
    <row r="69" spans="1:10" x14ac:dyDescent="0.25">
      <c r="A69" s="6" t="s">
        <v>2156</v>
      </c>
      <c r="B69" s="6" t="s">
        <v>61</v>
      </c>
      <c r="C69" s="6" t="s">
        <v>112</v>
      </c>
      <c r="D69" s="6" t="s">
        <v>164</v>
      </c>
      <c r="E69" s="6" t="s">
        <v>438</v>
      </c>
      <c r="F69" s="6" t="s">
        <v>2137</v>
      </c>
      <c r="G69" s="10">
        <v>17.8</v>
      </c>
      <c r="H69" s="8">
        <v>18</v>
      </c>
      <c r="I69" s="8">
        <v>20</v>
      </c>
      <c r="J69" s="6" t="s">
        <v>2087</v>
      </c>
    </row>
    <row r="70" spans="1:10" x14ac:dyDescent="0.25">
      <c r="A70" s="6" t="s">
        <v>2157</v>
      </c>
      <c r="B70" s="6" t="s">
        <v>61</v>
      </c>
      <c r="C70" s="6" t="s">
        <v>112</v>
      </c>
      <c r="D70" s="6" t="s">
        <v>165</v>
      </c>
      <c r="E70" s="6" t="s">
        <v>451</v>
      </c>
      <c r="F70" s="6" t="s">
        <v>2137</v>
      </c>
      <c r="G70" s="10">
        <v>20.1</v>
      </c>
      <c r="H70" s="8">
        <v>18</v>
      </c>
      <c r="I70" s="8">
        <v>20</v>
      </c>
      <c r="J70" s="6" t="s">
        <v>2087</v>
      </c>
    </row>
    <row r="71" spans="1:10" x14ac:dyDescent="0.25">
      <c r="A71" s="6" t="s">
        <v>2158</v>
      </c>
      <c r="B71" s="6" t="s">
        <v>61</v>
      </c>
      <c r="C71" s="6" t="s">
        <v>112</v>
      </c>
      <c r="D71" s="6" t="s">
        <v>165</v>
      </c>
      <c r="E71" s="6" t="s">
        <v>463</v>
      </c>
      <c r="F71" s="6" t="s">
        <v>2137</v>
      </c>
      <c r="G71" s="8">
        <v>18</v>
      </c>
      <c r="H71" s="8">
        <v>18</v>
      </c>
      <c r="I71" s="8">
        <v>20</v>
      </c>
      <c r="J71" s="6" t="s">
        <v>2087</v>
      </c>
    </row>
    <row r="72" spans="1:10" x14ac:dyDescent="0.25">
      <c r="A72" s="6" t="s">
        <v>2159</v>
      </c>
      <c r="B72" s="6" t="s">
        <v>61</v>
      </c>
      <c r="C72" s="6" t="s">
        <v>112</v>
      </c>
      <c r="D72" s="6" t="s">
        <v>168</v>
      </c>
      <c r="E72" s="6" t="s">
        <v>475</v>
      </c>
      <c r="F72" s="6" t="s">
        <v>2137</v>
      </c>
      <c r="G72" s="10">
        <v>18.1</v>
      </c>
      <c r="H72" s="8">
        <v>18</v>
      </c>
      <c r="I72" s="8">
        <v>20</v>
      </c>
      <c r="J72" s="6" t="s">
        <v>2087</v>
      </c>
    </row>
    <row r="73" spans="1:10" x14ac:dyDescent="0.25">
      <c r="A73" s="6" t="s">
        <v>2160</v>
      </c>
      <c r="B73" s="6" t="s">
        <v>61</v>
      </c>
      <c r="C73" s="6" t="s">
        <v>112</v>
      </c>
      <c r="D73" s="6" t="s">
        <v>168</v>
      </c>
      <c r="E73" s="6" t="s">
        <v>487</v>
      </c>
      <c r="F73" s="6" t="s">
        <v>2137</v>
      </c>
      <c r="G73" s="10">
        <v>18.2</v>
      </c>
      <c r="H73" s="8">
        <v>18</v>
      </c>
      <c r="I73" s="8">
        <v>20</v>
      </c>
      <c r="J73" s="6" t="s">
        <v>2087</v>
      </c>
    </row>
    <row r="74" spans="1:10" x14ac:dyDescent="0.25">
      <c r="A74" s="6" t="s">
        <v>2161</v>
      </c>
      <c r="B74" s="6" t="s">
        <v>61</v>
      </c>
      <c r="C74" s="6" t="s">
        <v>114</v>
      </c>
      <c r="D74" s="6" t="s">
        <v>169</v>
      </c>
      <c r="E74" s="6" t="s">
        <v>499</v>
      </c>
      <c r="F74" s="6" t="s">
        <v>2137</v>
      </c>
      <c r="G74" s="10">
        <v>18.3</v>
      </c>
      <c r="H74" s="8">
        <v>18</v>
      </c>
      <c r="I74" s="8">
        <v>20</v>
      </c>
      <c r="J74" s="6" t="s">
        <v>2087</v>
      </c>
    </row>
    <row r="75" spans="1:10" x14ac:dyDescent="0.25">
      <c r="A75" s="6" t="s">
        <v>2162</v>
      </c>
      <c r="B75" s="6" t="s">
        <v>61</v>
      </c>
      <c r="C75" s="6" t="s">
        <v>114</v>
      </c>
      <c r="D75" s="6" t="s">
        <v>169</v>
      </c>
      <c r="E75" s="6" t="s">
        <v>511</v>
      </c>
      <c r="F75" s="6" t="s">
        <v>2137</v>
      </c>
      <c r="G75" s="10">
        <v>18.4</v>
      </c>
      <c r="H75" s="8">
        <v>18</v>
      </c>
      <c r="I75" s="8">
        <v>20</v>
      </c>
      <c r="J75" s="6" t="s">
        <v>2087</v>
      </c>
    </row>
    <row r="76" spans="1:10" x14ac:dyDescent="0.25">
      <c r="A76" s="6" t="s">
        <v>2163</v>
      </c>
      <c r="B76" s="6" t="s">
        <v>61</v>
      </c>
      <c r="C76" s="6" t="s">
        <v>114</v>
      </c>
      <c r="D76" s="6" t="s">
        <v>170</v>
      </c>
      <c r="E76" s="6" t="s">
        <v>523</v>
      </c>
      <c r="F76" s="6" t="s">
        <v>2137</v>
      </c>
      <c r="G76" s="10">
        <v>17.6</v>
      </c>
      <c r="H76" s="8">
        <v>18</v>
      </c>
      <c r="I76" s="8">
        <v>20</v>
      </c>
      <c r="J76" s="6" t="s">
        <v>2087</v>
      </c>
    </row>
    <row r="77" spans="1:10" x14ac:dyDescent="0.25">
      <c r="A77" s="6" t="s">
        <v>2164</v>
      </c>
      <c r="B77" s="6" t="s">
        <v>61</v>
      </c>
      <c r="C77" s="6" t="s">
        <v>114</v>
      </c>
      <c r="D77" s="6" t="s">
        <v>170</v>
      </c>
      <c r="E77" s="6" t="s">
        <v>535</v>
      </c>
      <c r="F77" s="6" t="s">
        <v>2137</v>
      </c>
      <c r="G77" s="10">
        <v>17.7</v>
      </c>
      <c r="H77" s="8">
        <v>18</v>
      </c>
      <c r="I77" s="8">
        <v>20</v>
      </c>
      <c r="J77" s="6" t="s">
        <v>2087</v>
      </c>
    </row>
    <row r="78" spans="1:10" x14ac:dyDescent="0.25">
      <c r="A78" s="6" t="s">
        <v>2165</v>
      </c>
      <c r="B78" s="6" t="s">
        <v>61</v>
      </c>
      <c r="C78" s="6" t="s">
        <v>114</v>
      </c>
      <c r="D78" s="6" t="s">
        <v>171</v>
      </c>
      <c r="E78" s="6" t="s">
        <v>547</v>
      </c>
      <c r="F78" s="6" t="s">
        <v>2137</v>
      </c>
      <c r="G78" s="10">
        <v>17.8</v>
      </c>
      <c r="H78" s="8">
        <v>18</v>
      </c>
      <c r="I78" s="8">
        <v>20</v>
      </c>
      <c r="J78" s="6" t="s">
        <v>2087</v>
      </c>
    </row>
    <row r="79" spans="1:10" x14ac:dyDescent="0.25">
      <c r="A79" s="6" t="s">
        <v>2166</v>
      </c>
      <c r="B79" s="6" t="s">
        <v>61</v>
      </c>
      <c r="C79" s="6" t="s">
        <v>114</v>
      </c>
      <c r="D79" s="6" t="s">
        <v>171</v>
      </c>
      <c r="E79" s="6" t="s">
        <v>559</v>
      </c>
      <c r="F79" s="6" t="s">
        <v>2137</v>
      </c>
      <c r="G79" s="10">
        <v>17.9</v>
      </c>
      <c r="H79" s="8">
        <v>18</v>
      </c>
      <c r="I79" s="8">
        <v>20</v>
      </c>
      <c r="J79" s="6" t="s">
        <v>2087</v>
      </c>
    </row>
    <row r="80" spans="1:10" x14ac:dyDescent="0.25">
      <c r="A80" s="6" t="s">
        <v>2167</v>
      </c>
      <c r="B80" s="6" t="s">
        <v>61</v>
      </c>
      <c r="C80" s="6" t="s">
        <v>114</v>
      </c>
      <c r="D80" s="6" t="s">
        <v>172</v>
      </c>
      <c r="E80" s="6" t="s">
        <v>571</v>
      </c>
      <c r="F80" s="6" t="s">
        <v>2137</v>
      </c>
      <c r="G80" s="8">
        <v>18</v>
      </c>
      <c r="H80" s="8">
        <v>18</v>
      </c>
      <c r="I80" s="8">
        <v>20</v>
      </c>
      <c r="J80" s="6" t="s">
        <v>2087</v>
      </c>
    </row>
    <row r="81" spans="1:10" x14ac:dyDescent="0.25">
      <c r="A81" s="6" t="s">
        <v>2168</v>
      </c>
      <c r="B81" s="6" t="s">
        <v>61</v>
      </c>
      <c r="C81" s="6" t="s">
        <v>114</v>
      </c>
      <c r="D81" s="6" t="s">
        <v>172</v>
      </c>
      <c r="E81" s="6" t="s">
        <v>583</v>
      </c>
      <c r="F81" s="6" t="s">
        <v>2137</v>
      </c>
      <c r="G81" s="10">
        <v>18.1</v>
      </c>
      <c r="H81" s="8">
        <v>18</v>
      </c>
      <c r="I81" s="8">
        <v>20</v>
      </c>
      <c r="J81" s="6" t="s">
        <v>2087</v>
      </c>
    </row>
    <row r="82" spans="1:10" x14ac:dyDescent="0.25">
      <c r="A82" s="6" t="s">
        <v>2169</v>
      </c>
      <c r="B82" s="6" t="s">
        <v>61</v>
      </c>
      <c r="C82" s="6" t="s">
        <v>114</v>
      </c>
      <c r="D82" s="6" t="s">
        <v>174</v>
      </c>
      <c r="E82" s="6" t="s">
        <v>595</v>
      </c>
      <c r="F82" s="6" t="s">
        <v>2137</v>
      </c>
      <c r="G82" s="10">
        <v>18.2</v>
      </c>
      <c r="H82" s="8">
        <v>18</v>
      </c>
      <c r="I82" s="8">
        <v>20</v>
      </c>
      <c r="J82" s="6" t="s">
        <v>2087</v>
      </c>
    </row>
    <row r="83" spans="1:10" x14ac:dyDescent="0.25">
      <c r="A83" s="6" t="s">
        <v>2170</v>
      </c>
      <c r="B83" s="6" t="s">
        <v>61</v>
      </c>
      <c r="C83" s="6" t="s">
        <v>114</v>
      </c>
      <c r="D83" s="6" t="s">
        <v>174</v>
      </c>
      <c r="E83" s="6" t="s">
        <v>607</v>
      </c>
      <c r="F83" s="6" t="s">
        <v>2137</v>
      </c>
      <c r="G83" s="10">
        <v>18.3</v>
      </c>
      <c r="H83" s="8">
        <v>18</v>
      </c>
      <c r="I83" s="8">
        <v>20</v>
      </c>
      <c r="J83" s="6" t="s">
        <v>2087</v>
      </c>
    </row>
    <row r="84" spans="1:10" x14ac:dyDescent="0.25">
      <c r="A84" s="6" t="s">
        <v>2171</v>
      </c>
      <c r="B84" s="6" t="s">
        <v>61</v>
      </c>
      <c r="C84" s="6" t="s">
        <v>114</v>
      </c>
      <c r="D84" s="6" t="s">
        <v>176</v>
      </c>
      <c r="E84" s="6" t="s">
        <v>619</v>
      </c>
      <c r="F84" s="6" t="s">
        <v>2137</v>
      </c>
      <c r="G84" s="10">
        <v>18.4</v>
      </c>
      <c r="H84" s="8">
        <v>18</v>
      </c>
      <c r="I84" s="8">
        <v>20</v>
      </c>
      <c r="J84" s="6" t="s">
        <v>2087</v>
      </c>
    </row>
    <row r="85" spans="1:10" x14ac:dyDescent="0.25">
      <c r="A85" s="6" t="s">
        <v>2172</v>
      </c>
      <c r="B85" s="6" t="s">
        <v>61</v>
      </c>
      <c r="C85" s="6" t="s">
        <v>114</v>
      </c>
      <c r="D85" s="6" t="s">
        <v>176</v>
      </c>
      <c r="E85" s="6" t="s">
        <v>631</v>
      </c>
      <c r="F85" s="6" t="s">
        <v>2137</v>
      </c>
      <c r="G85" s="10">
        <v>17.6</v>
      </c>
      <c r="H85" s="8">
        <v>18</v>
      </c>
      <c r="I85" s="8">
        <v>20</v>
      </c>
      <c r="J85" s="6" t="s">
        <v>2087</v>
      </c>
    </row>
    <row r="86" spans="1:10" x14ac:dyDescent="0.25">
      <c r="A86" s="6" t="s">
        <v>2173</v>
      </c>
      <c r="B86" s="6" t="s">
        <v>61</v>
      </c>
      <c r="C86" s="6" t="s">
        <v>116</v>
      </c>
      <c r="D86" s="6" t="s">
        <v>177</v>
      </c>
      <c r="E86" s="6" t="s">
        <v>643</v>
      </c>
      <c r="F86" s="6" t="s">
        <v>2137</v>
      </c>
      <c r="G86" s="10">
        <v>17.7</v>
      </c>
      <c r="H86" s="8">
        <v>18</v>
      </c>
      <c r="I86" s="8">
        <v>20</v>
      </c>
      <c r="J86" s="6" t="s">
        <v>2087</v>
      </c>
    </row>
    <row r="87" spans="1:10" x14ac:dyDescent="0.25">
      <c r="A87" s="6" t="s">
        <v>2174</v>
      </c>
      <c r="B87" s="6" t="s">
        <v>61</v>
      </c>
      <c r="C87" s="6" t="s">
        <v>116</v>
      </c>
      <c r="D87" s="6" t="s">
        <v>177</v>
      </c>
      <c r="E87" s="6" t="s">
        <v>655</v>
      </c>
      <c r="F87" s="6" t="s">
        <v>2137</v>
      </c>
      <c r="G87" s="10">
        <v>17.8</v>
      </c>
      <c r="H87" s="8">
        <v>18</v>
      </c>
      <c r="I87" s="8">
        <v>20</v>
      </c>
      <c r="J87" s="6" t="s">
        <v>2087</v>
      </c>
    </row>
    <row r="88" spans="1:10" x14ac:dyDescent="0.25">
      <c r="A88" s="6" t="s">
        <v>2175</v>
      </c>
      <c r="B88" s="6" t="s">
        <v>61</v>
      </c>
      <c r="C88" s="6" t="s">
        <v>116</v>
      </c>
      <c r="D88" s="6" t="s">
        <v>180</v>
      </c>
      <c r="E88" s="6" t="s">
        <v>667</v>
      </c>
      <c r="F88" s="6" t="s">
        <v>2137</v>
      </c>
      <c r="G88" s="10">
        <v>17.9</v>
      </c>
      <c r="H88" s="8">
        <v>18</v>
      </c>
      <c r="I88" s="8">
        <v>20</v>
      </c>
      <c r="J88" s="6" t="s">
        <v>2087</v>
      </c>
    </row>
    <row r="89" spans="1:10" x14ac:dyDescent="0.25">
      <c r="A89" s="6" t="s">
        <v>2176</v>
      </c>
      <c r="B89" s="6" t="s">
        <v>61</v>
      </c>
      <c r="C89" s="6" t="s">
        <v>116</v>
      </c>
      <c r="D89" s="6" t="s">
        <v>180</v>
      </c>
      <c r="E89" s="6" t="s">
        <v>679</v>
      </c>
      <c r="F89" s="6" t="s">
        <v>2137</v>
      </c>
      <c r="G89" s="8">
        <v>18</v>
      </c>
      <c r="H89" s="8">
        <v>18</v>
      </c>
      <c r="I89" s="8">
        <v>20</v>
      </c>
      <c r="J89" s="6" t="s">
        <v>2087</v>
      </c>
    </row>
    <row r="90" spans="1:10" x14ac:dyDescent="0.25">
      <c r="A90" s="6" t="s">
        <v>2177</v>
      </c>
      <c r="B90" s="6" t="s">
        <v>61</v>
      </c>
      <c r="C90" s="6" t="s">
        <v>116</v>
      </c>
      <c r="D90" s="6" t="s">
        <v>181</v>
      </c>
      <c r="E90" s="6" t="s">
        <v>691</v>
      </c>
      <c r="F90" s="6" t="s">
        <v>2137</v>
      </c>
      <c r="G90" s="10">
        <v>18.1</v>
      </c>
      <c r="H90" s="8">
        <v>18</v>
      </c>
      <c r="I90" s="8">
        <v>20</v>
      </c>
      <c r="J90" s="6" t="s">
        <v>2087</v>
      </c>
    </row>
    <row r="91" spans="1:10" x14ac:dyDescent="0.25">
      <c r="A91" s="6" t="s">
        <v>2178</v>
      </c>
      <c r="B91" s="6" t="s">
        <v>61</v>
      </c>
      <c r="C91" s="6" t="s">
        <v>116</v>
      </c>
      <c r="D91" s="6" t="s">
        <v>181</v>
      </c>
      <c r="E91" s="6" t="s">
        <v>703</v>
      </c>
      <c r="F91" s="6" t="s">
        <v>2137</v>
      </c>
      <c r="G91" s="10">
        <v>18.2</v>
      </c>
      <c r="H91" s="8">
        <v>18</v>
      </c>
      <c r="I91" s="8">
        <v>20</v>
      </c>
      <c r="J91" s="6" t="s">
        <v>2087</v>
      </c>
    </row>
    <row r="92" spans="1:10" x14ac:dyDescent="0.25">
      <c r="A92" s="6" t="s">
        <v>2179</v>
      </c>
      <c r="B92" s="6" t="s">
        <v>61</v>
      </c>
      <c r="C92" s="6" t="s">
        <v>116</v>
      </c>
      <c r="D92" s="6" t="s">
        <v>182</v>
      </c>
      <c r="E92" s="6" t="s">
        <v>715</v>
      </c>
      <c r="F92" s="6" t="s">
        <v>2137</v>
      </c>
      <c r="G92" s="10">
        <v>18.3</v>
      </c>
      <c r="H92" s="8">
        <v>18</v>
      </c>
      <c r="I92" s="8">
        <v>20</v>
      </c>
      <c r="J92" s="6" t="s">
        <v>2087</v>
      </c>
    </row>
    <row r="93" spans="1:10" x14ac:dyDescent="0.25">
      <c r="A93" s="6" t="s">
        <v>2180</v>
      </c>
      <c r="B93" s="6" t="s">
        <v>61</v>
      </c>
      <c r="C93" s="6" t="s">
        <v>116</v>
      </c>
      <c r="D93" s="6" t="s">
        <v>182</v>
      </c>
      <c r="E93" s="6" t="s">
        <v>727</v>
      </c>
      <c r="F93" s="6" t="s">
        <v>2137</v>
      </c>
      <c r="G93" s="10">
        <v>18.4</v>
      </c>
      <c r="H93" s="8">
        <v>18</v>
      </c>
      <c r="I93" s="8">
        <v>20</v>
      </c>
      <c r="J93" s="6" t="s">
        <v>2087</v>
      </c>
    </row>
    <row r="94" spans="1:10" x14ac:dyDescent="0.25">
      <c r="A94" s="6" t="s">
        <v>2181</v>
      </c>
      <c r="B94" s="6" t="s">
        <v>61</v>
      </c>
      <c r="C94" s="6" t="s">
        <v>116</v>
      </c>
      <c r="D94" s="6" t="s">
        <v>183</v>
      </c>
      <c r="E94" s="6" t="s">
        <v>739</v>
      </c>
      <c r="F94" s="6" t="s">
        <v>2137</v>
      </c>
      <c r="G94" s="10">
        <v>17.6</v>
      </c>
      <c r="H94" s="8">
        <v>18</v>
      </c>
      <c r="I94" s="8">
        <v>20</v>
      </c>
      <c r="J94" s="6" t="s">
        <v>2087</v>
      </c>
    </row>
    <row r="95" spans="1:10" x14ac:dyDescent="0.25">
      <c r="A95" s="6" t="s">
        <v>2182</v>
      </c>
      <c r="B95" s="6" t="s">
        <v>61</v>
      </c>
      <c r="C95" s="6" t="s">
        <v>116</v>
      </c>
      <c r="D95" s="6" t="s">
        <v>183</v>
      </c>
      <c r="E95" s="6" t="s">
        <v>751</v>
      </c>
      <c r="F95" s="6" t="s">
        <v>2137</v>
      </c>
      <c r="G95" s="10">
        <v>17.7</v>
      </c>
      <c r="H95" s="8">
        <v>18</v>
      </c>
      <c r="I95" s="8">
        <v>20</v>
      </c>
      <c r="J95" s="6" t="s">
        <v>2087</v>
      </c>
    </row>
    <row r="96" spans="1:10" x14ac:dyDescent="0.25">
      <c r="A96" s="6" t="s">
        <v>2183</v>
      </c>
      <c r="B96" s="6" t="s">
        <v>61</v>
      </c>
      <c r="C96" s="6" t="s">
        <v>116</v>
      </c>
      <c r="D96" s="6" t="s">
        <v>184</v>
      </c>
      <c r="E96" s="6" t="s">
        <v>763</v>
      </c>
      <c r="F96" s="6" t="s">
        <v>2137</v>
      </c>
      <c r="G96" s="10">
        <v>17.8</v>
      </c>
      <c r="H96" s="8">
        <v>18</v>
      </c>
      <c r="I96" s="8">
        <v>20</v>
      </c>
      <c r="J96" s="6" t="s">
        <v>2087</v>
      </c>
    </row>
    <row r="97" spans="1:10" x14ac:dyDescent="0.25">
      <c r="A97" s="6" t="s">
        <v>2184</v>
      </c>
      <c r="B97" s="6" t="s">
        <v>61</v>
      </c>
      <c r="C97" s="6" t="s">
        <v>116</v>
      </c>
      <c r="D97" s="6" t="s">
        <v>184</v>
      </c>
      <c r="E97" s="6" t="s">
        <v>775</v>
      </c>
      <c r="F97" s="6" t="s">
        <v>2137</v>
      </c>
      <c r="G97" s="10">
        <v>17.9</v>
      </c>
      <c r="H97" s="8">
        <v>18</v>
      </c>
      <c r="I97" s="8">
        <v>20</v>
      </c>
      <c r="J97" s="6" t="s">
        <v>2087</v>
      </c>
    </row>
    <row r="99" spans="1:1" x14ac:dyDescent="0.25">
      <c r="A99" s="9" t="s">
        <v>2185</v>
      </c>
    </row>
    <row r="100" spans="1:1" x14ac:dyDescent="0.25">
      <c r="A100" s="9" t="s">
        <v>2186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