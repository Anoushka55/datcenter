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00_README" state="visible" r:id="rId4"/>
    <sheet sheetId="2" name="01_facilities" state="visible" r:id="rId5"/>
    <sheet sheetId="3" name="02_halls" state="visible" r:id="rId6"/>
    <sheet sheetId="4" name="03_rows" state="visible" r:id="rId7"/>
    <sheet sheetId="5" name="04_racks" state="visible" r:id="rId8"/>
    <sheet sheetId="6" name="04_components" state="visible" r:id="rId9"/>
    <sheet sheetId="7" name="04b_component_positions" state="visible" r:id="rId10"/>
    <sheet sheetId="8" name="05_dependencies" state="visible" r:id="rId11"/>
    <sheet sheetId="9" name="06_upgrade_options" state="visible" r:id="rId12"/>
    <sheet sheetId="10" name="07_cascade_result" state="visible" r:id="rId13"/>
    <sheet sheetId="11" name="08_secondary_effects" state="visible" r:id="rId14"/>
    <sheet sheetId="12" name="09_tenants" state="visible" r:id="rId15"/>
    <sheet sheetId="13" name="10_contracts" state="visible" r:id="rId16"/>
    <sheet sheetId="14" name="11_incidents" state="visible" r:id="rId17"/>
    <sheet sheetId="15" name="12_telemetry_replay" state="visible" r:id="rId18"/>
    <sheet sheetId="16" name="13_energy" state="visible" r:id="rId19"/>
    <sheet sheetId="17" name="14_water" state="visible" r:id="rId20"/>
    <sheet sheetId="18" name="15_grid" state="visible" r:id="rId21"/>
    <sheet sheetId="19" name="16_state_policy" state="visible" r:id="rId22"/>
    <sheet sheetId="20" name="17_demo_script" state="visible" r:id="rId23"/>
    <sheet sheetId="21" name="19_maintenance" state="visible" r:id="rId24"/>
    <sheet sheetId="22" name="20_active_alerts" state="visible" r:id="rId25"/>
    <sheet sheetId="23" name="21_benchmarks" state="visible" r:id="rId26"/>
    <sheet sheetId="24" name="22_timeseries" state="visible" r:id="rId27"/>
    <sheet sheetId="26" name="23_runbooks" state="visible" r:id="rId28"/>
    <sheet sheetId="27" name="24_site_risk" state="visible" r:id="rId29"/>
    <sheet sheetId="28" name="25_supply_chain" state="visible" r:id="rId30"/>
    <sheet sheetId="29" name="26_thermal_sensors" state="visible" r:id="rId31"/>
    <sheet sheetId="30" name="27_hourly_generation" state="visible" r:id="rId32"/>
    <sheet sheetId="31" name="28_clean_energy_assets" state="visible" r:id="rId33"/>
    <sheet sheetId="32" name="29_water_reuse_opportunities" state="visible" r:id="rId34"/>
    <sheet sheetId="25" name="18_checks" state="visible" r:id="rId35"/>
  </sheets>
  <calcPr calcId="171027"/>
</workbook>
</file>

<file path=xl/sharedStrings.xml><?xml version="1.0" encoding="utf-8"?>
<sst xmlns="http://schemas.openxmlformats.org/spreadsheetml/2006/main" count="12784" uniqueCount="3024">
  <si>
    <t>Nexus Data Infrastructure - K-Nexus demo dataset</t>
  </si>
  <si>
    <t>What this is</t>
  </si>
  <si>
    <t>A composite Indian datacenter operator built for demonstration. The company is fictional. Every specification, tariff, lead time and equipment rating is drawn from real market data.</t>
  </si>
  <si>
    <t>How to brief an audience</t>
  </si>
  <si>
    <t>"Everything you are about to see runs on Nexus Data Infrastructure, a composite operator we built from published Indian facility specifications, real equipment ratings and actual state tariffs. The company is not real. Every number in it is." Say it once, early, then never mention it again.</t>
  </si>
  <si>
    <t>Portfolio</t>
  </si>
  <si>
    <t>Operator</t>
  </si>
  <si>
    <t>Nexus Data Infrastructure Pvt Ltd</t>
  </si>
  <si>
    <t>Facilities</t>
  </si>
  <si>
    <t>6 (5 operational, 1 under construction)</t>
  </si>
  <si>
    <t>Total design IT load</t>
  </si>
  <si>
    <t>67,000 kW across the portfolio</t>
  </si>
  <si>
    <t>Hero facility</t>
  </si>
  <si>
    <t>Nexus Mumbai-1 (MUM-1) - all four demo scenes run here</t>
  </si>
  <si>
    <t>Planted demo moments - these numbers are deliberate, not random</t>
  </si>
  <si>
    <t>Scene 1 - Stranded</t>
  </si>
  <si>
    <t>MUM-1 carries 640 kW of structural stranded capacity. Row K 380 kW (cooling-limited), Row C 190 kW (space-limited), Row P 40 kW, Row Q 30 kW. Hall 4 holds a further 480 kW classified as planned expansion headroom, NOT waste.</t>
  </si>
  <si>
    <t>Scene 2 - Can we take it</t>
  </si>
  <si>
    <t>A 2 MW enquiry at 60 kW/rack against MUM-1 Hall 4. Space allows 34 racks, power allows 22, cooling allows 14. Cooling binds. Answer: 840 kW deployable today.</t>
  </si>
  <si>
    <t>Scene 3 - Cascade</t>
  </si>
  <si>
    <t>MUM-1 Row G from 10 kW to 60 kW per rack (+1,000 kW). Breaks 5 components across 3 systems. Costs the UPS-1/UPS-2 pair its N+1 redundancy. Rs 2.50 crore of upgrades, 16-week critical path.</t>
  </si>
  <si>
    <t>Scene 4 - Replay</t>
  </si>
  <si>
    <t>Incident INC-2026-0318 at MUM-1. Formally detected 04:12 on 18 March. Degradation signal present in telemetry from 22:40 the previous evening - 5 hours 32 minutes earlier.</t>
  </si>
  <si>
    <t>Rules for anyone extending this data</t>
  </si>
  <si>
    <t>Naming</t>
  </si>
  <si>
    <t>Facility IDs are MUM-1, MUM-2, CHN-1, HYD-1, NCR-1, BLR-1. Rows are single letters A-X. Components follow TYPE-IDENTIFIER. Never invent a new naming scheme in one module.</t>
  </si>
  <si>
    <t>Currency</t>
  </si>
  <si>
    <t>All costs in INR lakh unless the column says otherwise. 100 lakh = 1 crore.</t>
  </si>
  <si>
    <t>Units</t>
  </si>
  <si>
    <t>Power in kW, transformers and UPS in kVA, cooling in kW or TR, water flow in LPM, consumption in litres.</t>
  </si>
  <si>
    <t>Do not</t>
  </si>
  <si>
    <t>Name a real operator, even favourably. Use round numbers everywhere - real facilities have 847 racks, not 850. Make the hero facility a disaster.</t>
  </si>
  <si>
    <t>Operations sheets (23-26)</t>
  </si>
  <si>
    <t>Runbooks, site hazard exposure, supply chain and MUM-1 thermal sensors. These feed incident response, site risk and the thermal twin.</t>
  </si>
  <si>
    <t>23_runbooks</t>
  </si>
  <si>
    <t>Ordered response steps per component failure mode, with owner team and target time.</t>
  </si>
  <si>
    <t>24_site_risk</t>
  </si>
  <si>
    <t>Seismic zone, flood, cyclone and heat exposure, and grid trips per facility.</t>
  </si>
  <si>
    <t>25_supply_chain</t>
  </si>
  <si>
    <t>Vendor, origin, single-source flag and lead time per component type.</t>
  </si>
  <si>
    <t>26_thermal_sensors</t>
  </si>
  <si>
    <t>Cold-aisle inlet and CRAH supply-air readings for every MUM-1 row.</t>
  </si>
  <si>
    <t>facility_id</t>
  </si>
  <si>
    <t>name</t>
  </si>
  <si>
    <t>city</t>
  </si>
  <si>
    <t>state</t>
  </si>
  <si>
    <t>lat</t>
  </si>
  <si>
    <t>lon</t>
  </si>
  <si>
    <t>tier</t>
  </si>
  <si>
    <t>commissioned</t>
  </si>
  <si>
    <t>status</t>
  </si>
  <si>
    <t>design_it_kw</t>
  </si>
  <si>
    <t>used_it_kw</t>
  </si>
  <si>
    <t>utilisation_pct</t>
  </si>
  <si>
    <t>halls</t>
  </si>
  <si>
    <t>racks</t>
  </si>
  <si>
    <t>pue</t>
  </si>
  <si>
    <t>wue_l_per_kwh</t>
  </si>
  <si>
    <t>tariff_inr_kwh</t>
  </si>
  <si>
    <t>renewable_pct</t>
  </si>
  <si>
    <t>demo_role</t>
  </si>
  <si>
    <t>MUM-1</t>
  </si>
  <si>
    <t>Nexus Mumbai-1</t>
  </si>
  <si>
    <t>Navi Mumbai</t>
  </si>
  <si>
    <t>Maharashtra</t>
  </si>
  <si>
    <t>Tier III</t>
  </si>
  <si>
    <t>2019-08-14</t>
  </si>
  <si>
    <t>Operational</t>
  </si>
  <si>
    <t>HERO. All four demo scenes run here.</t>
  </si>
  <si>
    <t>MUM-2</t>
  </si>
  <si>
    <t>Nexus Mumbai-2</t>
  </si>
  <si>
    <t>2016-03-22</t>
  </si>
  <si>
    <t>Older build. Severe AI density gap, worst PUE in portfolio.</t>
  </si>
  <si>
    <t>CHN-1</t>
  </si>
  <si>
    <t>Nexus Chennai-1</t>
  </si>
  <si>
    <t>Chennai</t>
  </si>
  <si>
    <t>Tamil Nadu</t>
  </si>
  <si>
    <t>2021-11-05</t>
  </si>
  <si>
    <t>Water stress and cyclone exposure. Carries the water argument.</t>
  </si>
  <si>
    <t>HYD-1</t>
  </si>
  <si>
    <t>Nexus Hyderabad-1</t>
  </si>
  <si>
    <t>Hyderabad</t>
  </si>
  <si>
    <t>Telangana</t>
  </si>
  <si>
    <t>2024-02-19</t>
  </si>
  <si>
    <t>The healthy contrast. Modern, AI-ready, best efficiency.</t>
  </si>
  <si>
    <t>NCR-1</t>
  </si>
  <si>
    <t>Nexus NCR-1</t>
  </si>
  <si>
    <t>Noida</t>
  </si>
  <si>
    <t>Uttar Pradesh</t>
  </si>
  <si>
    <t>2022-06-30</t>
  </si>
  <si>
    <t>Grid constrained. Interconnection queue. Power scarcity point.</t>
  </si>
  <si>
    <t>BLR-1</t>
  </si>
  <si>
    <t>Nexus Bengaluru-1</t>
  </si>
  <si>
    <t>Bengaluru</t>
  </si>
  <si>
    <t>Karnataka</t>
  </si>
  <si>
    <t>Tier IV</t>
  </si>
  <si>
    <t>2027-04-01</t>
  </si>
  <si>
    <t>Under construction</t>
  </si>
  <si>
    <t>Karnataka policy angle - new plant-wise PUE/WUE mandate applies.</t>
  </si>
  <si>
    <t>hall_id</t>
  </si>
  <si>
    <t>row_count</t>
  </si>
  <si>
    <t>rack_count</t>
  </si>
  <si>
    <t>power_circuit_kw</t>
  </si>
  <si>
    <t>cooling_capacity_kw</t>
  </si>
  <si>
    <t>used_kw</t>
  </si>
  <si>
    <t>max_density_kw</t>
  </si>
  <si>
    <t>cooling_type</t>
  </si>
  <si>
    <t>note</t>
  </si>
  <si>
    <t>MUM-1-H1</t>
  </si>
  <si>
    <t>Hall 1</t>
  </si>
  <si>
    <t>Chilled water CRAH</t>
  </si>
  <si>
    <t>2019 original build</t>
  </si>
  <si>
    <t>MUM-1-H2</t>
  </si>
  <si>
    <t>Hall 2</t>
  </si>
  <si>
    <t>MUM-1-H3</t>
  </si>
  <si>
    <t>Hall 3</t>
  </si>
  <si>
    <t>MUM-1-H4</t>
  </si>
  <si>
    <t>Hall 4</t>
  </si>
  <si>
    <t>Chilled water, high-density containment</t>
  </si>
  <si>
    <t>2023 retrofit, AI-ready</t>
  </si>
  <si>
    <t>MUM-2-H1</t>
  </si>
  <si>
    <t>MUM-2-H2</t>
  </si>
  <si>
    <t>MUM-2-H3</t>
  </si>
  <si>
    <t>CHN-1-H1</t>
  </si>
  <si>
    <t>CHN-1-H2</t>
  </si>
  <si>
    <t>CHN-1-H3</t>
  </si>
  <si>
    <t>HYD-1-H1</t>
  </si>
  <si>
    <t>HYD-1-H2</t>
  </si>
  <si>
    <t>HYD-1-H3</t>
  </si>
  <si>
    <t>HYD-1-H4</t>
  </si>
  <si>
    <t>NCR-1-H1</t>
  </si>
  <si>
    <t>NCR-1-H2</t>
  </si>
  <si>
    <t>NCR-1-H3</t>
  </si>
  <si>
    <t>BLR-1-H1</t>
  </si>
  <si>
    <t>BLR-1-H2</t>
  </si>
  <si>
    <t>BLR-1-H3</t>
  </si>
  <si>
    <t>BLR-1-H4</t>
  </si>
  <si>
    <t>BLR-1-H5</t>
  </si>
  <si>
    <t>Hall 5</t>
  </si>
  <si>
    <t>row_id</t>
  </si>
  <si>
    <t>usable_positions</t>
  </si>
  <si>
    <t>racks_occupied</t>
  </si>
  <si>
    <t>racks_free</t>
  </si>
  <si>
    <t>design_space_kw</t>
  </si>
  <si>
    <t>deployable_kw</t>
  </si>
  <si>
    <t>headroom_kw</t>
  </si>
  <si>
    <t>stranded_kw</t>
  </si>
  <si>
    <t>binding_constraint</t>
  </si>
  <si>
    <t>stranded_classification</t>
  </si>
  <si>
    <t>thermal_margin_c</t>
  </si>
  <si>
    <t>A</t>
  </si>
  <si>
    <t>balanced</t>
  </si>
  <si>
    <t>B</t>
  </si>
  <si>
    <t>C</t>
  </si>
  <si>
    <t>space</t>
  </si>
  <si>
    <t>structural</t>
  </si>
  <si>
    <t>STRUCTURAL STRANDING: 570 kW circuit, one position permanently blocked by CRAH access</t>
  </si>
  <si>
    <t>D</t>
  </si>
  <si>
    <t>E</t>
  </si>
  <si>
    <t>F</t>
  </si>
  <si>
    <t>G</t>
  </si>
  <si>
    <t>CASCADE TARGET: 20 racks at 10 kW, proposal takes them to 60 kW</t>
  </si>
  <si>
    <t>H</t>
  </si>
  <si>
    <t>I</t>
  </si>
  <si>
    <t>J</t>
  </si>
  <si>
    <t>K</t>
  </si>
  <si>
    <t>cooling</t>
  </si>
  <si>
    <t>STRUCTURAL STRANDING: 600 kW circuit against 220 kW of cooling</t>
  </si>
  <si>
    <t>L</t>
  </si>
  <si>
    <t>M</t>
  </si>
  <si>
    <t>N</t>
  </si>
  <si>
    <t>O</t>
  </si>
  <si>
    <t>P</t>
  </si>
  <si>
    <t>STRUCTURAL STRANDING: 40 kW cooling shortfall</t>
  </si>
  <si>
    <t>Q</t>
  </si>
  <si>
    <t>STRUCTURAL STRANDING: 30 kW cooling shortfall</t>
  </si>
  <si>
    <t>R</t>
  </si>
  <si>
    <t>S</t>
  </si>
  <si>
    <t>planned headroom</t>
  </si>
  <si>
    <t>AI-ready, 2023 retrofit. Power ahead of cooling by design.</t>
  </si>
  <si>
    <t>T</t>
  </si>
  <si>
    <t>U</t>
  </si>
  <si>
    <t>V</t>
  </si>
  <si>
    <t>W</t>
  </si>
  <si>
    <t>X</t>
  </si>
  <si>
    <t>stranded_kw = power_circuit_kw - min(power_circuit_kw, cooling_capacity_kw, design_space_kw)</t>
  </si>
  <si>
    <t>Only 'structural' stranding is counted as recoverable waste. Hall 4 is deliberate provisioning.</t>
  </si>
  <si>
    <t>rack_id</t>
  </si>
  <si>
    <t>position_in_row</t>
  </si>
  <si>
    <t>x_m</t>
  </si>
  <si>
    <t>y_m</t>
  </si>
  <si>
    <t>z_m</t>
  </si>
  <si>
    <t>width_m</t>
  </si>
  <si>
    <t>depth_m</t>
  </si>
  <si>
    <t>height_m</t>
  </si>
  <si>
    <t>u_height</t>
  </si>
  <si>
    <t>capacity_kw</t>
  </si>
  <si>
    <t>tenant_id</t>
  </si>
  <si>
    <t>fed_by_pdu</t>
  </si>
  <si>
    <t>cooled_by_crah</t>
  </si>
  <si>
    <t>MUM-1-A-01</t>
  </si>
  <si>
    <t>occupied</t>
  </si>
  <si>
    <t>TEN-01</t>
  </si>
  <si>
    <t>PDU-A1</t>
  </si>
  <si>
    <t>CRAH-A-01</t>
  </si>
  <si>
    <t>MUM-1-A-02</t>
  </si>
  <si>
    <t>MUM-1-A-03</t>
  </si>
  <si>
    <t>MUM-1-A-04</t>
  </si>
  <si>
    <t>MUM-1-A-05</t>
  </si>
  <si>
    <t>MUM-1-A-06</t>
  </si>
  <si>
    <t>MUM-1-A-07</t>
  </si>
  <si>
    <t>MUM-1-A-08</t>
  </si>
  <si>
    <t>MUM-1-A-09</t>
  </si>
  <si>
    <t>MUM-1-A-10</t>
  </si>
  <si>
    <t>MUM-1-A-11</t>
  </si>
  <si>
    <t>PDU-A2</t>
  </si>
  <si>
    <t>CRAH-A-02</t>
  </si>
  <si>
    <t>MUM-1-A-12</t>
  </si>
  <si>
    <t>MUM-1-A-13</t>
  </si>
  <si>
    <t>MUM-1-A-14</t>
  </si>
  <si>
    <t>MUM-1-A-15</t>
  </si>
  <si>
    <t>MUM-1-A-16</t>
  </si>
  <si>
    <t>MUM-1-A-17</t>
  </si>
  <si>
    <t>MUM-1-A-18</t>
  </si>
  <si>
    <t>MUM-1-A-19</t>
  </si>
  <si>
    <t>free</t>
  </si>
  <si>
    <t>MUM-1-A-20</t>
  </si>
  <si>
    <t>MUM-1-B-01</t>
  </si>
  <si>
    <t>PDU-B1</t>
  </si>
  <si>
    <t>CRAH-B-01</t>
  </si>
  <si>
    <t>MUM-1-B-02</t>
  </si>
  <si>
    <t>MUM-1-B-03</t>
  </si>
  <si>
    <t>MUM-1-B-04</t>
  </si>
  <si>
    <t>MUM-1-B-05</t>
  </si>
  <si>
    <t>MUM-1-B-06</t>
  </si>
  <si>
    <t>MUM-1-B-07</t>
  </si>
  <si>
    <t>MUM-1-B-08</t>
  </si>
  <si>
    <t>MUM-1-B-09</t>
  </si>
  <si>
    <t>MUM-1-B-10</t>
  </si>
  <si>
    <t>MUM-1-B-11</t>
  </si>
  <si>
    <t>PDU-B2</t>
  </si>
  <si>
    <t>CRAH-B-02</t>
  </si>
  <si>
    <t>MUM-1-B-12</t>
  </si>
  <si>
    <t>MUM-1-B-13</t>
  </si>
  <si>
    <t>MUM-1-B-14</t>
  </si>
  <si>
    <t>MUM-1-B-15</t>
  </si>
  <si>
    <t>MUM-1-B-16</t>
  </si>
  <si>
    <t>MUM-1-B-17</t>
  </si>
  <si>
    <t>MUM-1-B-18</t>
  </si>
  <si>
    <t>MUM-1-B-19</t>
  </si>
  <si>
    <t>MUM-1-B-20</t>
  </si>
  <si>
    <t>MUM-1-C-01</t>
  </si>
  <si>
    <t>TEN-02</t>
  </si>
  <si>
    <t>PDU-C1</t>
  </si>
  <si>
    <t>CRAH-C-01</t>
  </si>
  <si>
    <t>MUM-1-C-02</t>
  </si>
  <si>
    <t>MUM-1-C-03</t>
  </si>
  <si>
    <t>MUM-1-C-04</t>
  </si>
  <si>
    <t>MUM-1-C-05</t>
  </si>
  <si>
    <t>MUM-1-C-06</t>
  </si>
  <si>
    <t>MUM-1-C-07</t>
  </si>
  <si>
    <t>MUM-1-C-08</t>
  </si>
  <si>
    <t>MUM-1-C-09</t>
  </si>
  <si>
    <t>MUM-1-C-10</t>
  </si>
  <si>
    <t>MUM-1-C-11</t>
  </si>
  <si>
    <t>PDU-C2</t>
  </si>
  <si>
    <t>CRAH-C-02</t>
  </si>
  <si>
    <t>MUM-1-C-12</t>
  </si>
  <si>
    <t>MUM-1-C-13</t>
  </si>
  <si>
    <t>blocked</t>
  </si>
  <si>
    <t>Permanently blocked - CRAH service access</t>
  </si>
  <si>
    <t>MUM-1-C-14</t>
  </si>
  <si>
    <t>MUM-1-C-15</t>
  </si>
  <si>
    <t>MUM-1-C-16</t>
  </si>
  <si>
    <t>MUM-1-C-17</t>
  </si>
  <si>
    <t>MUM-1-C-18</t>
  </si>
  <si>
    <t>MUM-1-C-19</t>
  </si>
  <si>
    <t>MUM-1-C-20</t>
  </si>
  <si>
    <t>MUM-1-D-01</t>
  </si>
  <si>
    <t>PDU-D1</t>
  </si>
  <si>
    <t>CRAH-D-01</t>
  </si>
  <si>
    <t>MUM-1-D-02</t>
  </si>
  <si>
    <t>MUM-1-D-03</t>
  </si>
  <si>
    <t>MUM-1-D-04</t>
  </si>
  <si>
    <t>MUM-1-D-05</t>
  </si>
  <si>
    <t>MUM-1-D-06</t>
  </si>
  <si>
    <t>MUM-1-D-07</t>
  </si>
  <si>
    <t>MUM-1-D-08</t>
  </si>
  <si>
    <t>MUM-1-D-09</t>
  </si>
  <si>
    <t>MUM-1-D-10</t>
  </si>
  <si>
    <t>MUM-1-D-11</t>
  </si>
  <si>
    <t>PDU-D2</t>
  </si>
  <si>
    <t>CRAH-D-02</t>
  </si>
  <si>
    <t>MUM-1-D-12</t>
  </si>
  <si>
    <t>MUM-1-D-13</t>
  </si>
  <si>
    <t>MUM-1-D-14</t>
  </si>
  <si>
    <t>MUM-1-D-15</t>
  </si>
  <si>
    <t>MUM-1-D-16</t>
  </si>
  <si>
    <t>MUM-1-D-17</t>
  </si>
  <si>
    <t>MUM-1-D-18</t>
  </si>
  <si>
    <t>MUM-1-D-19</t>
  </si>
  <si>
    <t>MUM-1-D-20</t>
  </si>
  <si>
    <t>MUM-1-E-01</t>
  </si>
  <si>
    <t>TEN-04</t>
  </si>
  <si>
    <t>PDU-E1</t>
  </si>
  <si>
    <t>CRAH-E-01</t>
  </si>
  <si>
    <t>MUM-1-E-02</t>
  </si>
  <si>
    <t>MUM-1-E-03</t>
  </si>
  <si>
    <t>MUM-1-E-04</t>
  </si>
  <si>
    <t>MUM-1-E-05</t>
  </si>
  <si>
    <t>MUM-1-E-06</t>
  </si>
  <si>
    <t>MUM-1-E-07</t>
  </si>
  <si>
    <t>MUM-1-E-08</t>
  </si>
  <si>
    <t>MUM-1-E-09</t>
  </si>
  <si>
    <t>MUM-1-E-10</t>
  </si>
  <si>
    <t>MUM-1-E-11</t>
  </si>
  <si>
    <t>PDU-E2</t>
  </si>
  <si>
    <t>CRAH-E-02</t>
  </si>
  <si>
    <t>MUM-1-E-12</t>
  </si>
  <si>
    <t>MUM-1-E-13</t>
  </si>
  <si>
    <t>MUM-1-E-14</t>
  </si>
  <si>
    <t>MUM-1-E-15</t>
  </si>
  <si>
    <t>MUM-1-E-16</t>
  </si>
  <si>
    <t>MUM-1-E-17</t>
  </si>
  <si>
    <t>MUM-1-E-18</t>
  </si>
  <si>
    <t>MUM-1-E-19</t>
  </si>
  <si>
    <t>MUM-1-E-20</t>
  </si>
  <si>
    <t>MUM-1-F-01</t>
  </si>
  <si>
    <t>TEN-05</t>
  </si>
  <si>
    <t>PDU-F1</t>
  </si>
  <si>
    <t>CRAH-F-01</t>
  </si>
  <si>
    <t>MUM-1-F-02</t>
  </si>
  <si>
    <t>MUM-1-F-03</t>
  </si>
  <si>
    <t>MUM-1-F-04</t>
  </si>
  <si>
    <t>MUM-1-F-05</t>
  </si>
  <si>
    <t>MUM-1-F-06</t>
  </si>
  <si>
    <t>MUM-1-F-07</t>
  </si>
  <si>
    <t>MUM-1-F-08</t>
  </si>
  <si>
    <t>MUM-1-F-09</t>
  </si>
  <si>
    <t>MUM-1-F-10</t>
  </si>
  <si>
    <t>MUM-1-F-11</t>
  </si>
  <si>
    <t>PDU-F2</t>
  </si>
  <si>
    <t>CRAH-F-02</t>
  </si>
  <si>
    <t>MUM-1-F-12</t>
  </si>
  <si>
    <t>MUM-1-F-13</t>
  </si>
  <si>
    <t>MUM-1-F-14</t>
  </si>
  <si>
    <t>MUM-1-F-15</t>
  </si>
  <si>
    <t>MUM-1-F-16</t>
  </si>
  <si>
    <t>MUM-1-F-17</t>
  </si>
  <si>
    <t>MUM-1-F-18</t>
  </si>
  <si>
    <t>MUM-1-F-19</t>
  </si>
  <si>
    <t>MUM-1-F-20</t>
  </si>
  <si>
    <t>MUM-1-G-01</t>
  </si>
  <si>
    <t>PDU-G1</t>
  </si>
  <si>
    <t>CRAH-G-01</t>
  </si>
  <si>
    <t>MUM-1-G-02</t>
  </si>
  <si>
    <t>MUM-1-G-03</t>
  </si>
  <si>
    <t>MUM-1-G-04</t>
  </si>
  <si>
    <t>MUM-1-G-05</t>
  </si>
  <si>
    <t>MUM-1-G-06</t>
  </si>
  <si>
    <t>MUM-1-G-07</t>
  </si>
  <si>
    <t>MUM-1-G-08</t>
  </si>
  <si>
    <t>MUM-1-G-09</t>
  </si>
  <si>
    <t>MUM-1-G-10</t>
  </si>
  <si>
    <t>MUM-1-G-11</t>
  </si>
  <si>
    <t>PDU-G2</t>
  </si>
  <si>
    <t>CRAH-G-02</t>
  </si>
  <si>
    <t>MUM-1-G-12</t>
  </si>
  <si>
    <t>MUM-1-G-13</t>
  </si>
  <si>
    <t>MUM-1-G-14</t>
  </si>
  <si>
    <t>MUM-1-G-15</t>
  </si>
  <si>
    <t>MUM-1-G-16</t>
  </si>
  <si>
    <t>MUM-1-G-17</t>
  </si>
  <si>
    <t>MUM-1-G-18</t>
  </si>
  <si>
    <t>MUM-1-G-19</t>
  </si>
  <si>
    <t>MUM-1-G-20</t>
  </si>
  <si>
    <t>MUM-1-H-01</t>
  </si>
  <si>
    <t>PDU-H1</t>
  </si>
  <si>
    <t>CRAH-H-01</t>
  </si>
  <si>
    <t>MUM-1-H-02</t>
  </si>
  <si>
    <t>MUM-1-H-03</t>
  </si>
  <si>
    <t>MUM-1-H-04</t>
  </si>
  <si>
    <t>MUM-1-H-05</t>
  </si>
  <si>
    <t>MUM-1-H-06</t>
  </si>
  <si>
    <t>MUM-1-H-07</t>
  </si>
  <si>
    <t>MUM-1-H-08</t>
  </si>
  <si>
    <t>MUM-1-H-09</t>
  </si>
  <si>
    <t>MUM-1-H-10</t>
  </si>
  <si>
    <t>MUM-1-H-11</t>
  </si>
  <si>
    <t>PDU-H2</t>
  </si>
  <si>
    <t>CRAH-H-02</t>
  </si>
  <si>
    <t>MUM-1-H-12</t>
  </si>
  <si>
    <t>MUM-1-H-13</t>
  </si>
  <si>
    <t>MUM-1-H-14</t>
  </si>
  <si>
    <t>MUM-1-H-15</t>
  </si>
  <si>
    <t>MUM-1-H-16</t>
  </si>
  <si>
    <t>MUM-1-H-17</t>
  </si>
  <si>
    <t>MUM-1-H-18</t>
  </si>
  <si>
    <t>MUM-1-H-19</t>
  </si>
  <si>
    <t>MUM-1-H-20</t>
  </si>
  <si>
    <t>MUM-1-I-01</t>
  </si>
  <si>
    <t>PDU-I1</t>
  </si>
  <si>
    <t>CRAH-I-01</t>
  </si>
  <si>
    <t>MUM-1-I-02</t>
  </si>
  <si>
    <t>MUM-1-I-03</t>
  </si>
  <si>
    <t>MUM-1-I-04</t>
  </si>
  <si>
    <t>MUM-1-I-05</t>
  </si>
  <si>
    <t>MUM-1-I-06</t>
  </si>
  <si>
    <t>MUM-1-I-07</t>
  </si>
  <si>
    <t>MUM-1-I-08</t>
  </si>
  <si>
    <t>MUM-1-I-09</t>
  </si>
  <si>
    <t>MUM-1-I-10</t>
  </si>
  <si>
    <t>MUM-1-I-11</t>
  </si>
  <si>
    <t>PDU-I2</t>
  </si>
  <si>
    <t>CRAH-I-02</t>
  </si>
  <si>
    <t>MUM-1-I-12</t>
  </si>
  <si>
    <t>MUM-1-I-13</t>
  </si>
  <si>
    <t>MUM-1-I-14</t>
  </si>
  <si>
    <t>MUM-1-I-15</t>
  </si>
  <si>
    <t>MUM-1-I-16</t>
  </si>
  <si>
    <t>MUM-1-I-17</t>
  </si>
  <si>
    <t>MUM-1-I-18</t>
  </si>
  <si>
    <t>MUM-1-I-19</t>
  </si>
  <si>
    <t>MUM-1-I-20</t>
  </si>
  <si>
    <t>MUM-1-J-01</t>
  </si>
  <si>
    <t>PDU-J1</t>
  </si>
  <si>
    <t>CRAH-J-01</t>
  </si>
  <si>
    <t>MUM-1-J-02</t>
  </si>
  <si>
    <t>MUM-1-J-03</t>
  </si>
  <si>
    <t>MUM-1-J-04</t>
  </si>
  <si>
    <t>MUM-1-J-05</t>
  </si>
  <si>
    <t>MUM-1-J-06</t>
  </si>
  <si>
    <t>MUM-1-J-07</t>
  </si>
  <si>
    <t>MUM-1-J-08</t>
  </si>
  <si>
    <t>MUM-1-J-09</t>
  </si>
  <si>
    <t>MUM-1-J-10</t>
  </si>
  <si>
    <t>MUM-1-J-11</t>
  </si>
  <si>
    <t>PDU-J2</t>
  </si>
  <si>
    <t>CRAH-J-02</t>
  </si>
  <si>
    <t>MUM-1-J-12</t>
  </si>
  <si>
    <t>MUM-1-J-13</t>
  </si>
  <si>
    <t>MUM-1-J-14</t>
  </si>
  <si>
    <t>MUM-1-J-15</t>
  </si>
  <si>
    <t>MUM-1-J-16</t>
  </si>
  <si>
    <t>MUM-1-J-17</t>
  </si>
  <si>
    <t>MUM-1-J-18</t>
  </si>
  <si>
    <t>MUM-1-J-19</t>
  </si>
  <si>
    <t>MUM-1-J-20</t>
  </si>
  <si>
    <t>MUM-1-K-01</t>
  </si>
  <si>
    <t>TEN-03</t>
  </si>
  <si>
    <t>PDU-K1</t>
  </si>
  <si>
    <t>CRAH-K-01</t>
  </si>
  <si>
    <t>MUM-1-K-02</t>
  </si>
  <si>
    <t>MUM-1-K-03</t>
  </si>
  <si>
    <t>MUM-1-K-04</t>
  </si>
  <si>
    <t>MUM-1-K-05</t>
  </si>
  <si>
    <t>MUM-1-K-06</t>
  </si>
  <si>
    <t>MUM-1-K-07</t>
  </si>
  <si>
    <t>MUM-1-K-08</t>
  </si>
  <si>
    <t>MUM-1-K-09</t>
  </si>
  <si>
    <t>MUM-1-K-10</t>
  </si>
  <si>
    <t>MUM-1-K-11</t>
  </si>
  <si>
    <t>PDU-K2</t>
  </si>
  <si>
    <t>CRAH-K-02</t>
  </si>
  <si>
    <t>MUM-1-K-12</t>
  </si>
  <si>
    <t>MUM-1-K-13</t>
  </si>
  <si>
    <t>MUM-1-K-14</t>
  </si>
  <si>
    <t>MUM-1-K-15</t>
  </si>
  <si>
    <t>MUM-1-K-16</t>
  </si>
  <si>
    <t>MUM-1-K-17</t>
  </si>
  <si>
    <t>MUM-1-K-18</t>
  </si>
  <si>
    <t>MUM-1-K-19</t>
  </si>
  <si>
    <t>MUM-1-K-20</t>
  </si>
  <si>
    <t>MUM-1-L-01</t>
  </si>
  <si>
    <t>PDU-L1</t>
  </si>
  <si>
    <t>CRAH-L-01</t>
  </si>
  <si>
    <t>MUM-1-L-02</t>
  </si>
  <si>
    <t>MUM-1-L-03</t>
  </si>
  <si>
    <t>MUM-1-L-04</t>
  </si>
  <si>
    <t>MUM-1-L-05</t>
  </si>
  <si>
    <t>MUM-1-L-06</t>
  </si>
  <si>
    <t>MUM-1-L-07</t>
  </si>
  <si>
    <t>MUM-1-L-08</t>
  </si>
  <si>
    <t>MUM-1-L-09</t>
  </si>
  <si>
    <t>MUM-1-L-10</t>
  </si>
  <si>
    <t>MUM-1-L-11</t>
  </si>
  <si>
    <t>PDU-L2</t>
  </si>
  <si>
    <t>CRAH-L-02</t>
  </si>
  <si>
    <t>MUM-1-L-12</t>
  </si>
  <si>
    <t>MUM-1-L-13</t>
  </si>
  <si>
    <t>MUM-1-L-14</t>
  </si>
  <si>
    <t>MUM-1-L-15</t>
  </si>
  <si>
    <t>MUM-1-L-16</t>
  </si>
  <si>
    <t>MUM-1-L-17</t>
  </si>
  <si>
    <t>MUM-1-L-18</t>
  </si>
  <si>
    <t>MUM-1-L-19</t>
  </si>
  <si>
    <t>MUM-1-L-20</t>
  </si>
  <si>
    <t>MUM-1-M-01</t>
  </si>
  <si>
    <t>PDU-M1</t>
  </si>
  <si>
    <t>CRAH-M-01</t>
  </si>
  <si>
    <t>MUM-1-M-02</t>
  </si>
  <si>
    <t>MUM-1-M-03</t>
  </si>
  <si>
    <t>MUM-1-M-04</t>
  </si>
  <si>
    <t>MUM-1-M-05</t>
  </si>
  <si>
    <t>MUM-1-M-06</t>
  </si>
  <si>
    <t>MUM-1-M-07</t>
  </si>
  <si>
    <t>MUM-1-M-08</t>
  </si>
  <si>
    <t>MUM-1-M-09</t>
  </si>
  <si>
    <t>MUM-1-M-10</t>
  </si>
  <si>
    <t>MUM-1-M-11</t>
  </si>
  <si>
    <t>PDU-M2</t>
  </si>
  <si>
    <t>CRAH-M-02</t>
  </si>
  <si>
    <t>MUM-1-M-12</t>
  </si>
  <si>
    <t>MUM-1-M-13</t>
  </si>
  <si>
    <t>MUM-1-M-14</t>
  </si>
  <si>
    <t>MUM-1-M-15</t>
  </si>
  <si>
    <t>MUM-1-M-16</t>
  </si>
  <si>
    <t>MUM-1-M-17</t>
  </si>
  <si>
    <t>MUM-1-M-18</t>
  </si>
  <si>
    <t>MUM-1-M-19</t>
  </si>
  <si>
    <t>MUM-1-M-20</t>
  </si>
  <si>
    <t>MUM-1-N-01</t>
  </si>
  <si>
    <t>PDU-N1</t>
  </si>
  <si>
    <t>CRAH-N-01</t>
  </si>
  <si>
    <t>MUM-1-N-02</t>
  </si>
  <si>
    <t>MUM-1-N-03</t>
  </si>
  <si>
    <t>MUM-1-N-04</t>
  </si>
  <si>
    <t>MUM-1-N-05</t>
  </si>
  <si>
    <t>MUM-1-N-06</t>
  </si>
  <si>
    <t>MUM-1-N-07</t>
  </si>
  <si>
    <t>MUM-1-N-08</t>
  </si>
  <si>
    <t>MUM-1-N-09</t>
  </si>
  <si>
    <t>MUM-1-N-10</t>
  </si>
  <si>
    <t>MUM-1-N-11</t>
  </si>
  <si>
    <t>PDU-N2</t>
  </si>
  <si>
    <t>CRAH-N-02</t>
  </si>
  <si>
    <t>MUM-1-N-12</t>
  </si>
  <si>
    <t>MUM-1-N-13</t>
  </si>
  <si>
    <t>MUM-1-N-14</t>
  </si>
  <si>
    <t>MUM-1-N-15</t>
  </si>
  <si>
    <t>MUM-1-N-16</t>
  </si>
  <si>
    <t>MUM-1-N-17</t>
  </si>
  <si>
    <t>MUM-1-N-18</t>
  </si>
  <si>
    <t>MUM-1-N-19</t>
  </si>
  <si>
    <t>MUM-1-N-20</t>
  </si>
  <si>
    <t>MUM-1-O-01</t>
  </si>
  <si>
    <t>PDU-O1</t>
  </si>
  <si>
    <t>CRAH-O-01</t>
  </si>
  <si>
    <t>MUM-1-O-02</t>
  </si>
  <si>
    <t>MUM-1-O-03</t>
  </si>
  <si>
    <t>MUM-1-O-04</t>
  </si>
  <si>
    <t>MUM-1-O-05</t>
  </si>
  <si>
    <t>MUM-1-O-06</t>
  </si>
  <si>
    <t>MUM-1-O-07</t>
  </si>
  <si>
    <t>MUM-1-O-08</t>
  </si>
  <si>
    <t>MUM-1-O-09</t>
  </si>
  <si>
    <t>MUM-1-O-10</t>
  </si>
  <si>
    <t>MUM-1-O-11</t>
  </si>
  <si>
    <t>PDU-O2</t>
  </si>
  <si>
    <t>CRAH-O-02</t>
  </si>
  <si>
    <t>MUM-1-O-12</t>
  </si>
  <si>
    <t>MUM-1-O-13</t>
  </si>
  <si>
    <t>MUM-1-O-14</t>
  </si>
  <si>
    <t>MUM-1-O-15</t>
  </si>
  <si>
    <t>MUM-1-O-16</t>
  </si>
  <si>
    <t>MUM-1-O-17</t>
  </si>
  <si>
    <t>MUM-1-O-18</t>
  </si>
  <si>
    <t>MUM-1-O-19</t>
  </si>
  <si>
    <t>MUM-1-O-20</t>
  </si>
  <si>
    <t>MUM-1-P-01</t>
  </si>
  <si>
    <t>PDU-P1</t>
  </si>
  <si>
    <t>CRAH-P-01</t>
  </si>
  <si>
    <t>MUM-1-P-02</t>
  </si>
  <si>
    <t>MUM-1-P-03</t>
  </si>
  <si>
    <t>MUM-1-P-04</t>
  </si>
  <si>
    <t>MUM-1-P-05</t>
  </si>
  <si>
    <t>MUM-1-P-06</t>
  </si>
  <si>
    <t>MUM-1-P-07</t>
  </si>
  <si>
    <t>MUM-1-P-08</t>
  </si>
  <si>
    <t>MUM-1-P-09</t>
  </si>
  <si>
    <t>MUM-1-P-10</t>
  </si>
  <si>
    <t>MUM-1-P-11</t>
  </si>
  <si>
    <t>PDU-P2</t>
  </si>
  <si>
    <t>CRAH-P-02</t>
  </si>
  <si>
    <t>MUM-1-P-12</t>
  </si>
  <si>
    <t>MUM-1-P-13</t>
  </si>
  <si>
    <t>MUM-1-P-14</t>
  </si>
  <si>
    <t>MUM-1-P-15</t>
  </si>
  <si>
    <t>MUM-1-P-16</t>
  </si>
  <si>
    <t>MUM-1-P-17</t>
  </si>
  <si>
    <t>MUM-1-P-18</t>
  </si>
  <si>
    <t>MUM-1-P-19</t>
  </si>
  <si>
    <t>MUM-1-P-20</t>
  </si>
  <si>
    <t>MUM-1-Q-01</t>
  </si>
  <si>
    <t>PDU-Q1</t>
  </si>
  <si>
    <t>CRAH-Q-01</t>
  </si>
  <si>
    <t>MUM-1-Q-02</t>
  </si>
  <si>
    <t>MUM-1-Q-03</t>
  </si>
  <si>
    <t>MUM-1-Q-04</t>
  </si>
  <si>
    <t>MUM-1-Q-05</t>
  </si>
  <si>
    <t>MUM-1-Q-06</t>
  </si>
  <si>
    <t>MUM-1-Q-07</t>
  </si>
  <si>
    <t>MUM-1-Q-08</t>
  </si>
  <si>
    <t>MUM-1-Q-09</t>
  </si>
  <si>
    <t>MUM-1-Q-10</t>
  </si>
  <si>
    <t>MUM-1-Q-11</t>
  </si>
  <si>
    <t>PDU-Q2</t>
  </si>
  <si>
    <t>CRAH-Q-02</t>
  </si>
  <si>
    <t>MUM-1-Q-12</t>
  </si>
  <si>
    <t>MUM-1-Q-13</t>
  </si>
  <si>
    <t>MUM-1-Q-14</t>
  </si>
  <si>
    <t>MUM-1-Q-15</t>
  </si>
  <si>
    <t>MUM-1-Q-16</t>
  </si>
  <si>
    <t>MUM-1-Q-17</t>
  </si>
  <si>
    <t>MUM-1-Q-18</t>
  </si>
  <si>
    <t>MUM-1-Q-19</t>
  </si>
  <si>
    <t>MUM-1-Q-20</t>
  </si>
  <si>
    <t>MUM-1-R-01</t>
  </si>
  <si>
    <t>PDU-R1</t>
  </si>
  <si>
    <t>CRAH-R-01</t>
  </si>
  <si>
    <t>MUM-1-R-02</t>
  </si>
  <si>
    <t>MUM-1-R-03</t>
  </si>
  <si>
    <t>MUM-1-R-04</t>
  </si>
  <si>
    <t>MUM-1-R-05</t>
  </si>
  <si>
    <t>MUM-1-R-06</t>
  </si>
  <si>
    <t>MUM-1-R-07</t>
  </si>
  <si>
    <t>MUM-1-R-08</t>
  </si>
  <si>
    <t>MUM-1-R-09</t>
  </si>
  <si>
    <t>MUM-1-R-10</t>
  </si>
  <si>
    <t>MUM-1-R-11</t>
  </si>
  <si>
    <t>PDU-R2</t>
  </si>
  <si>
    <t>CRAH-R-02</t>
  </si>
  <si>
    <t>MUM-1-R-12</t>
  </si>
  <si>
    <t>MUM-1-R-13</t>
  </si>
  <si>
    <t>MUM-1-R-14</t>
  </si>
  <si>
    <t>MUM-1-R-15</t>
  </si>
  <si>
    <t>MUM-1-R-16</t>
  </si>
  <si>
    <t>MUM-1-R-17</t>
  </si>
  <si>
    <t>MUM-1-R-18</t>
  </si>
  <si>
    <t>MUM-1-R-19</t>
  </si>
  <si>
    <t>MUM-1-R-20</t>
  </si>
  <si>
    <t>MUM-1-S-01</t>
  </si>
  <si>
    <t>PDU-S1</t>
  </si>
  <si>
    <t>CRAH-S-01</t>
  </si>
  <si>
    <t>MUM-1-S-02</t>
  </si>
  <si>
    <t>MUM-1-S-03</t>
  </si>
  <si>
    <t>MUM-1-S-04</t>
  </si>
  <si>
    <t>MUM-1-S-05</t>
  </si>
  <si>
    <t>MUM-1-S-06</t>
  </si>
  <si>
    <t>MUM-1-S-07</t>
  </si>
  <si>
    <t>MUM-1-S-08</t>
  </si>
  <si>
    <t>MUM-1-S-09</t>
  </si>
  <si>
    <t>MUM-1-S-10</t>
  </si>
  <si>
    <t>MUM-1-S-11</t>
  </si>
  <si>
    <t>PDU-S2</t>
  </si>
  <si>
    <t>CRAH-S-02</t>
  </si>
  <si>
    <t>MUM-1-S-12</t>
  </si>
  <si>
    <t>MUM-1-S-13</t>
  </si>
  <si>
    <t>MUM-1-S-14</t>
  </si>
  <si>
    <t>MUM-1-S-15</t>
  </si>
  <si>
    <t>MUM-1-S-16</t>
  </si>
  <si>
    <t>MUM-1-S-17</t>
  </si>
  <si>
    <t>MUM-1-S-18</t>
  </si>
  <si>
    <t>MUM-1-S-19</t>
  </si>
  <si>
    <t>MUM-1-S-20</t>
  </si>
  <si>
    <t>MUM-1-T-01</t>
  </si>
  <si>
    <t>PDU-T1</t>
  </si>
  <si>
    <t>CRAH-T-01</t>
  </si>
  <si>
    <t>MUM-1-T-02</t>
  </si>
  <si>
    <t>MUM-1-T-03</t>
  </si>
  <si>
    <t>MUM-1-T-04</t>
  </si>
  <si>
    <t>MUM-1-T-05</t>
  </si>
  <si>
    <t>MUM-1-T-06</t>
  </si>
  <si>
    <t>MUM-1-T-07</t>
  </si>
  <si>
    <t>MUM-1-T-08</t>
  </si>
  <si>
    <t>MUM-1-T-09</t>
  </si>
  <si>
    <t>MUM-1-T-10</t>
  </si>
  <si>
    <t>MUM-1-T-11</t>
  </si>
  <si>
    <t>PDU-T2</t>
  </si>
  <si>
    <t>CRAH-T-02</t>
  </si>
  <si>
    <t>MUM-1-T-12</t>
  </si>
  <si>
    <t>MUM-1-T-13</t>
  </si>
  <si>
    <t>MUM-1-T-14</t>
  </si>
  <si>
    <t>MUM-1-T-15</t>
  </si>
  <si>
    <t>MUM-1-T-16</t>
  </si>
  <si>
    <t>MUM-1-T-17</t>
  </si>
  <si>
    <t>MUM-1-T-18</t>
  </si>
  <si>
    <t>MUM-1-T-19</t>
  </si>
  <si>
    <t>MUM-1-T-20</t>
  </si>
  <si>
    <t>MUM-1-U-01</t>
  </si>
  <si>
    <t>PDU-U1</t>
  </si>
  <si>
    <t>CRAH-U-01</t>
  </si>
  <si>
    <t>MUM-1-U-02</t>
  </si>
  <si>
    <t>MUM-1-U-03</t>
  </si>
  <si>
    <t>MUM-1-U-04</t>
  </si>
  <si>
    <t>MUM-1-U-05</t>
  </si>
  <si>
    <t>MUM-1-U-06</t>
  </si>
  <si>
    <t>MUM-1-U-07</t>
  </si>
  <si>
    <t>MUM-1-U-08</t>
  </si>
  <si>
    <t>MUM-1-U-09</t>
  </si>
  <si>
    <t>MUM-1-U-10</t>
  </si>
  <si>
    <t>MUM-1-U-11</t>
  </si>
  <si>
    <t>PDU-U2</t>
  </si>
  <si>
    <t>CRAH-U-02</t>
  </si>
  <si>
    <t>MUM-1-U-12</t>
  </si>
  <si>
    <t>MUM-1-U-13</t>
  </si>
  <si>
    <t>MUM-1-U-14</t>
  </si>
  <si>
    <t>MUM-1-U-15</t>
  </si>
  <si>
    <t>MUM-1-U-16</t>
  </si>
  <si>
    <t>MUM-1-U-17</t>
  </si>
  <si>
    <t>MUM-1-U-18</t>
  </si>
  <si>
    <t>MUM-1-U-19</t>
  </si>
  <si>
    <t>MUM-1-U-20</t>
  </si>
  <si>
    <t>MUM-1-V-01</t>
  </si>
  <si>
    <t>PDU-V1</t>
  </si>
  <si>
    <t>CRAH-V-01</t>
  </si>
  <si>
    <t>MUM-1-V-02</t>
  </si>
  <si>
    <t>MUM-1-V-03</t>
  </si>
  <si>
    <t>MUM-1-V-04</t>
  </si>
  <si>
    <t>MUM-1-V-05</t>
  </si>
  <si>
    <t>MUM-1-V-06</t>
  </si>
  <si>
    <t>MUM-1-V-07</t>
  </si>
  <si>
    <t>MUM-1-V-08</t>
  </si>
  <si>
    <t>MUM-1-V-09</t>
  </si>
  <si>
    <t>MUM-1-V-10</t>
  </si>
  <si>
    <t>MUM-1-V-11</t>
  </si>
  <si>
    <t>PDU-V2</t>
  </si>
  <si>
    <t>CRAH-V-02</t>
  </si>
  <si>
    <t>MUM-1-V-12</t>
  </si>
  <si>
    <t>MUM-1-V-13</t>
  </si>
  <si>
    <t>MUM-1-V-14</t>
  </si>
  <si>
    <t>MUM-1-V-15</t>
  </si>
  <si>
    <t>MUM-1-V-16</t>
  </si>
  <si>
    <t>MUM-1-V-17</t>
  </si>
  <si>
    <t>MUM-1-V-18</t>
  </si>
  <si>
    <t>MUM-1-V-19</t>
  </si>
  <si>
    <t>MUM-1-V-20</t>
  </si>
  <si>
    <t>MUM-1-W-01</t>
  </si>
  <si>
    <t>PDU-W1</t>
  </si>
  <si>
    <t>CRAH-W-01</t>
  </si>
  <si>
    <t>MUM-1-W-02</t>
  </si>
  <si>
    <t>MUM-1-W-03</t>
  </si>
  <si>
    <t>MUM-1-W-04</t>
  </si>
  <si>
    <t>MUM-1-W-05</t>
  </si>
  <si>
    <t>MUM-1-W-06</t>
  </si>
  <si>
    <t>MUM-1-W-07</t>
  </si>
  <si>
    <t>MUM-1-W-08</t>
  </si>
  <si>
    <t>MUM-1-W-09</t>
  </si>
  <si>
    <t>MUM-1-W-10</t>
  </si>
  <si>
    <t>MUM-1-W-11</t>
  </si>
  <si>
    <t>PDU-W2</t>
  </si>
  <si>
    <t>CRAH-W-02</t>
  </si>
  <si>
    <t>MUM-1-W-12</t>
  </si>
  <si>
    <t>MUM-1-W-13</t>
  </si>
  <si>
    <t>MUM-1-W-14</t>
  </si>
  <si>
    <t>MUM-1-W-15</t>
  </si>
  <si>
    <t>MUM-1-W-16</t>
  </si>
  <si>
    <t>MUM-1-W-17</t>
  </si>
  <si>
    <t>MUM-1-W-18</t>
  </si>
  <si>
    <t>MUM-1-W-19</t>
  </si>
  <si>
    <t>MUM-1-W-20</t>
  </si>
  <si>
    <t>MUM-1-X-01</t>
  </si>
  <si>
    <t>PDU-X1</t>
  </si>
  <si>
    <t>CRAH-X-01</t>
  </si>
  <si>
    <t>MUM-1-X-02</t>
  </si>
  <si>
    <t>MUM-1-X-03</t>
  </si>
  <si>
    <t>MUM-1-X-04</t>
  </si>
  <si>
    <t>MUM-1-X-05</t>
  </si>
  <si>
    <t>MUM-1-X-06</t>
  </si>
  <si>
    <t>MUM-1-X-07</t>
  </si>
  <si>
    <t>MUM-1-X-08</t>
  </si>
  <si>
    <t>MUM-1-X-09</t>
  </si>
  <si>
    <t>MUM-1-X-10</t>
  </si>
  <si>
    <t>MUM-1-X-11</t>
  </si>
  <si>
    <t>PDU-X2</t>
  </si>
  <si>
    <t>CRAH-X-02</t>
  </si>
  <si>
    <t>MUM-1-X-12</t>
  </si>
  <si>
    <t>MUM-1-X-13</t>
  </si>
  <si>
    <t>MUM-1-X-14</t>
  </si>
  <si>
    <t>MUM-1-X-15</t>
  </si>
  <si>
    <t>MUM-1-X-16</t>
  </si>
  <si>
    <t>MUM-1-X-17</t>
  </si>
  <si>
    <t>MUM-1-X-18</t>
  </si>
  <si>
    <t>MUM-1-X-19</t>
  </si>
  <si>
    <t>MUM-1-X-20</t>
  </si>
  <si>
    <t>480 racks. x/y/z in metres on the facility floor plan. y = 0 is the raised floor.</t>
  </si>
  <si>
    <t>Rack pitch 0.6 m along a row, row pitch 2.4 m, hall grid 2x2 at 20 m and 22 m offsets.</t>
  </si>
  <si>
    <t>MUM-1-C-13 is permanently blocked - this is what makes Row C space-limited.</t>
  </si>
  <si>
    <t>component_id</t>
  </si>
  <si>
    <t>component_type</t>
  </si>
  <si>
    <t>label</t>
  </si>
  <si>
    <t>chain</t>
  </si>
  <si>
    <t>capacity</t>
  </si>
  <si>
    <t>unit</t>
  </si>
  <si>
    <t>derate_factor</t>
  </si>
  <si>
    <t>derated_capacity</t>
  </si>
  <si>
    <t>current_load</t>
  </si>
  <si>
    <t>redundancy</t>
  </si>
  <si>
    <t>redundant_peers</t>
  </si>
  <si>
    <t>replacement_cost_inr_lakh</t>
  </si>
  <si>
    <t>lead_time_weeks</t>
  </si>
  <si>
    <t>UTIL-FEED-A</t>
  </si>
  <si>
    <t>utility_feed</t>
  </si>
  <si>
    <t>MSEDCL Feed A 33kV</t>
  </si>
  <si>
    <t>electrical</t>
  </si>
  <si>
    <t>kW</t>
  </si>
  <si>
    <t>2N</t>
  </si>
  <si>
    <t>UTIL-FEED-B</t>
  </si>
  <si>
    <t>Primary utility intake</t>
  </si>
  <si>
    <t>MSEDCL Feed B 33kV</t>
  </si>
  <si>
    <t>Secondary utility intake</t>
  </si>
  <si>
    <t>TX-1</t>
  </si>
  <si>
    <t>transformer</t>
  </si>
  <si>
    <t>Transformer TX-1 33/11kV</t>
  </si>
  <si>
    <t>kVA</t>
  </si>
  <si>
    <t>TX-2</t>
  </si>
  <si>
    <t>Transformer TX-2 33/11kV</t>
  </si>
  <si>
    <t>GEN-1</t>
  </si>
  <si>
    <t>generator</t>
  </si>
  <si>
    <t>Generator GEN-1</t>
  </si>
  <si>
    <t>N+1</t>
  </si>
  <si>
    <t>GEN-2</t>
  </si>
  <si>
    <t>Diesel standby. 48h fuel autonomy at present backed load.</t>
  </si>
  <si>
    <t>Generator GEN-2</t>
  </si>
  <si>
    <t>Diesel standby</t>
  </si>
  <si>
    <t>SWGR-A</t>
  </si>
  <si>
    <t>switchgear</t>
  </si>
  <si>
    <t>LV Switchgear A</t>
  </si>
  <si>
    <t>SWGR-B</t>
  </si>
  <si>
    <t>LV Switchgear B</t>
  </si>
  <si>
    <t>UPS-1</t>
  </si>
  <si>
    <t>ups</t>
  </si>
  <si>
    <t>UPS 1 3000 kVA</t>
  </si>
  <si>
    <t>UPS-2</t>
  </si>
  <si>
    <t>Serves Halls 1 and 2. N+1 pair.</t>
  </si>
  <si>
    <t>UPS 2 3000 kVA</t>
  </si>
  <si>
    <t>UPS-3</t>
  </si>
  <si>
    <t>UPS 3 2500 kVA</t>
  </si>
  <si>
    <t>UPS-4</t>
  </si>
  <si>
    <t>Serves Hall 3. N+1 pair.</t>
  </si>
  <si>
    <t>UPS 4 2500 kVA</t>
  </si>
  <si>
    <t>UPS-5</t>
  </si>
  <si>
    <t>UPS 5 3500 kVA</t>
  </si>
  <si>
    <t>UPS-6</t>
  </si>
  <si>
    <t>Serves Hall 4. N+1 pair. Re-rated in the 2023 retrofit.</t>
  </si>
  <si>
    <t>UPS 6 3500 kVA</t>
  </si>
  <si>
    <t>RPP-1</t>
  </si>
  <si>
    <t>rpp</t>
  </si>
  <si>
    <t>Remote Power Panel 1</t>
  </si>
  <si>
    <t>Hall 1 distribution</t>
  </si>
  <si>
    <t>BUSWAY-B1</t>
  </si>
  <si>
    <t>busway</t>
  </si>
  <si>
    <t>Busway B1</t>
  </si>
  <si>
    <t>Hall 1 overhead busway</t>
  </si>
  <si>
    <t>pdu</t>
  </si>
  <si>
    <t>PDU A1</t>
  </si>
  <si>
    <t>Feeds racks A-01-10</t>
  </si>
  <si>
    <t>PDU A2</t>
  </si>
  <si>
    <t>Feeds racks A-11-20</t>
  </si>
  <si>
    <t>PDU B1</t>
  </si>
  <si>
    <t>Feeds racks B-01-10</t>
  </si>
  <si>
    <t>PDU B2</t>
  </si>
  <si>
    <t>Feeds racks B-11-20</t>
  </si>
  <si>
    <t>PDU C1</t>
  </si>
  <si>
    <t>Feeds racks C-01-10</t>
  </si>
  <si>
    <t>PDU C2</t>
  </si>
  <si>
    <t>Feeds racks C-11-20</t>
  </si>
  <si>
    <t>PDU D1</t>
  </si>
  <si>
    <t>Feeds racks D-01-10</t>
  </si>
  <si>
    <t>PDU D2</t>
  </si>
  <si>
    <t>Feeds racks D-11-20</t>
  </si>
  <si>
    <t>PDU E1</t>
  </si>
  <si>
    <t>Feeds racks E-01-10</t>
  </si>
  <si>
    <t>PDU E2</t>
  </si>
  <si>
    <t>Feeds racks E-11-20</t>
  </si>
  <si>
    <t>PDU F1</t>
  </si>
  <si>
    <t>Feeds racks F-01-10</t>
  </si>
  <si>
    <t>PDU F2</t>
  </si>
  <si>
    <t>Feeds racks F-11-20</t>
  </si>
  <si>
    <t>RPP-2</t>
  </si>
  <si>
    <t>Remote Power Panel 2</t>
  </si>
  <si>
    <t>Hall 2 distribution</t>
  </si>
  <si>
    <t>BUSWAY-B2</t>
  </si>
  <si>
    <t>Busway B2</t>
  </si>
  <si>
    <t>Hall 2 overhead busway</t>
  </si>
  <si>
    <t>PDU G1</t>
  </si>
  <si>
    <t>Feeds racks G-01-10</t>
  </si>
  <si>
    <t>PDU G2</t>
  </si>
  <si>
    <t>Feeds racks G-11-20</t>
  </si>
  <si>
    <t>PDU H1</t>
  </si>
  <si>
    <t>Feeds racks H-01-10</t>
  </si>
  <si>
    <t>PDU H2</t>
  </si>
  <si>
    <t>Feeds racks H-11-20</t>
  </si>
  <si>
    <t>PDU I1</t>
  </si>
  <si>
    <t>Feeds racks I-01-10</t>
  </si>
  <si>
    <t>PDU I2</t>
  </si>
  <si>
    <t>Feeds racks I-11-20</t>
  </si>
  <si>
    <t>PDU J1</t>
  </si>
  <si>
    <t>Feeds racks J-01-10</t>
  </si>
  <si>
    <t>PDU J2</t>
  </si>
  <si>
    <t>Feeds racks J-11-20</t>
  </si>
  <si>
    <t>PDU K1</t>
  </si>
  <si>
    <t>Feeds racks K-01-10</t>
  </si>
  <si>
    <t>PDU K2</t>
  </si>
  <si>
    <t>Feeds racks K-11-20</t>
  </si>
  <si>
    <t>PDU L1</t>
  </si>
  <si>
    <t>Feeds racks L-01-10</t>
  </si>
  <si>
    <t>PDU L2</t>
  </si>
  <si>
    <t>Feeds racks L-11-20</t>
  </si>
  <si>
    <t>RPP-3</t>
  </si>
  <si>
    <t>Remote Power Panel 3</t>
  </si>
  <si>
    <t>Hall 3 distribution</t>
  </si>
  <si>
    <t>BUSWAY-B3</t>
  </si>
  <si>
    <t>Busway B3</t>
  </si>
  <si>
    <t>Hall 3 overhead busway</t>
  </si>
  <si>
    <t>PDU M1</t>
  </si>
  <si>
    <t>Feeds racks M-01-10</t>
  </si>
  <si>
    <t>PDU M2</t>
  </si>
  <si>
    <t>Feeds racks M-11-20</t>
  </si>
  <si>
    <t>PDU N1</t>
  </si>
  <si>
    <t>Feeds racks N-01-10</t>
  </si>
  <si>
    <t>PDU N2</t>
  </si>
  <si>
    <t>Feeds racks N-11-20</t>
  </si>
  <si>
    <t>PDU O1</t>
  </si>
  <si>
    <t>Feeds racks O-01-10</t>
  </si>
  <si>
    <t>PDU O2</t>
  </si>
  <si>
    <t>Feeds racks O-11-20</t>
  </si>
  <si>
    <t>PDU P1</t>
  </si>
  <si>
    <t>Feeds racks P-01-10</t>
  </si>
  <si>
    <t>PDU P2</t>
  </si>
  <si>
    <t>Feeds racks P-11-20</t>
  </si>
  <si>
    <t>PDU Q1</t>
  </si>
  <si>
    <t>Feeds racks Q-01-10</t>
  </si>
  <si>
    <t>PDU Q2</t>
  </si>
  <si>
    <t>Feeds racks Q-11-20</t>
  </si>
  <si>
    <t>PDU R1</t>
  </si>
  <si>
    <t>Feeds racks R-01-10</t>
  </si>
  <si>
    <t>PDU R2</t>
  </si>
  <si>
    <t>Feeds racks R-11-20</t>
  </si>
  <si>
    <t>RPP-4</t>
  </si>
  <si>
    <t>Remote Power Panel 4</t>
  </si>
  <si>
    <t>Hall 4 distribution, re-rated in the 2023 retrofit</t>
  </si>
  <si>
    <t>BUSWAY-B4</t>
  </si>
  <si>
    <t>Busway B4</t>
  </si>
  <si>
    <t>Hall 4 overhead busway</t>
  </si>
  <si>
    <t>PDU S1</t>
  </si>
  <si>
    <t>Feeds racks S-01-10</t>
  </si>
  <si>
    <t>PDU S2</t>
  </si>
  <si>
    <t>Feeds racks S-11-20</t>
  </si>
  <si>
    <t>PDU T1</t>
  </si>
  <si>
    <t>Feeds racks T-01-10</t>
  </si>
  <si>
    <t>PDU T2</t>
  </si>
  <si>
    <t>Feeds racks T-11-20</t>
  </si>
  <si>
    <t>PDU U1</t>
  </si>
  <si>
    <t>Feeds racks U-01-10</t>
  </si>
  <si>
    <t>PDU U2</t>
  </si>
  <si>
    <t>Feeds racks U-11-20</t>
  </si>
  <si>
    <t>PDU V1</t>
  </si>
  <si>
    <t>Feeds racks V-01-10</t>
  </si>
  <si>
    <t>PDU V2</t>
  </si>
  <si>
    <t>Feeds racks V-11-20</t>
  </si>
  <si>
    <t>PDU W1</t>
  </si>
  <si>
    <t>Feeds racks W-01-10</t>
  </si>
  <si>
    <t>PDU W2</t>
  </si>
  <si>
    <t>Feeds racks W-11-20</t>
  </si>
  <si>
    <t>PDU X1</t>
  </si>
  <si>
    <t>Feeds racks X-01-10</t>
  </si>
  <si>
    <t>PDU X2</t>
  </si>
  <si>
    <t>Feeds racks X-11-20</t>
  </si>
  <si>
    <t>CT-1</t>
  </si>
  <si>
    <t>cooling_tower</t>
  </si>
  <si>
    <t>Cooling Tower CT-1</t>
  </si>
  <si>
    <t>thermal</t>
  </si>
  <si>
    <t>TR</t>
  </si>
  <si>
    <t>CT-2</t>
  </si>
  <si>
    <t>Cooling Tower CT-2</t>
  </si>
  <si>
    <t>CHILLER-1</t>
  </si>
  <si>
    <t>chiller</t>
  </si>
  <si>
    <t>Chiller CH-1</t>
  </si>
  <si>
    <t>CHILLER-2</t>
  </si>
  <si>
    <t>Chiller CH-2</t>
  </si>
  <si>
    <t>CHW-LOOP-1</t>
  </si>
  <si>
    <t>chw_loop</t>
  </si>
  <si>
    <t>Chilled Water 1</t>
  </si>
  <si>
    <t>LPM</t>
  </si>
  <si>
    <t>Supply 12C, return 18C, delta-T 6K</t>
  </si>
  <si>
    <t>CHW-LOOP-2</t>
  </si>
  <si>
    <t>Chilled Water 2</t>
  </si>
  <si>
    <t>Supply 12C, return 18C, delta-T 6K. Upsized in the 2023 retrofit.</t>
  </si>
  <si>
    <t>crah</t>
  </si>
  <si>
    <t>CRAH A-01</t>
  </si>
  <si>
    <t>Serves Row A</t>
  </si>
  <si>
    <t>CRAH A-02</t>
  </si>
  <si>
    <t>CRAH B-01</t>
  </si>
  <si>
    <t>Serves Row B</t>
  </si>
  <si>
    <t>CRAH B-02</t>
  </si>
  <si>
    <t>CRAH C-01</t>
  </si>
  <si>
    <t>Serves Row C</t>
  </si>
  <si>
    <t>CRAH C-02</t>
  </si>
  <si>
    <t>CRAH D-01</t>
  </si>
  <si>
    <t>Serves Row D</t>
  </si>
  <si>
    <t>CRAH D-02</t>
  </si>
  <si>
    <t>CRAH E-01</t>
  </si>
  <si>
    <t>Serves Row E</t>
  </si>
  <si>
    <t>CRAH E-02</t>
  </si>
  <si>
    <t>CRAH F-01</t>
  </si>
  <si>
    <t>Serves Row F</t>
  </si>
  <si>
    <t>CRAH F-02</t>
  </si>
  <si>
    <t>CRAH G-01</t>
  </si>
  <si>
    <t>Serves Row G</t>
  </si>
  <si>
    <t>CRAH G-02</t>
  </si>
  <si>
    <t>CRAH H-01</t>
  </si>
  <si>
    <t>Serves Row H</t>
  </si>
  <si>
    <t>CRAH H-02</t>
  </si>
  <si>
    <t>CRAH I-01</t>
  </si>
  <si>
    <t>Serves Row I</t>
  </si>
  <si>
    <t>CRAH I-02</t>
  </si>
  <si>
    <t>CRAH J-01</t>
  </si>
  <si>
    <t>Serves Row J</t>
  </si>
  <si>
    <t>CRAH J-02</t>
  </si>
  <si>
    <t>CRAH K-01</t>
  </si>
  <si>
    <t>Serves Row K</t>
  </si>
  <si>
    <t>CRAH K-02</t>
  </si>
  <si>
    <t>CRAH L-01</t>
  </si>
  <si>
    <t>Serves Row L</t>
  </si>
  <si>
    <t>CRAH L-02</t>
  </si>
  <si>
    <t>CRAH M-01</t>
  </si>
  <si>
    <t>Serves Row M</t>
  </si>
  <si>
    <t>CRAH M-02</t>
  </si>
  <si>
    <t>CRAH N-01</t>
  </si>
  <si>
    <t>Serves Row N</t>
  </si>
  <si>
    <t>CRAH N-02</t>
  </si>
  <si>
    <t>CRAH O-01</t>
  </si>
  <si>
    <t>Serves Row O</t>
  </si>
  <si>
    <t>CRAH O-02</t>
  </si>
  <si>
    <t>CRAH P-01</t>
  </si>
  <si>
    <t>Serves Row P</t>
  </si>
  <si>
    <t>CRAH P-02</t>
  </si>
  <si>
    <t>CRAH Q-01</t>
  </si>
  <si>
    <t>Serves Row Q</t>
  </si>
  <si>
    <t>CRAH Q-02</t>
  </si>
  <si>
    <t>CRAH R-01</t>
  </si>
  <si>
    <t>Serves Row R</t>
  </si>
  <si>
    <t>CRAH R-02</t>
  </si>
  <si>
    <t>CRAH S-01</t>
  </si>
  <si>
    <t>Serves Row S</t>
  </si>
  <si>
    <t>CRAH S-02</t>
  </si>
  <si>
    <t>CRAH T-01</t>
  </si>
  <si>
    <t>Serves Row T</t>
  </si>
  <si>
    <t>CRAH T-02</t>
  </si>
  <si>
    <t>CRAH U-01</t>
  </si>
  <si>
    <t>Serves Row U</t>
  </si>
  <si>
    <t>CRAH U-02</t>
  </si>
  <si>
    <t>CRAH V-01</t>
  </si>
  <si>
    <t>Serves Row V</t>
  </si>
  <si>
    <t>CRAH V-02</t>
  </si>
  <si>
    <t>CRAH W-01</t>
  </si>
  <si>
    <t>Serves Row W</t>
  </si>
  <si>
    <t>CRAH W-02</t>
  </si>
  <si>
    <t>CRAH X-01</t>
  </si>
  <si>
    <t>Serves Row X</t>
  </si>
  <si>
    <t>CRAH X-02</t>
  </si>
  <si>
    <t>ROW-A</t>
  </si>
  <si>
    <t>rack_row</t>
  </si>
  <si>
    <t>Row A</t>
  </si>
  <si>
    <t>load</t>
  </si>
  <si>
    <t>ROW-B</t>
  </si>
  <si>
    <t>Row B</t>
  </si>
  <si>
    <t>ROW-C</t>
  </si>
  <si>
    <t>Row C</t>
  </si>
  <si>
    <t>ROW-D</t>
  </si>
  <si>
    <t>Row D</t>
  </si>
  <si>
    <t>ROW-E</t>
  </si>
  <si>
    <t>Row E</t>
  </si>
  <si>
    <t>ROW-F</t>
  </si>
  <si>
    <t>Row F</t>
  </si>
  <si>
    <t>ROW-G</t>
  </si>
  <si>
    <t>Row G</t>
  </si>
  <si>
    <t>ROW-H</t>
  </si>
  <si>
    <t>Row H</t>
  </si>
  <si>
    <t>ROW-I</t>
  </si>
  <si>
    <t>Row I</t>
  </si>
  <si>
    <t>ROW-J</t>
  </si>
  <si>
    <t>Row J</t>
  </si>
  <si>
    <t>ROW-K</t>
  </si>
  <si>
    <t>Row K</t>
  </si>
  <si>
    <t>ROW-L</t>
  </si>
  <si>
    <t>Row L</t>
  </si>
  <si>
    <t>ROW-M</t>
  </si>
  <si>
    <t>Row M</t>
  </si>
  <si>
    <t>ROW-N</t>
  </si>
  <si>
    <t>Row N</t>
  </si>
  <si>
    <t>ROW-O</t>
  </si>
  <si>
    <t>Row O</t>
  </si>
  <si>
    <t>ROW-P</t>
  </si>
  <si>
    <t>Row P</t>
  </si>
  <si>
    <t>ROW-Q</t>
  </si>
  <si>
    <t>Row Q</t>
  </si>
  <si>
    <t>ROW-R</t>
  </si>
  <si>
    <t>Row R</t>
  </si>
  <si>
    <t>ROW-S</t>
  </si>
  <si>
    <t>Row S</t>
  </si>
  <si>
    <t>ROW-T</t>
  </si>
  <si>
    <t>Row T</t>
  </si>
  <si>
    <t>ROW-U</t>
  </si>
  <si>
    <t>Row U</t>
  </si>
  <si>
    <t>ROW-V</t>
  </si>
  <si>
    <t>Row V</t>
  </si>
  <si>
    <t>ROW-W</t>
  </si>
  <si>
    <t>Row W</t>
  </si>
  <si>
    <t>ROW-X</t>
  </si>
  <si>
    <t>Row X</t>
  </si>
  <si>
    <t>zone</t>
  </si>
  <si>
    <t>plant room</t>
  </si>
  <si>
    <t>outdoor yard</t>
  </si>
  <si>
    <t>overhead</t>
  </si>
  <si>
    <t>Runs the length of the hall</t>
  </si>
  <si>
    <t>row end</t>
  </si>
  <si>
    <t>West end of Row A</t>
  </si>
  <si>
    <t>East end of Row A</t>
  </si>
  <si>
    <t>West CRAH, Row A</t>
  </si>
  <si>
    <t>East CRAH, Row A</t>
  </si>
  <si>
    <t>West end of Row B</t>
  </si>
  <si>
    <t>East end of Row B</t>
  </si>
  <si>
    <t>West CRAH, Row B</t>
  </si>
  <si>
    <t>East CRAH, Row B</t>
  </si>
  <si>
    <t>West end of Row C</t>
  </si>
  <si>
    <t>East end of Row C</t>
  </si>
  <si>
    <t>West CRAH, Row C</t>
  </si>
  <si>
    <t>East CRAH, Row C</t>
  </si>
  <si>
    <t>West end of Row D</t>
  </si>
  <si>
    <t>East end of Row D</t>
  </si>
  <si>
    <t>West CRAH, Row D</t>
  </si>
  <si>
    <t>East CRAH, Row D</t>
  </si>
  <si>
    <t>West end of Row E</t>
  </si>
  <si>
    <t>East end of Row E</t>
  </si>
  <si>
    <t>West CRAH, Row E</t>
  </si>
  <si>
    <t>East CRAH, Row E</t>
  </si>
  <si>
    <t>West end of Row F</t>
  </si>
  <si>
    <t>East end of Row F</t>
  </si>
  <si>
    <t>West CRAH, Row F</t>
  </si>
  <si>
    <t>East CRAH, Row F</t>
  </si>
  <si>
    <t>West end of Row G</t>
  </si>
  <si>
    <t>East end of Row G</t>
  </si>
  <si>
    <t>West CRAH, Row G</t>
  </si>
  <si>
    <t>East CRAH, Row G</t>
  </si>
  <si>
    <t>West end of Row H</t>
  </si>
  <si>
    <t>East end of Row H</t>
  </si>
  <si>
    <t>West CRAH, Row H</t>
  </si>
  <si>
    <t>East CRAH, Row H</t>
  </si>
  <si>
    <t>West end of Row I</t>
  </si>
  <si>
    <t>East end of Row I</t>
  </si>
  <si>
    <t>West CRAH, Row I</t>
  </si>
  <si>
    <t>East CRAH, Row I</t>
  </si>
  <si>
    <t>West end of Row J</t>
  </si>
  <si>
    <t>East end of Row J</t>
  </si>
  <si>
    <t>West CRAH, Row J</t>
  </si>
  <si>
    <t>East CRAH, Row J</t>
  </si>
  <si>
    <t>West end of Row K</t>
  </si>
  <si>
    <t>East end of Row K</t>
  </si>
  <si>
    <t>West CRAH, Row K</t>
  </si>
  <si>
    <t>East CRAH, Row K</t>
  </si>
  <si>
    <t>West end of Row L</t>
  </si>
  <si>
    <t>East end of Row L</t>
  </si>
  <si>
    <t>West CRAH, Row L</t>
  </si>
  <si>
    <t>East CRAH, Row L</t>
  </si>
  <si>
    <t>West end of Row M</t>
  </si>
  <si>
    <t>East end of Row M</t>
  </si>
  <si>
    <t>West CRAH, Row M</t>
  </si>
  <si>
    <t>East CRAH, Row M</t>
  </si>
  <si>
    <t>West end of Row N</t>
  </si>
  <si>
    <t>East end of Row N</t>
  </si>
  <si>
    <t>West CRAH, Row N</t>
  </si>
  <si>
    <t>East CRAH, Row N</t>
  </si>
  <si>
    <t>West end of Row O</t>
  </si>
  <si>
    <t>East end of Row O</t>
  </si>
  <si>
    <t>West CRAH, Row O</t>
  </si>
  <si>
    <t>East CRAH, Row O</t>
  </si>
  <si>
    <t>West end of Row P</t>
  </si>
  <si>
    <t>East end of Row P</t>
  </si>
  <si>
    <t>West CRAH, Row P</t>
  </si>
  <si>
    <t>East CRAH, Row P</t>
  </si>
  <si>
    <t>West end of Row Q</t>
  </si>
  <si>
    <t>East end of Row Q</t>
  </si>
  <si>
    <t>West CRAH, Row Q</t>
  </si>
  <si>
    <t>East CRAH, Row Q</t>
  </si>
  <si>
    <t>West end of Row R</t>
  </si>
  <si>
    <t>East end of Row R</t>
  </si>
  <si>
    <t>West CRAH, Row R</t>
  </si>
  <si>
    <t>East CRAH, Row R</t>
  </si>
  <si>
    <t>West end of Row S</t>
  </si>
  <si>
    <t>East end of Row S</t>
  </si>
  <si>
    <t>West CRAH, Row S</t>
  </si>
  <si>
    <t>East CRAH, Row S</t>
  </si>
  <si>
    <t>West end of Row T</t>
  </si>
  <si>
    <t>East end of Row T</t>
  </si>
  <si>
    <t>West CRAH, Row T</t>
  </si>
  <si>
    <t>East CRAH, Row T</t>
  </si>
  <si>
    <t>West end of Row U</t>
  </si>
  <si>
    <t>East end of Row U</t>
  </si>
  <si>
    <t>West CRAH, Row U</t>
  </si>
  <si>
    <t>East CRAH, Row U</t>
  </si>
  <si>
    <t>West end of Row V</t>
  </si>
  <si>
    <t>East end of Row V</t>
  </si>
  <si>
    <t>West CRAH, Row V</t>
  </si>
  <si>
    <t>East CRAH, Row V</t>
  </si>
  <si>
    <t>West end of Row W</t>
  </si>
  <si>
    <t>East end of Row W</t>
  </si>
  <si>
    <t>West CRAH, Row W</t>
  </si>
  <si>
    <t>East CRAH, Row W</t>
  </si>
  <si>
    <t>West end of Row X</t>
  </si>
  <si>
    <t>East end of Row X</t>
  </si>
  <si>
    <t>West CRAH, Row X</t>
  </si>
  <si>
    <t>East CRAH, Row X</t>
  </si>
  <si>
    <t>hall floor</t>
  </si>
  <si>
    <t>Row A centroid</t>
  </si>
  <si>
    <t>Row B centroid</t>
  </si>
  <si>
    <t>Row C centroid</t>
  </si>
  <si>
    <t>Row D centroid</t>
  </si>
  <si>
    <t>Row E centroid</t>
  </si>
  <si>
    <t>Row F centroid</t>
  </si>
  <si>
    <t>Row G centroid</t>
  </si>
  <si>
    <t>Row H centroid</t>
  </si>
  <si>
    <t>Row I centroid</t>
  </si>
  <si>
    <t>Row J centroid</t>
  </si>
  <si>
    <t>Row K centroid</t>
  </si>
  <si>
    <t>Row L centroid</t>
  </si>
  <si>
    <t>Row M centroid</t>
  </si>
  <si>
    <t>Row N centroid</t>
  </si>
  <si>
    <t>Row O centroid</t>
  </si>
  <si>
    <t>Row P centroid</t>
  </si>
  <si>
    <t>Row Q centroid</t>
  </si>
  <si>
    <t>Row R centroid</t>
  </si>
  <si>
    <t>Row S centroid</t>
  </si>
  <si>
    <t>Row T centroid</t>
  </si>
  <si>
    <t>Row U centroid</t>
  </si>
  <si>
    <t>Row V centroid</t>
  </si>
  <si>
    <t>Row W centroid</t>
  </si>
  <si>
    <t>Row X centroid</t>
  </si>
  <si>
    <t>Join to 04_components on component_id. Separated so the component table stays readable.</t>
  </si>
  <si>
    <t>Zones: hall floor, row end, overhead, plant room, outdoor yard.</t>
  </si>
  <si>
    <t>Facility footprint spans roughly x -16..46, z -16..40.</t>
  </si>
  <si>
    <t>source_component_id</t>
  </si>
  <si>
    <t>target_component_id</t>
  </si>
  <si>
    <t>Directed edges. Electrical chain runs source -&gt; target toward the load.</t>
  </si>
  <si>
    <t>Thermal chain runs load -&gt; CRAH -&gt; loop -&gt; chiller -&gt; tower.</t>
  </si>
  <si>
    <t>The cascade engine walks these edges to accumulate load at every node.</t>
  </si>
  <si>
    <t>description</t>
  </si>
  <si>
    <t>new_capacity</t>
  </si>
  <si>
    <t>cost_inr_lakh</t>
  </si>
  <si>
    <t>blocks_what</t>
  </si>
  <si>
    <t>Replace with 800 kW PDU</t>
  </si>
  <si>
    <t>Row G at 60 kW per rack</t>
  </si>
  <si>
    <t>Upgrade busway to 2,500 kW</t>
  </si>
  <si>
    <t>Replace with 600 kW high-density CRAH</t>
  </si>
  <si>
    <t>Add third 3,000 kVA module to restore N+1</t>
  </si>
  <si>
    <t>Total: Rs 250 lakh (Rs 2.50 crore). Critical path: 16 weeks.</t>
  </si>
  <si>
    <t>hop_distance</t>
  </si>
  <si>
    <t>old_load</t>
  </si>
  <si>
    <t>new_load</t>
  </si>
  <si>
    <t>old_utilisation_pct</t>
  </si>
  <si>
    <t>new_utilisation_pct</t>
  </si>
  <si>
    <t>exceeded</t>
  </si>
  <si>
    <t>tight</t>
  </si>
  <si>
    <t>redundancy_lost</t>
  </si>
  <si>
    <t>ok</t>
  </si>
  <si>
    <t>Scenario: MUM-1 Row G, 20 racks from 10 kW to 60 kW (+1,000 kW).</t>
  </si>
  <si>
    <t>Status: exceeded = over derated capacity. redundancy_lost = within capacity but N+1 gone.</t>
  </si>
  <si>
    <t>Animate the ripple in hop_distance order, roughly 120ms per ring.</t>
  </si>
  <si>
    <t>metric</t>
  </si>
  <si>
    <t>before</t>
  </si>
  <si>
    <t>after</t>
  </si>
  <si>
    <t>delta</t>
  </si>
  <si>
    <t>Chilled water flow</t>
  </si>
  <si>
    <t>Annual energy</t>
  </si>
  <si>
    <t>GWh</t>
  </si>
  <si>
    <t>Annual water</t>
  </si>
  <si>
    <t>litres</t>
  </si>
  <si>
    <t>PUE</t>
  </si>
  <si>
    <t>ratio</t>
  </si>
  <si>
    <t>Generator runtime at full backed load</t>
  </si>
  <si>
    <t>hours</t>
  </si>
  <si>
    <t>Energy delta assumes 47% average utilisation of the added load.</t>
  </si>
  <si>
    <t>Water delta applies the facility WUE of 1.80 L/kWh to the added consumption.</t>
  </si>
  <si>
    <t>contracted_kw</t>
  </si>
  <si>
    <t>workload_type</t>
  </si>
  <si>
    <t>contract_start</t>
  </si>
  <si>
    <t>Aarav Cloud Services</t>
  </si>
  <si>
    <t>Cloud / IaaS</t>
  </si>
  <si>
    <t>2020-04-01</t>
  </si>
  <si>
    <t>Bharat Financial Network</t>
  </si>
  <si>
    <t>BFSI core banking</t>
  </si>
  <si>
    <t>2019-11-15</t>
  </si>
  <si>
    <t>Sarvam AI Labs</t>
  </si>
  <si>
    <t>AI training</t>
  </si>
  <si>
    <t>2023-09-01</t>
  </si>
  <si>
    <t>Setu Payments</t>
  </si>
  <si>
    <t>Payments</t>
  </si>
  <si>
    <t>2021-02-10</t>
  </si>
  <si>
    <t>Nimbus Software</t>
  </si>
  <si>
    <t>SaaS</t>
  </si>
  <si>
    <t>2022-07-18</t>
  </si>
  <si>
    <t>TEN-06</t>
  </si>
  <si>
    <t>Indus Banking Corp</t>
  </si>
  <si>
    <t>BFSI</t>
  </si>
  <si>
    <t>2017-05-04</t>
  </si>
  <si>
    <t>TEN-07</t>
  </si>
  <si>
    <t>Drishti Media</t>
  </si>
  <si>
    <t>Media streaming</t>
  </si>
  <si>
    <t>2018-08-22</t>
  </si>
  <si>
    <t>TEN-08</t>
  </si>
  <si>
    <t>Nova Telecom</t>
  </si>
  <si>
    <t>Telecom core</t>
  </si>
  <si>
    <t>2016-09-30</t>
  </si>
  <si>
    <t>TEN-09</t>
  </si>
  <si>
    <t>Kaveri Pharma</t>
  </si>
  <si>
    <t>Enterprise IT</t>
  </si>
  <si>
    <t>2022-01-12</t>
  </si>
  <si>
    <t>TEN-10</t>
  </si>
  <si>
    <t>Vayu Logistics</t>
  </si>
  <si>
    <t>Logistics platform</t>
  </si>
  <si>
    <t>2022-06-08</t>
  </si>
  <si>
    <t>TEN-11</t>
  </si>
  <si>
    <t>Tarang Gaming</t>
  </si>
  <si>
    <t>Gaming / low latency</t>
  </si>
  <si>
    <t>2023-03-21</t>
  </si>
  <si>
    <t>TEN-12</t>
  </si>
  <si>
    <t>Quantum Analytics India</t>
  </si>
  <si>
    <t>AI inference</t>
  </si>
  <si>
    <t>2024-05-02</t>
  </si>
  <si>
    <t>TEN-13</t>
  </si>
  <si>
    <t>Pragati Insurance</t>
  </si>
  <si>
    <t>2024-08-14</t>
  </si>
  <si>
    <t>TEN-14</t>
  </si>
  <si>
    <t>Ananta Retail</t>
  </si>
  <si>
    <t>E-commerce</t>
  </si>
  <si>
    <t>2022-10-01</t>
  </si>
  <si>
    <t>TEN-15</t>
  </si>
  <si>
    <t>2023-01-09</t>
  </si>
  <si>
    <t>contract_id</t>
  </si>
  <si>
    <t>tenant_name</t>
  </si>
  <si>
    <t>sla_uptime_pct</t>
  </si>
  <si>
    <t>penalty_threshold_hours</t>
  </si>
  <si>
    <t>penalty_inr_lakh</t>
  </si>
  <si>
    <t>penalty_per_hour_inr_lakh</t>
  </si>
  <si>
    <t>notification_clause</t>
  </si>
  <si>
    <t>review_cycle</t>
  </si>
  <si>
    <t>CON-01</t>
  </si>
  <si>
    <t>Within 30 min of detection</t>
  </si>
  <si>
    <t>Half-yearly</t>
  </si>
  <si>
    <t>CON-02</t>
  </si>
  <si>
    <t>Quarterly</t>
  </si>
  <si>
    <t>CON-03</t>
  </si>
  <si>
    <t>CON-04</t>
  </si>
  <si>
    <t>CON-05</t>
  </si>
  <si>
    <t>CON-06</t>
  </si>
  <si>
    <t>CON-07</t>
  </si>
  <si>
    <t>CON-08</t>
  </si>
  <si>
    <t>CON-09</t>
  </si>
  <si>
    <t>CON-10</t>
  </si>
  <si>
    <t>CON-11</t>
  </si>
  <si>
    <t>CON-12</t>
  </si>
  <si>
    <t>CON-13</t>
  </si>
  <si>
    <t>CON-14</t>
  </si>
  <si>
    <t>CON-15</t>
  </si>
  <si>
    <t>penalty_inr_lakh is the amount triggered once an outage passes the threshold.</t>
  </si>
  <si>
    <t>Scene 2 and the incident blast radius both read from this sheet.</t>
  </si>
  <si>
    <t>incident_id</t>
  </si>
  <si>
    <t>severity</t>
  </si>
  <si>
    <t>detected_at</t>
  </si>
  <si>
    <t>resolved_at</t>
  </si>
  <si>
    <t>root_cause</t>
  </si>
  <si>
    <t>duration_min</t>
  </si>
  <si>
    <t>tenants_affected</t>
  </si>
  <si>
    <t>INC-2026-0318</t>
  </si>
  <si>
    <t>critical</t>
  </si>
  <si>
    <t>2026-03-18 04:12</t>
  </si>
  <si>
    <t>2026-03-18 10:35</t>
  </si>
  <si>
    <t>UPS battery string B cell degradation, thermal runaway risk</t>
  </si>
  <si>
    <t>Battery batch Q4-2023, vendor A - accelerated capacity fade</t>
  </si>
  <si>
    <t>REPLAY TARGET. Degradation signal present from 2026-03-17 22:40.</t>
  </si>
  <si>
    <t>INC-2025-1104</t>
  </si>
  <si>
    <t>HKG-EXT</t>
  </si>
  <si>
    <t>2025-11-04 02:50</t>
  </si>
  <si>
    <t>2025-11-04 07:10</t>
  </si>
  <si>
    <t>UPS battery bank degradation</t>
  </si>
  <si>
    <t>Battery batch Q4-2023, vendor A</t>
  </si>
  <si>
    <t>Same failure signature as INC-2026-0318. Pattern evidence.</t>
  </si>
  <si>
    <t>INC-2025-0812</t>
  </si>
  <si>
    <t>high</t>
  </si>
  <si>
    <t>2025-08-12 19:25</t>
  </si>
  <si>
    <t>2025-08-12 23:40</t>
  </si>
  <si>
    <t>UPS battery capacity below threshold</t>
  </si>
  <si>
    <t>Third occurrence of the same batch issue.</t>
  </si>
  <si>
    <t>INC-2026-0402</t>
  </si>
  <si>
    <t>2026-04-02 13:18</t>
  </si>
  <si>
    <t>2026-04-02 16:02</t>
  </si>
  <si>
    <t>CRAH valve actuator failure, Row K</t>
  </si>
  <si>
    <t>Actuator seized, no preventive replacement</t>
  </si>
  <si>
    <t>INC-2026-0215</t>
  </si>
  <si>
    <t>2026-02-15 08:40</t>
  </si>
  <si>
    <t>2026-02-15 15:20</t>
  </si>
  <si>
    <t>Chiller condenser fouling, capacity down 22%</t>
  </si>
  <si>
    <t>Cooling water quality, scale build-up</t>
  </si>
  <si>
    <t>INC-2026-0509</t>
  </si>
  <si>
    <t>medium</t>
  </si>
  <si>
    <t>2026-05-09 11:05</t>
  </si>
  <si>
    <t>2026-05-09 12:50</t>
  </si>
  <si>
    <t>Busway tap-off thermal anomaly</t>
  </si>
  <si>
    <t>Loose connection at tap-off box</t>
  </si>
  <si>
    <t>INC-2026-0620</t>
  </si>
  <si>
    <t>2026-06-20 06:30</t>
  </si>
  <si>
    <t>2026-06-20 09:15</t>
  </si>
  <si>
    <t>Generator failed to reach rated load on test</t>
  </si>
  <si>
    <t>Fuel filter restriction</t>
  </si>
  <si>
    <t>INC-2026-0127</t>
  </si>
  <si>
    <t>2026-01-27 16:12</t>
  </si>
  <si>
    <t>2026-01-27 18:45</t>
  </si>
  <si>
    <t>Cooling tower make-up water supply interruption</t>
  </si>
  <si>
    <t>Municipal supply disruption</t>
  </si>
  <si>
    <t>Water supply dependency - supports the Beat 6 argument.</t>
  </si>
  <si>
    <t>INC-2025-0611</t>
  </si>
  <si>
    <t>TX-A</t>
  </si>
  <si>
    <t>2025-06-11 14:20</t>
  </si>
  <si>
    <t>2025-06-11 21:12</t>
  </si>
  <si>
    <t>Transformer TX-A tripped on Buchholz relay; site ran on TX-B and generators</t>
  </si>
  <si>
    <t>Insulation breakdown - dissolved gas (acetylene) trend not acted on</t>
  </si>
  <si>
    <t>Oil sample four months earlier showed acetylene rising; no follow-up was scheduled.</t>
  </si>
  <si>
    <t>Three incidents share the vendor A Q4-2023 battery batch root cause.</t>
  </si>
  <si>
    <t>That repetition is what the Incident Intelligence agent surfaces as a pattern.</t>
  </si>
  <si>
    <t>timestamp</t>
  </si>
  <si>
    <t>subsystem</t>
  </si>
  <si>
    <t>string_voltage_v</t>
  </si>
  <si>
    <t>cell_temp_c</t>
  </si>
  <si>
    <t>internal_resistance_mohm</t>
  </si>
  <si>
    <t>state_of_health_pct</t>
  </si>
  <si>
    <t>flag</t>
  </si>
  <si>
    <t>2026-03-17 16:00</t>
  </si>
  <si>
    <t>battery_string_B</t>
  </si>
  <si>
    <t>nominal</t>
  </si>
  <si>
    <t>2026-03-17 16:20</t>
  </si>
  <si>
    <t>2026-03-17 16:40</t>
  </si>
  <si>
    <t>2026-03-17 17:00</t>
  </si>
  <si>
    <t>2026-03-17 17:20</t>
  </si>
  <si>
    <t>2026-03-17 17:40</t>
  </si>
  <si>
    <t>2026-03-17 18:00</t>
  </si>
  <si>
    <t>2026-03-17 18:20</t>
  </si>
  <si>
    <t>2026-03-17 18:40</t>
  </si>
  <si>
    <t>2026-03-17 19:00</t>
  </si>
  <si>
    <t>2026-03-17 19:20</t>
  </si>
  <si>
    <t>2026-03-17 19:40</t>
  </si>
  <si>
    <t>2026-03-17 20:00</t>
  </si>
  <si>
    <t>2026-03-17 20:20</t>
  </si>
  <si>
    <t>2026-03-17 20:40</t>
  </si>
  <si>
    <t>2026-03-17 21:00</t>
  </si>
  <si>
    <t>2026-03-17 21:20</t>
  </si>
  <si>
    <t>2026-03-17 21:40</t>
  </si>
  <si>
    <t>2026-03-17 22:00</t>
  </si>
  <si>
    <t>2026-03-17 22:20</t>
  </si>
  <si>
    <t>2026-03-17 22:40</t>
  </si>
  <si>
    <t>degrading</t>
  </si>
  <si>
    <t>FIRST DEVIATION - agent flags here</t>
  </si>
  <si>
    <t>2026-03-17 23:00</t>
  </si>
  <si>
    <t>2026-03-17 23:20</t>
  </si>
  <si>
    <t>2026-03-17 23:40</t>
  </si>
  <si>
    <t>2026-03-18 00:00</t>
  </si>
  <si>
    <t>2026-03-18 00:20</t>
  </si>
  <si>
    <t>2026-03-18 00:40</t>
  </si>
  <si>
    <t>2026-03-18 01:00</t>
  </si>
  <si>
    <t>2026-03-18 01:20</t>
  </si>
  <si>
    <t>2026-03-18 01:40</t>
  </si>
  <si>
    <t>2026-03-18 02:00</t>
  </si>
  <si>
    <t>2026-03-18 02:20</t>
  </si>
  <si>
    <t>2026-03-18 02:40</t>
  </si>
  <si>
    <t>2026-03-18 03:00</t>
  </si>
  <si>
    <t>2026-03-18 03:20</t>
  </si>
  <si>
    <t>2026-03-18 03:40</t>
  </si>
  <si>
    <t>2026-03-18 04:00</t>
  </si>
  <si>
    <t>Agent flags the deviation at 2026-03-17 22:40.</t>
  </si>
  <si>
    <t>Operator threshold alarm fires at 2026-03-18 04:12 - 5 hours 32 minutes later.</t>
  </si>
  <si>
    <t>Scheduled battery swap at the earlier point: Rs 4 lakh. Emergency response: Rs 18 lakh.</t>
  </si>
  <si>
    <t>month</t>
  </si>
  <si>
    <t>total_kwh</t>
  </si>
  <si>
    <t>renewable_kwh</t>
  </si>
  <si>
    <t>grid_kwh</t>
  </si>
  <si>
    <t>measured_pue</t>
  </si>
  <si>
    <t>grid_carbon_kg_per_kwh</t>
  </si>
  <si>
    <t>emissions_tco2</t>
  </si>
  <si>
    <t>energy_reused_kwh</t>
  </si>
  <si>
    <t>2026-01</t>
  </si>
  <si>
    <t>2026-02</t>
  </si>
  <si>
    <t>2026-03</t>
  </si>
  <si>
    <t>2026-04</t>
  </si>
  <si>
    <t>2026-05</t>
  </si>
  <si>
    <t>2026-06</t>
  </si>
  <si>
    <t>2026-07</t>
  </si>
  <si>
    <t>2026-08</t>
  </si>
  <si>
    <t>2026-09</t>
  </si>
  <si>
    <t>Grid carbon intensity 0.71 kgCO2/kWh is the Indian national grid average.</t>
  </si>
  <si>
    <t>Renewable share comes from each facility's PPA and on-site generation.</t>
  </si>
  <si>
    <t>energy_reused_kwh is zero: no facility exports waste heat, so the EU EED energy reuse factor is 0.</t>
  </si>
  <si>
    <t>Restated from 22_timeseries: total_kwh = IT load x hours x PUE. Renewable share and tariff per 01_facilities.</t>
  </si>
  <si>
    <t>total_litres</t>
  </si>
  <si>
    <t>measured_wue_l_per_kwh</t>
  </si>
  <si>
    <t>treated_litres</t>
  </si>
  <si>
    <t>freshwater_litres</t>
  </si>
  <si>
    <t>source</t>
  </si>
  <si>
    <t>local_water_stress</t>
  </si>
  <si>
    <t>stress_index</t>
  </si>
  <si>
    <t>peak_demand_lpm</t>
  </si>
  <si>
    <t>Municipal + treated recycle</t>
  </si>
  <si>
    <t>High</t>
  </si>
  <si>
    <t>Extremely high</t>
  </si>
  <si>
    <t>Karnataka's Sustainable Data Centre Policy 2026-31 requires plant-wise PUE and WUE.</t>
  </si>
  <si>
    <t>Chennai and NCR sit in extremely high baseline water stress zones.</t>
  </si>
  <si>
    <t>Peak demand matters more than the annual average - that is the reporting gap.</t>
  </si>
  <si>
    <t>Restated from 22_timeseries: total_litres = IT load x hours x WUE (litres per IT kWh). Peak LPM applies a seasonal peaking factor.</t>
  </si>
  <si>
    <t>utility</t>
  </si>
  <si>
    <t>voltage_kv</t>
  </si>
  <si>
    <t>sanctioned_load_kw</t>
  </si>
  <si>
    <t>current_draw_kw</t>
  </si>
  <si>
    <t>feed_count</t>
  </si>
  <si>
    <t>connection_status</t>
  </si>
  <si>
    <t>queue_position</t>
  </si>
  <si>
    <t>MSEDCL</t>
  </si>
  <si>
    <t>Connected</t>
  </si>
  <si>
    <t>Dual 33kV feed, 2N</t>
  </si>
  <si>
    <t>Capacity nearly exhausted</t>
  </si>
  <si>
    <t>TANGEDCO</t>
  </si>
  <si>
    <t>Cyclone exposure on feed B</t>
  </si>
  <si>
    <t>TSSPDCL</t>
  </si>
  <si>
    <t>Headroom for phase 2</t>
  </si>
  <si>
    <t>NPCL</t>
  </si>
  <si>
    <t>GRID CONSTRAINED. Expansion request in queue.</t>
  </si>
  <si>
    <t>BESCOM</t>
  </si>
  <si>
    <t>In queue</t>
  </si>
  <si>
    <t>Interconnection queue position 31. Estimated energisation Q1 2028.</t>
  </si>
  <si>
    <t>Indian interconnection queues currently run five to seven years in major markets.</t>
  </si>
  <si>
    <t>jurisdiction</t>
  </si>
  <si>
    <t>policy</t>
  </si>
  <si>
    <t>effective_from</t>
  </si>
  <si>
    <t>reporting_obligation</t>
  </si>
  <si>
    <t>incentives</t>
  </si>
  <si>
    <t>detail</t>
  </si>
  <si>
    <t>applies_to</t>
  </si>
  <si>
    <t>Sustainable Data Centre Policy 2026-31</t>
  </si>
  <si>
    <t>2026-10-01</t>
  </si>
  <si>
    <t>Plant-wise PUE and WUE reporting mandatory</t>
  </si>
  <si>
    <t>Capital subsidy, power tariff rebate</t>
  </si>
  <si>
    <t>Incentives linked to energy and water efficiency; support tied to treated water use</t>
  </si>
  <si>
    <t>Active</t>
  </si>
  <si>
    <t>Data Centre Policy</t>
  </si>
  <si>
    <t>2023-04-01</t>
  </si>
  <si>
    <t>Annual energy reporting</t>
  </si>
  <si>
    <t>Stamp duty waiver, electricity duty exemption</t>
  </si>
  <si>
    <t>Industrial tariff applies; no plant-wise water mandate yet</t>
  </si>
  <si>
    <t>MUM-1, MUM-2</t>
  </si>
  <si>
    <t>Data Centre Policy 2021</t>
  </si>
  <si>
    <t>2021-02-01</t>
  </si>
  <si>
    <t>Water impact assessment at approval</t>
  </si>
  <si>
    <t>Land cost subsidy, power subsidy</t>
  </si>
  <si>
    <t>Chennai requires water impact assessment before construction approval</t>
  </si>
  <si>
    <t>ICT Policy - Data Centre</t>
  </si>
  <si>
    <t>2022-07-01</t>
  </si>
  <si>
    <t>Energy reporting on request</t>
  </si>
  <si>
    <t>Power tariff concession, dual grid support</t>
  </si>
  <si>
    <t>Favourable renewable wheeling charges</t>
  </si>
  <si>
    <t>2021-01-01</t>
  </si>
  <si>
    <t>Capital subsidy, land rebate, stamp duty waiver</t>
  </si>
  <si>
    <t>Among the most generous capital incentives in India</t>
  </si>
  <si>
    <t>National</t>
  </si>
  <si>
    <t>SEBI BRSR</t>
  </si>
  <si>
    <t>ESG disclosure for top 1000 listed entities</t>
  </si>
  <si>
    <t>None - compliance obligation</t>
  </si>
  <si>
    <t>Energy and water intensity disclosure required</t>
  </si>
  <si>
    <t>All</t>
  </si>
  <si>
    <t>European Union</t>
  </si>
  <si>
    <t>Energy Efficiency Directive</t>
  </si>
  <si>
    <t>2024-09-15</t>
  </si>
  <si>
    <t>Annual PUE, WUE, ERF and REF disclosure for facilities over 500 kW</t>
  </si>
  <si>
    <t>Applies to EU operations; sets the direction Indian policy is following</t>
  </si>
  <si>
    <t>Reference</t>
  </si>
  <si>
    <t>scene</t>
  </si>
  <si>
    <t>where</t>
  </si>
  <si>
    <t>action</t>
  </si>
  <si>
    <t>what the system returns</t>
  </si>
  <si>
    <t>source sheets</t>
  </si>
  <si>
    <t>the line to say</t>
  </si>
  <si>
    <t>Scene 1</t>
  </si>
  <si>
    <t>Stranded capacity</t>
  </si>
  <si>
    <t>One click on 'Stranded capacity'</t>
  </si>
  <si>
    <t>640 kW structural stranded. Row K 380 kW cooling-limited, Row C 190 kW space-limited, Rows P and Q 70 kW combined.</t>
  </si>
  <si>
    <t>03_rows</t>
  </si>
  <si>
    <t>Rs 49 lakh annual carrying cost. Rs 6.4 crore of revenue it cannot earn.</t>
  </si>
  <si>
    <t>Scene 2</t>
  </si>
  <si>
    <t>Can we take this customer</t>
  </si>
  <si>
    <t>MUM-1 Hall 4</t>
  </si>
  <si>
    <t>Type: Can we take 2MW at 60kW density?</t>
  </si>
  <si>
    <t>Space 34 racks, power 22 racks (1,320 kW), cooling 14 racks (840 kW). Cooling binds.</t>
  </si>
  <si>
    <t>Answer: 840 kW deployable today. Quote it in the call, not next Thursday.</t>
  </si>
  <si>
    <t>Scene 3</t>
  </si>
  <si>
    <t>Cascade impact</t>
  </si>
  <si>
    <t>MUM-1 Row G</t>
  </si>
  <si>
    <t>Drag density slider 10 kW -&gt; 60 kW</t>
  </si>
  <si>
    <t>5 components exceeded across 3 systems. UPS-1/UPS-2 pair loses N+1. +4.12 GWh/year, +7.41 million litres/year, PUE 1.58 -&gt; 1.71.</t>
  </si>
  <si>
    <t>07_cascade_result, 08_secondary_effects</t>
  </si>
  <si>
    <t>Rs 2.50 crore of upgrades, 16-week critical path. Fourteen seconds versus two weeks.</t>
  </si>
  <si>
    <t>Scene 4</t>
  </si>
  <si>
    <t>Retrospective replay</t>
  </si>
  <si>
    <t>MUM-1 UPS-1</t>
  </si>
  <si>
    <t>Open incident INC-2026-0318</t>
  </si>
  <si>
    <t>Operator detected 04:12. Agent flags degradation 22:40 previous evening. 5 hours 32 minutes earlier.</t>
  </si>
  <si>
    <t>11_incidents, 12_telemetry_replay</t>
  </si>
  <si>
    <t>Rs 4 lakh scheduled swap versus Rs 18 lakh emergency. Data was already in the building.</t>
  </si>
  <si>
    <t>maintenance_id</t>
  </si>
  <si>
    <t>service_date</t>
  </si>
  <si>
    <t>next_due</t>
  </si>
  <si>
    <t>service_type</t>
  </si>
  <si>
    <t>performed_by</t>
  </si>
  <si>
    <t>findings</t>
  </si>
  <si>
    <t>outcome</t>
  </si>
  <si>
    <t>MNT-0073</t>
  </si>
  <si>
    <t>2026-07-02</t>
  </si>
  <si>
    <t>2026-12-29</t>
  </si>
  <si>
    <t>Filter replacement</t>
  </si>
  <si>
    <t>In-house FM team</t>
  </si>
  <si>
    <t>No defects found</t>
  </si>
  <si>
    <t>Passed</t>
  </si>
  <si>
    <t>MNT-0037</t>
  </si>
  <si>
    <t>2026-06-30</t>
  </si>
  <si>
    <t>2026-12-27</t>
  </si>
  <si>
    <t>Preventive service</t>
  </si>
  <si>
    <t>Vendor B Facilities</t>
  </si>
  <si>
    <t>Cleaned and tested</t>
  </si>
  <si>
    <t>MNT-0021</t>
  </si>
  <si>
    <t>2026-06-28</t>
  </si>
  <si>
    <t>2026-12-25</t>
  </si>
  <si>
    <t>Firmware update</t>
  </si>
  <si>
    <t>MNT-0067</t>
  </si>
  <si>
    <t>Thermographic survey</t>
  </si>
  <si>
    <t>Vendor A Services</t>
  </si>
  <si>
    <t>MNT-0069</t>
  </si>
  <si>
    <t>Visual inspection</t>
  </si>
  <si>
    <t>Valve actuator stiff on travel. Replacement advised within 6 months.</t>
  </si>
  <si>
    <t>Advisory raised</t>
  </si>
  <si>
    <t>MNT-0005</t>
  </si>
  <si>
    <t>2026-06-27</t>
  </si>
  <si>
    <t>2026-12-24</t>
  </si>
  <si>
    <t>Minor adjustment made</t>
  </si>
  <si>
    <t>MNT-0013</t>
  </si>
  <si>
    <t>2026-06-25</t>
  </si>
  <si>
    <t>2026-12-22</t>
  </si>
  <si>
    <t>MNT-0007</t>
  </si>
  <si>
    <t>2026-06-24</t>
  </si>
  <si>
    <t>2026-12-21</t>
  </si>
  <si>
    <t>Within tolerance</t>
  </si>
  <si>
    <t>MNT-0035</t>
  </si>
  <si>
    <t>2026-06-23</t>
  </si>
  <si>
    <t>2026-12-20</t>
  </si>
  <si>
    <t>MNT-0057</t>
  </si>
  <si>
    <t>2026-06-21</t>
  </si>
  <si>
    <t>2026-12-18</t>
  </si>
  <si>
    <t>MNT-0063</t>
  </si>
  <si>
    <t>2026-06-17</t>
  </si>
  <si>
    <t>2026-12-14</t>
  </si>
  <si>
    <t>MNT-0049</t>
  </si>
  <si>
    <t>2026-06-15</t>
  </si>
  <si>
    <t>2026-12-12</t>
  </si>
  <si>
    <t>Calibration</t>
  </si>
  <si>
    <t>MNT-0033</t>
  </si>
  <si>
    <t>2026-06-14</t>
  </si>
  <si>
    <t>2026-12-11</t>
  </si>
  <si>
    <t>MNT-0011</t>
  </si>
  <si>
    <t>2026-06-10</t>
  </si>
  <si>
    <t>2026-12-07</t>
  </si>
  <si>
    <t>MNT-0027</t>
  </si>
  <si>
    <t>2026-06-05</t>
  </si>
  <si>
    <t>2026-12-02</t>
  </si>
  <si>
    <t>Load bank test</t>
  </si>
  <si>
    <t>MNT-0047</t>
  </si>
  <si>
    <t>MNT-0059</t>
  </si>
  <si>
    <t>MNT-0031</t>
  </si>
  <si>
    <t>2026-06-04</t>
  </si>
  <si>
    <t>2026-12-01</t>
  </si>
  <si>
    <t>MNT-0017</t>
  </si>
  <si>
    <t>2026-06-02</t>
  </si>
  <si>
    <t>2026-11-29</t>
  </si>
  <si>
    <t>MNT-0051</t>
  </si>
  <si>
    <t>MNT-0001</t>
  </si>
  <si>
    <t>2026-06-01</t>
  </si>
  <si>
    <t>2026-11-28</t>
  </si>
  <si>
    <t>Battery string B: 3 cells showing elevated internal resistance. Batch Q4-2023 vendor A. Monitor.</t>
  </si>
  <si>
    <t>MNT-0019</t>
  </si>
  <si>
    <t>2026-05-30</t>
  </si>
  <si>
    <t>2026-11-26</t>
  </si>
  <si>
    <t>MNT-0029</t>
  </si>
  <si>
    <t>2026-05-29</t>
  </si>
  <si>
    <t>2026-11-25</t>
  </si>
  <si>
    <t>MNT-0015</t>
  </si>
  <si>
    <t>2026-05-25</t>
  </si>
  <si>
    <t>2026-11-21</t>
  </si>
  <si>
    <t>MNT-0003</t>
  </si>
  <si>
    <t>2026-05-23</t>
  </si>
  <si>
    <t>2026-11-19</t>
  </si>
  <si>
    <t>MNT-0071</t>
  </si>
  <si>
    <t>2026-05-20</t>
  </si>
  <si>
    <t>2026-11-16</t>
  </si>
  <si>
    <t>MNT-0039</t>
  </si>
  <si>
    <t>2026-05-19</t>
  </si>
  <si>
    <t>2026-11-15</t>
  </si>
  <si>
    <t>MNT-0055</t>
  </si>
  <si>
    <t>MNT-0009</t>
  </si>
  <si>
    <t>2026-05-18</t>
  </si>
  <si>
    <t>2026-11-14</t>
  </si>
  <si>
    <t>MNT-0045</t>
  </si>
  <si>
    <t>2026-05-16</t>
  </si>
  <si>
    <t>2026-11-12</t>
  </si>
  <si>
    <t>MNT-0025</t>
  </si>
  <si>
    <t>2026-05-13</t>
  </si>
  <si>
    <t>2026-11-09</t>
  </si>
  <si>
    <t>MNT-0053</t>
  </si>
  <si>
    <t>2026-05-09</t>
  </si>
  <si>
    <t>2026-11-05</t>
  </si>
  <si>
    <t>MNT-0075</t>
  </si>
  <si>
    <t>2026-05-08</t>
  </si>
  <si>
    <t>2026-11-04</t>
  </si>
  <si>
    <t>MNT-0065</t>
  </si>
  <si>
    <t>2026-05-06</t>
  </si>
  <si>
    <t>2026-11-02</t>
  </si>
  <si>
    <t>MNT-0041</t>
  </si>
  <si>
    <t>2026-05-05</t>
  </si>
  <si>
    <t>2026-11-01</t>
  </si>
  <si>
    <t>MNT-0043</t>
  </si>
  <si>
    <t>MNT-0061</t>
  </si>
  <si>
    <t>2026-05-04</t>
  </si>
  <si>
    <t>2026-10-31</t>
  </si>
  <si>
    <t>MNT-0023</t>
  </si>
  <si>
    <t>2026-05-03</t>
  </si>
  <si>
    <t>2026-10-30</t>
  </si>
  <si>
    <t>MNT-0012</t>
  </si>
  <si>
    <t>2026-04-13</t>
  </si>
  <si>
    <t>2026-10-10</t>
  </si>
  <si>
    <t>MNT-0064</t>
  </si>
  <si>
    <t>2026-04-11</t>
  </si>
  <si>
    <t>2026-10-08</t>
  </si>
  <si>
    <t>MNT-0036</t>
  </si>
  <si>
    <t>2026-04-01</t>
  </si>
  <si>
    <t>2026-09-28</t>
  </si>
  <si>
    <t>MNT-0046</t>
  </si>
  <si>
    <t>MNT-0068</t>
  </si>
  <si>
    <t>MNT-0010</t>
  </si>
  <si>
    <t>2026-03-30</t>
  </si>
  <si>
    <t>2026-09-26</t>
  </si>
  <si>
    <t>MNT-0026</t>
  </si>
  <si>
    <t>MNT-0052</t>
  </si>
  <si>
    <t>MNT-0034</t>
  </si>
  <si>
    <t>2026-03-28</t>
  </si>
  <si>
    <t>2026-09-24</t>
  </si>
  <si>
    <t>MNT-0056</t>
  </si>
  <si>
    <t>2026-03-26</t>
  </si>
  <si>
    <t>2026-09-22</t>
  </si>
  <si>
    <t>MNT-0062</t>
  </si>
  <si>
    <t>2026-03-20</t>
  </si>
  <si>
    <t>2026-09-16</t>
  </si>
  <si>
    <t>MNT-0058</t>
  </si>
  <si>
    <t>2026-03-14</t>
  </si>
  <si>
    <t>2026-09-10</t>
  </si>
  <si>
    <t>MNT-0076</t>
  </si>
  <si>
    <t>MNT-0002</t>
  </si>
  <si>
    <t>2026-03-08</t>
  </si>
  <si>
    <t>2026-09-04</t>
  </si>
  <si>
    <t>MNT-0020</t>
  </si>
  <si>
    <t>2026-03-06</t>
  </si>
  <si>
    <t>2026-09-02</t>
  </si>
  <si>
    <t>MNT-0074</t>
  </si>
  <si>
    <t>MNT-0072</t>
  </si>
  <si>
    <t>2026-02-26</t>
  </si>
  <si>
    <t>2026-08-25</t>
  </si>
  <si>
    <t>MNT-0048</t>
  </si>
  <si>
    <t>2026-02-22</t>
  </si>
  <si>
    <t>2026-08-21</t>
  </si>
  <si>
    <t>MNT-0066</t>
  </si>
  <si>
    <t>2026-02-20</t>
  </si>
  <si>
    <t>2026-08-19</t>
  </si>
  <si>
    <t>MNT-0060</t>
  </si>
  <si>
    <t>2026-02-16</t>
  </si>
  <si>
    <t>2026-08-15</t>
  </si>
  <si>
    <t>MNT-0042</t>
  </si>
  <si>
    <t>2026-02-10</t>
  </si>
  <si>
    <t>2026-08-09</t>
  </si>
  <si>
    <t>MNT-0018</t>
  </si>
  <si>
    <t>2026-02-02</t>
  </si>
  <si>
    <t>2026-08-01</t>
  </si>
  <si>
    <t>MNT-0050</t>
  </si>
  <si>
    <t>2026-01-31</t>
  </si>
  <si>
    <t>2026-07-30</t>
  </si>
  <si>
    <t>MNT-0022</t>
  </si>
  <si>
    <t>2026-01-29</t>
  </si>
  <si>
    <t>2026-07-28</t>
  </si>
  <si>
    <t>MNT-0032</t>
  </si>
  <si>
    <t>2026-01-25</t>
  </si>
  <si>
    <t>2026-07-24</t>
  </si>
  <si>
    <t>MNT-0008</t>
  </si>
  <si>
    <t>2026-01-21</t>
  </si>
  <si>
    <t>2026-07-20</t>
  </si>
  <si>
    <t>MNT-0040</t>
  </si>
  <si>
    <t>2026-01-17</t>
  </si>
  <si>
    <t>2026-07-16</t>
  </si>
  <si>
    <t>MNT-0038</t>
  </si>
  <si>
    <t>2026-01-09</t>
  </si>
  <si>
    <t>2026-07-08</t>
  </si>
  <si>
    <t>MNT-0004</t>
  </si>
  <si>
    <t>2026-01-07</t>
  </si>
  <si>
    <t>2026-07-06</t>
  </si>
  <si>
    <t>MNT-0028</t>
  </si>
  <si>
    <t>2026-01-03</t>
  </si>
  <si>
    <t>MNT-0016</t>
  </si>
  <si>
    <t>2025-12-30</t>
  </si>
  <si>
    <t>MNT-0006</t>
  </si>
  <si>
    <t>2025-12-22</t>
  </si>
  <si>
    <t>2026-06-20</t>
  </si>
  <si>
    <t>MNT-0024</t>
  </si>
  <si>
    <t>2025-12-20</t>
  </si>
  <si>
    <t>2026-06-18</t>
  </si>
  <si>
    <t>MNT-0030</t>
  </si>
  <si>
    <t>MNT-0070</t>
  </si>
  <si>
    <t>MNT-0014</t>
  </si>
  <si>
    <t>2025-12-18</t>
  </si>
  <si>
    <t>2026-06-16</t>
  </si>
  <si>
    <t>MNT-0044</t>
  </si>
  <si>
    <t>MNT-0054</t>
  </si>
  <si>
    <t>2025-12-16</t>
  </si>
  <si>
    <t>MNT-0101</t>
  </si>
  <si>
    <t>2026-08-28</t>
  </si>
  <si>
    <t>Oil analysis (DGA)</t>
  </si>
  <si>
    <t>Dissolved gas analysis: acetylene 3 ppm (0.5 ppm in February) and ethylene rising; top-oil 8 C above last year at like load. Oil treatment and internal inspection advised within 3 months.</t>
  </si>
  <si>
    <t>Scene 3 equipment click-through reads from here.</t>
  </si>
  <si>
    <t>UPS-1 and UPS-2 carry a standing battery advisory - this is the paper trail behind incident INC-2026-0318.</t>
  </si>
  <si>
    <t>alert_id</t>
  </si>
  <si>
    <t>category</t>
  </si>
  <si>
    <t>message</t>
  </si>
  <si>
    <t>raised_at</t>
  </si>
  <si>
    <t>owner_team</t>
  </si>
  <si>
    <t>ALM-4821</t>
  </si>
  <si>
    <t>Cooling</t>
  </si>
  <si>
    <t>Supply air temp 2.1C above setpoint</t>
  </si>
  <si>
    <t>2026-09-29 03:14</t>
  </si>
  <si>
    <t>open</t>
  </si>
  <si>
    <t>Row K thermal margin narrowing</t>
  </si>
  <si>
    <t>ALM-4819</t>
  </si>
  <si>
    <t>Power</t>
  </si>
  <si>
    <t>Battery string B resistance trending up</t>
  </si>
  <si>
    <t>2026-09-28 21:40</t>
  </si>
  <si>
    <t>acknowledged</t>
  </si>
  <si>
    <t>Electrical</t>
  </si>
  <si>
    <t>Matches INC-2026-0318 signature</t>
  </si>
  <si>
    <t>ALM-4817</t>
  </si>
  <si>
    <t>low</t>
  </si>
  <si>
    <t>Phase imbalance 4.2%</t>
  </si>
  <si>
    <t>2026-09-28 14:22</t>
  </si>
  <si>
    <t>ALM-4812</t>
  </si>
  <si>
    <t>Approach temperature degrading</t>
  </si>
  <si>
    <t>2026-09-27 09:05</t>
  </si>
  <si>
    <t>Condenser fouling suspected</t>
  </si>
  <si>
    <t>ALM-4808</t>
  </si>
  <si>
    <t>Circuit at 88% of rated capacity</t>
  </si>
  <si>
    <t>2026-09-26 16:48</t>
  </si>
  <si>
    <t>ALM-4805</t>
  </si>
  <si>
    <t>Water</t>
  </si>
  <si>
    <t>Make-up water flow below expected</t>
  </si>
  <si>
    <t>2026-09-26 06:30</t>
  </si>
  <si>
    <t>Municipal supply pressure low</t>
  </si>
  <si>
    <t>ALM-4801</t>
  </si>
  <si>
    <t>Differential pressure rising</t>
  </si>
  <si>
    <t>2026-09-25 11:15</t>
  </si>
  <si>
    <t>ALM-4796</t>
  </si>
  <si>
    <t>Fuel level 41% of tank capacity</t>
  </si>
  <si>
    <t>2026-09-24 08:00</t>
  </si>
  <si>
    <t>Below 48h autonomy threshold</t>
  </si>
  <si>
    <t>ALM-4792</t>
  </si>
  <si>
    <t>Sanctioned load 96.5% utilised</t>
  </si>
  <si>
    <t>2026-09-23 19:30</t>
  </si>
  <si>
    <t>escalated</t>
  </si>
  <si>
    <t>Leadership</t>
  </si>
  <si>
    <t>GRID CONSTRAINT - expansion blocked</t>
  </si>
  <si>
    <t>ALM-4788</t>
  </si>
  <si>
    <t>Filter differential pressure high</t>
  </si>
  <si>
    <t>2026-09-23 10:12</t>
  </si>
  <si>
    <t>ALM-4784</t>
  </si>
  <si>
    <t>Capacity</t>
  </si>
  <si>
    <t>Row at 100% rack occupancy, 10 kW/rack</t>
  </si>
  <si>
    <t>2026-09-22 15:40</t>
  </si>
  <si>
    <t>Capacity planning</t>
  </si>
  <si>
    <t>Densification candidate</t>
  </si>
  <si>
    <t>ALM-4780</t>
  </si>
  <si>
    <t>WUE 2.51 against 2.45 target</t>
  </si>
  <si>
    <t>2026-09-21 07:25</t>
  </si>
  <si>
    <t>Sustainability</t>
  </si>
  <si>
    <t>Reportable under state policy</t>
  </si>
  <si>
    <t>cohort</t>
  </si>
  <si>
    <t>p10</t>
  </si>
  <si>
    <t>p25</t>
  </si>
  <si>
    <t>p50_median</t>
  </si>
  <si>
    <t>p75</t>
  </si>
  <si>
    <t>p90</t>
  </si>
  <si>
    <t>direction</t>
  </si>
  <si>
    <t>basis</t>
  </si>
  <si>
    <t>India Tier III</t>
  </si>
  <si>
    <t>Lower is better</t>
  </si>
  <si>
    <t>Composite of published Indian operator disclosures and KPMG engagement data, 2024-2026</t>
  </si>
  <si>
    <t>India Tier IV</t>
  </si>
  <si>
    <t>WUE (L/kWh)</t>
  </si>
  <si>
    <t>Renewable share (%)</t>
  </si>
  <si>
    <t>India all tiers</t>
  </si>
  <si>
    <t>Higher is better</t>
  </si>
  <si>
    <t>MTTR (minutes)</t>
  </si>
  <si>
    <t>Rack density (kW)</t>
  </si>
  <si>
    <t>Context only</t>
  </si>
  <si>
    <t>Utilisation (%)</t>
  </si>
  <si>
    <t>Stranded capacity (%)</t>
  </si>
  <si>
    <t>MUM-1 PUE 1.58 sits between p25 and p50 for India Tier III - roughly 38th percentile.</t>
  </si>
  <si>
    <t>MUM-1 stranded capacity 640 kW on 10,000 kW design = 6.4%, near p25.</t>
  </si>
  <si>
    <t>This cohort data is the claim only KPMG can credibly make.</t>
  </si>
  <si>
    <t>it_load_kw</t>
  </si>
  <si>
    <t>facility_load_kw</t>
  </si>
  <si>
    <t>uptime_pct</t>
  </si>
  <si>
    <t>2024-09</t>
  </si>
  <si>
    <t>2024-10</t>
  </si>
  <si>
    <t>2024-11</t>
  </si>
  <si>
    <t>2024-12</t>
  </si>
  <si>
    <t>2025-01</t>
  </si>
  <si>
    <t>2025-02</t>
  </si>
  <si>
    <t>2025-03</t>
  </si>
  <si>
    <t>2025-04</t>
  </si>
  <si>
    <t>2025-05</t>
  </si>
  <si>
    <t>2025-06</t>
  </si>
  <si>
    <t>2025-07</t>
  </si>
  <si>
    <t>2025-08</t>
  </si>
  <si>
    <t>2025-09</t>
  </si>
  <si>
    <t>2025-10</t>
  </si>
  <si>
    <t>2025-11</t>
  </si>
  <si>
    <t>2025-12</t>
  </si>
  <si>
    <t>COOLING EFFICIENCY DRIFT</t>
  </si>
  <si>
    <t>25 months, September 2024 to September 2026. September 2026 is month to date at 29 September.</t>
  </si>
  <si>
    <t>MUM-1 PUE drifts upward from month 19 - 0.013 per month of cooling efficiency loss.</t>
  </si>
  <si>
    <t>That drift is what the Predictive Risk agent should surface before it becomes a failure.</t>
  </si>
  <si>
    <t>runbook_id</t>
  </si>
  <si>
    <t>failure_mode</t>
  </si>
  <si>
    <t>impact</t>
  </si>
  <si>
    <t>match_terms</t>
  </si>
  <si>
    <t>step</t>
  </si>
  <si>
    <t>within_min</t>
  </si>
  <si>
    <t>RB-UPS-BAT</t>
  </si>
  <si>
    <t>Battery string degradation</t>
  </si>
  <si>
    <t>outage</t>
  </si>
  <si>
    <t>resistance trending|internal resistance|capacity fade|Battery batch</t>
  </si>
  <si>
    <t>Confirm the string resistance trend against the last discharge test</t>
  </si>
  <si>
    <t>Verify the redundant module can carry the full load, then transfer the affected string</t>
  </si>
  <si>
    <t>Issue tenant notifications for every contract on the affected UPS chain</t>
  </si>
  <si>
    <t>Raise an emergency string replacement with the vendor and pull the depot spare</t>
  </si>
  <si>
    <t>Audit every string from the same batch across the portfolio</t>
  </si>
  <si>
    <t>RB-CRAH-SAT</t>
  </si>
  <si>
    <t>Supply air above setpoint</t>
  </si>
  <si>
    <t>Supply air temp|actuator</t>
  </si>
  <si>
    <t>Check chilled-water valve actuator response at the unit</t>
  </si>
  <si>
    <t>Raise the partner CRAH fan speed and confirm rack inlets stay under 27 C</t>
  </si>
  <si>
    <t>Replace the actuator from site spares</t>
  </si>
  <si>
    <t>Log the thermal excursion against the rows served</t>
  </si>
  <si>
    <t>RB-CRAH-FLT</t>
  </si>
  <si>
    <t>Filter loading</t>
  </si>
  <si>
    <t>efficiency</t>
  </si>
  <si>
    <t>Filter differential pressure</t>
  </si>
  <si>
    <t>Schedule a filter change in the next maintenance window</t>
  </si>
  <si>
    <t>Compare fan power draw against the commissioning baseline</t>
  </si>
  <si>
    <t>RB-CHL-TRIP</t>
  </si>
  <si>
    <t>Chiller trip on condenser scaling</t>
  </si>
  <si>
    <t>scale build-up|Cooling water quality</t>
  </si>
  <si>
    <t>Start the standby chiller and confirm chilled-water supply temperature</t>
  </si>
  <si>
    <t>Check rack inlet temperatures in every hall the plant serves</t>
  </si>
  <si>
    <t>Dose descalant and schedule mechanical tube cleaning</t>
  </si>
  <si>
    <t>Review make-up water treatment against the hardness trend</t>
  </si>
  <si>
    <t>RB-CHL-APP</t>
  </si>
  <si>
    <t>Condenser approach degrading</t>
  </si>
  <si>
    <t>Approach temperature</t>
  </si>
  <si>
    <t>Trend condenser approach against the 2.8 C design value</t>
  </si>
  <si>
    <t>Test condenser water hardness and conductivity</t>
  </si>
  <si>
    <t>Stage the chiller out and schedule tube cleaning</t>
  </si>
  <si>
    <t>Restate the monthly PUE impact for the energy report</t>
  </si>
  <si>
    <t>RB-CT-WTR</t>
  </si>
  <si>
    <t>Make-up water shortfall</t>
  </si>
  <si>
    <t>Make-up water|Municipal supply</t>
  </si>
  <si>
    <t>Switch make-up to treated-water storage and confirm hours of reserve</t>
  </si>
  <si>
    <t>Activate the standby tanker supply contract</t>
  </si>
  <si>
    <t>Raise cycles of concentration within chemistry limits</t>
  </si>
  <si>
    <t>RB-CT-WUE</t>
  </si>
  <si>
    <t>Water use above reporting target</t>
  </si>
  <si>
    <t>compliance</t>
  </si>
  <si>
    <t>WUE</t>
  </si>
  <si>
    <t>Confirm the WUE reading against the make-up and blowdown meters</t>
  </si>
  <si>
    <t>File the state water-impact disclosure with the corrective plan</t>
  </si>
  <si>
    <t>RB-CHW-DP</t>
  </si>
  <si>
    <t>Loop differential pressure rising</t>
  </si>
  <si>
    <t>Differential pressure</t>
  </si>
  <si>
    <t>Inspect strainers and isolation valves on the loop</t>
  </si>
  <si>
    <t>Flush the affected loop section during low load</t>
  </si>
  <si>
    <t>RB-BUS-IMB</t>
  </si>
  <si>
    <t>Phase imbalance or loose joint</t>
  </si>
  <si>
    <t>Phase imbalance|Loose connection</t>
  </si>
  <si>
    <t>Thermographic scan of every tap-off box on the run</t>
  </si>
  <si>
    <t>Rebalance rack PDU phase assignments</t>
  </si>
  <si>
    <t>Torque-check busway joints in the next window</t>
  </si>
  <si>
    <t>RB-PDU-OVL</t>
  </si>
  <si>
    <t>Circuit near rated capacity</t>
  </si>
  <si>
    <t>rated capacity</t>
  </si>
  <si>
    <t>Freeze new deployments on the circuit</t>
  </si>
  <si>
    <t>Move the highest-draw racks to circuits with headroom</t>
  </si>
  <si>
    <t>Raise a PDU upgrade if growth continues</t>
  </si>
  <si>
    <t>RB-GEN-FUEL</t>
  </si>
  <si>
    <t>Fuel supply or filtration</t>
  </si>
  <si>
    <t>Fuel level|Fuel filter</t>
  </si>
  <si>
    <t>Order a top-up to 90% of tank capacity</t>
  </si>
  <si>
    <t>Replace fuel filters and run a 30-minute load test</t>
  </si>
  <si>
    <t>Confirm the fuel polishing schedule</t>
  </si>
  <si>
    <t>RB-UTIL-CAP</t>
  </si>
  <si>
    <t>Sanctioned load near limit</t>
  </si>
  <si>
    <t>Sanctioned load|GRID CONSTRAINED</t>
  </si>
  <si>
    <t>Cap new IT load intake at the site</t>
  </si>
  <si>
    <t>Redirect planned deployments to sites with grid headroom</t>
  </si>
  <si>
    <t>File a load enhancement application with the utility</t>
  </si>
  <si>
    <t>RB-TX-DGA</t>
  </si>
  <si>
    <t>Insulation degradation (dissolved gas)</t>
  </si>
  <si>
    <t>Dissolved gas|acetylene|top-oil</t>
  </si>
  <si>
    <t>Repeat the oil sample within 7 days to confirm the gas trend</t>
  </si>
  <si>
    <t>Keep the peer transformer able to carry the full load alone (2N)</t>
  </si>
  <si>
    <t>Plan an outage window for oil treatment and internal inspection</t>
  </si>
  <si>
    <t>Order long-lead spares now (34-week transformer lead time)</t>
  </si>
  <si>
    <t>RB-ROW-CAP</t>
  </si>
  <si>
    <t>Row at full occupancy</t>
  </si>
  <si>
    <t>rack occupancy</t>
  </si>
  <si>
    <t>Review stranded capacity elsewhere in the facility</t>
  </si>
  <si>
    <t>Run the density cascade before approving any upgrade</t>
  </si>
  <si>
    <t>Steps run in order. within_min is the target time from detection to completing the step.</t>
  </si>
  <si>
    <t>impact: outage (tenant SLAs at stake), capacity (growth blocked), compliance (reportable breach), efficiency (energy and cost).</t>
  </si>
  <si>
    <t>Owner teams are the teams already named in 20_active_alerts.</t>
  </si>
  <si>
    <t>seismic_zone</t>
  </si>
  <si>
    <t>flood_exposure</t>
  </si>
  <si>
    <t>cyclone_exposure</t>
  </si>
  <si>
    <t>heat_exposure</t>
  </si>
  <si>
    <t>grid_trips_12m</t>
  </si>
  <si>
    <t>avg_trip_min</t>
  </si>
  <si>
    <t>reference_event</t>
  </si>
  <si>
    <t>III</t>
  </si>
  <si>
    <t>July 2005 Mumbai floods; Cyclone Tauktae, May 2021</t>
  </si>
  <si>
    <t>Low-lying plot; same 2005 and 2021 events as MUM-1</t>
  </si>
  <si>
    <t>December 2015 Chennai floods; Cyclone Michaung, December 2023</t>
  </si>
  <si>
    <t>II</t>
  </si>
  <si>
    <t>October 2020 Hyderabad floods</t>
  </si>
  <si>
    <t>IV</t>
  </si>
  <si>
    <t>May 2024 north India heatwave and peak-demand curtailment; July 2023 Yamuna and Hindon floods in Noida</t>
  </si>
  <si>
    <t>September 2022 Bengaluru flooding; site not yet energised</t>
  </si>
  <si>
    <t>Seismic zone per BIS IS 1893 (Part 1):2016.</t>
  </si>
  <si>
    <t>Exposure 1 (low) to 5 (severe), from the IMD hazard atlas and NDMA flood-prone district lists.</t>
  </si>
  <si>
    <t>Grid trips are feed interruptions over the last 12 months at site metering. BLR-1 is not yet energised.</t>
  </si>
  <si>
    <t>vendor</t>
  </si>
  <si>
    <t>origin_country</t>
  </si>
  <si>
    <t>single_source</t>
  </si>
  <si>
    <t>spares_on_site</t>
  </si>
  <si>
    <t>disruption_note</t>
  </si>
  <si>
    <t>Vendor A</t>
  </si>
  <si>
    <t>China</t>
  </si>
  <si>
    <t>yes</t>
  </si>
  <si>
    <t>Cells shipped via the Red Sea route; 2024 diversions added 2-3 weeks</t>
  </si>
  <si>
    <t>Vendor C</t>
  </si>
  <si>
    <t>India</t>
  </si>
  <si>
    <t>no</t>
  </si>
  <si>
    <t>Domestic assembly; two units held at the regional depot</t>
  </si>
  <si>
    <t>Domestic assembly</t>
  </si>
  <si>
    <t>Vendor D</t>
  </si>
  <si>
    <t>Germany</t>
  </si>
  <si>
    <t>Single qualified supplier for the installed rating</t>
  </si>
  <si>
    <t>Vendor E</t>
  </si>
  <si>
    <t>Italy</t>
  </si>
  <si>
    <t>Fans and actuators stocked locally; full units imported</t>
  </si>
  <si>
    <t>Vendor F</t>
  </si>
  <si>
    <t>United States</t>
  </si>
  <si>
    <t>Compressor allocation constrained since 2023</t>
  </si>
  <si>
    <t>Vendor G</t>
  </si>
  <si>
    <t>Fill media sourced domestically</t>
  </si>
  <si>
    <t>Pipework and valves from local fabricators</t>
  </si>
  <si>
    <t>Vendor H</t>
  </si>
  <si>
    <t>United Kingdom</t>
  </si>
  <si>
    <t>Engine imported, alternator and enclosure assembled in India</t>
  </si>
  <si>
    <t>Vendor J</t>
  </si>
  <si>
    <t>Grain-oriented steel shortage pushed lead times past 30 weeks</t>
  </si>
  <si>
    <t>Vendor K</t>
  </si>
  <si>
    <t>France</t>
  </si>
  <si>
    <t>Breaker frames allocated quarterly</t>
  </si>
  <si>
    <t>Lead times match 06_upgrade_options for every component type that appears there.</t>
  </si>
  <si>
    <t>Vendor A also supplied the Q4-2023 battery batch named in 11_incidents.</t>
  </si>
  <si>
    <t>sensor_id</t>
  </si>
  <si>
    <t>location</t>
  </si>
  <si>
    <t>reading_c</t>
  </si>
  <si>
    <t>setpoint_c</t>
  </si>
  <si>
    <t>limit_c</t>
  </si>
  <si>
    <t>read_at</t>
  </si>
  <si>
    <t>TS-A1</t>
  </si>
  <si>
    <t>cold aisle inlet, CRAH end</t>
  </si>
  <si>
    <t>2026-09-29 03:00</t>
  </si>
  <si>
    <t>TS-A2</t>
  </si>
  <si>
    <t>cold aisle inlet, far end</t>
  </si>
  <si>
    <t>TS-B1</t>
  </si>
  <si>
    <t>TS-B2</t>
  </si>
  <si>
    <t>TS-C1</t>
  </si>
  <si>
    <t>TS-C2</t>
  </si>
  <si>
    <t>TS-D1</t>
  </si>
  <si>
    <t>TS-D2</t>
  </si>
  <si>
    <t>TS-E1</t>
  </si>
  <si>
    <t>TS-E2</t>
  </si>
  <si>
    <t>TS-F1</t>
  </si>
  <si>
    <t>TS-F2</t>
  </si>
  <si>
    <t>TS-G1</t>
  </si>
  <si>
    <t>TS-G2</t>
  </si>
  <si>
    <t>TS-H1</t>
  </si>
  <si>
    <t>TS-H2</t>
  </si>
  <si>
    <t>TS-I1</t>
  </si>
  <si>
    <t>TS-I2</t>
  </si>
  <si>
    <t>TS-J1</t>
  </si>
  <si>
    <t>TS-J2</t>
  </si>
  <si>
    <t>TS-K1</t>
  </si>
  <si>
    <t>TS-K2</t>
  </si>
  <si>
    <t>TS-L1</t>
  </si>
  <si>
    <t>TS-L2</t>
  </si>
  <si>
    <t>TS-M1</t>
  </si>
  <si>
    <t>TS-M2</t>
  </si>
  <si>
    <t>TS-N1</t>
  </si>
  <si>
    <t>TS-N2</t>
  </si>
  <si>
    <t>TS-O1</t>
  </si>
  <si>
    <t>TS-O2</t>
  </si>
  <si>
    <t>TS-P1</t>
  </si>
  <si>
    <t>TS-P2</t>
  </si>
  <si>
    <t>TS-Q1</t>
  </si>
  <si>
    <t>TS-Q2</t>
  </si>
  <si>
    <t>TS-R1</t>
  </si>
  <si>
    <t>TS-R2</t>
  </si>
  <si>
    <t>TS-S1</t>
  </si>
  <si>
    <t>TS-S2</t>
  </si>
  <si>
    <t>TS-T1</t>
  </si>
  <si>
    <t>TS-T2</t>
  </si>
  <si>
    <t>TS-U1</t>
  </si>
  <si>
    <t>TS-U2</t>
  </si>
  <si>
    <t>TS-V1</t>
  </si>
  <si>
    <t>TS-V2</t>
  </si>
  <si>
    <t>TS-W1</t>
  </si>
  <si>
    <t>TS-W2</t>
  </si>
  <si>
    <t>TS-X1</t>
  </si>
  <si>
    <t>TS-X2</t>
  </si>
  <si>
    <t>SAT-CRAH-A-01</t>
  </si>
  <si>
    <t>CRAH supply air</t>
  </si>
  <si>
    <t>SAT-CRAH-A-02</t>
  </si>
  <si>
    <t>SAT-CRAH-B-01</t>
  </si>
  <si>
    <t>SAT-CRAH-B-02</t>
  </si>
  <si>
    <t>SAT-CRAH-C-01</t>
  </si>
  <si>
    <t>SAT-CRAH-C-02</t>
  </si>
  <si>
    <t>SAT-CRAH-D-01</t>
  </si>
  <si>
    <t>SAT-CRAH-D-02</t>
  </si>
  <si>
    <t>SAT-CRAH-E-01</t>
  </si>
  <si>
    <t>SAT-CRAH-E-02</t>
  </si>
  <si>
    <t>SAT-CRAH-F-01</t>
  </si>
  <si>
    <t>SAT-CRAH-F-02</t>
  </si>
  <si>
    <t>SAT-CRAH-G-01</t>
  </si>
  <si>
    <t>SAT-CRAH-G-02</t>
  </si>
  <si>
    <t>SAT-CRAH-H-01</t>
  </si>
  <si>
    <t>SAT-CRAH-H-02</t>
  </si>
  <si>
    <t>SAT-CRAH-I-01</t>
  </si>
  <si>
    <t>SAT-CRAH-I-02</t>
  </si>
  <si>
    <t>SAT-CRAH-J-01</t>
  </si>
  <si>
    <t>SAT-CRAH-J-02</t>
  </si>
  <si>
    <t>SAT-CRAH-K-01</t>
  </si>
  <si>
    <t>SAT-CRAH-K-02</t>
  </si>
  <si>
    <t>SAT-CRAH-L-01</t>
  </si>
  <si>
    <t>SAT-CRAH-L-02</t>
  </si>
  <si>
    <t>SAT-CRAH-M-01</t>
  </si>
  <si>
    <t>SAT-CRAH-M-02</t>
  </si>
  <si>
    <t>SAT-CRAH-N-01</t>
  </si>
  <si>
    <t>SAT-CRAH-N-02</t>
  </si>
  <si>
    <t>SAT-CRAH-O-01</t>
  </si>
  <si>
    <t>SAT-CRAH-O-02</t>
  </si>
  <si>
    <t>SAT-CRAH-P-01</t>
  </si>
  <si>
    <t>SAT-CRAH-P-02</t>
  </si>
  <si>
    <t>SAT-CRAH-Q-01</t>
  </si>
  <si>
    <t>SAT-CRAH-Q-02</t>
  </si>
  <si>
    <t>SAT-CRAH-R-01</t>
  </si>
  <si>
    <t>SAT-CRAH-R-02</t>
  </si>
  <si>
    <t>SAT-CRAH-S-01</t>
  </si>
  <si>
    <t>SAT-CRAH-S-02</t>
  </si>
  <si>
    <t>SAT-CRAH-T-01</t>
  </si>
  <si>
    <t>SAT-CRAH-T-02</t>
  </si>
  <si>
    <t>SAT-CRAH-U-01</t>
  </si>
  <si>
    <t>SAT-CRAH-U-02</t>
  </si>
  <si>
    <t>SAT-CRAH-V-01</t>
  </si>
  <si>
    <t>SAT-CRAH-V-02</t>
  </si>
  <si>
    <t>SAT-CRAH-W-01</t>
  </si>
  <si>
    <t>SAT-CRAH-W-02</t>
  </si>
  <si>
    <t>SAT-CRAH-X-01</t>
  </si>
  <si>
    <t>SAT-CRAH-X-02</t>
  </si>
  <si>
    <t>Inlet limit 27 C is the ASHRAE A1 recommended upper bound. 27 C minus the far-end reading is the row thermal_margin_c.</t>
  </si>
  <si>
    <t>CRAH supply air runs to an 18 C setpoint and alarms at 20 C. CRAH-K-01 at 20.1 C is alert ALM-4821.</t>
  </si>
  <si>
    <t>date</t>
  </si>
  <si>
    <t>hour_of_day</t>
  </si>
  <si>
    <t>sky</t>
  </si>
  <si>
    <t>load_kw</t>
  </si>
  <si>
    <t>solar_generation_kw</t>
  </si>
  <si>
    <t>ppa_capacity_kw</t>
  </si>
  <si>
    <t>grid_draw_kw</t>
  </si>
  <si>
    <t>matched_kw</t>
  </si>
  <si>
    <t>unmatched_kw</t>
  </si>
  <si>
    <t>matching_pct</t>
  </si>
  <si>
    <t>2026-01-08</t>
  </si>
  <si>
    <t>2026-01-08 00:00</t>
  </si>
  <si>
    <t>clear</t>
  </si>
  <si>
    <t>2026-01-08 01:00</t>
  </si>
  <si>
    <t>2026-01-08 02:00</t>
  </si>
  <si>
    <t>2026-01-08 03:00</t>
  </si>
  <si>
    <t>2026-01-08 04:00</t>
  </si>
  <si>
    <t>2026-01-08 05:00</t>
  </si>
  <si>
    <t>2026-01-08 06:00</t>
  </si>
  <si>
    <t>2026-01-08 07:00</t>
  </si>
  <si>
    <t>2026-01-08 08:00</t>
  </si>
  <si>
    <t>2026-01-08 09:00</t>
  </si>
  <si>
    <t>2026-01-08 10:00</t>
  </si>
  <si>
    <t>2026-01-08 11:00</t>
  </si>
  <si>
    <t>2026-01-08 12:00</t>
  </si>
  <si>
    <t>2026-01-08 13:00</t>
  </si>
  <si>
    <t>2026-01-08 14:00</t>
  </si>
  <si>
    <t>2026-01-08 15:00</t>
  </si>
  <si>
    <t>2026-01-08 16:00</t>
  </si>
  <si>
    <t>2026-01-08 17:00</t>
  </si>
  <si>
    <t>2026-01-08 18:00</t>
  </si>
  <si>
    <t>2026-01-08 19:00</t>
  </si>
  <si>
    <t>2026-01-08 20:00</t>
  </si>
  <si>
    <t>2026-01-08 21:00</t>
  </si>
  <si>
    <t>2026-01-08 22:00</t>
  </si>
  <si>
    <t>2026-01-08 23:00</t>
  </si>
  <si>
    <t>2026-01-17 00:00</t>
  </si>
  <si>
    <t>2026-01-17 01:00</t>
  </si>
  <si>
    <t>2026-01-17 02:00</t>
  </si>
  <si>
    <t>2026-01-17 03:00</t>
  </si>
  <si>
    <t>2026-01-17 04:00</t>
  </si>
  <si>
    <t>2026-01-17 05:00</t>
  </si>
  <si>
    <t>2026-01-17 06:00</t>
  </si>
  <si>
    <t>2026-01-17 07:00</t>
  </si>
  <si>
    <t>2026-01-17 08:00</t>
  </si>
  <si>
    <t>2026-01-17 09:00</t>
  </si>
  <si>
    <t>2026-01-17 10:00</t>
  </si>
  <si>
    <t>2026-01-17 11:00</t>
  </si>
  <si>
    <t>2026-01-17 12:00</t>
  </si>
  <si>
    <t>2026-01-17 13:00</t>
  </si>
  <si>
    <t>2026-01-17 14:00</t>
  </si>
  <si>
    <t>2026-01-17 15:00</t>
  </si>
  <si>
    <t>2026-01-17 16:00</t>
  </si>
  <si>
    <t>2026-01-17 17:00</t>
  </si>
  <si>
    <t>2026-01-17 18:00</t>
  </si>
  <si>
    <t>2026-01-17 19:00</t>
  </si>
  <si>
    <t>2026-01-17 20:00</t>
  </si>
  <si>
    <t>2026-01-17 21:00</t>
  </si>
  <si>
    <t>2026-01-17 22:00</t>
  </si>
  <si>
    <t>2026-01-17 23:00</t>
  </si>
  <si>
    <t>2026-01-26</t>
  </si>
  <si>
    <t>2026-01-26 00:00</t>
  </si>
  <si>
    <t>partly cloudy</t>
  </si>
  <si>
    <t>2026-01-26 01:00</t>
  </si>
  <si>
    <t>2026-01-26 02:00</t>
  </si>
  <si>
    <t>2026-01-26 03:00</t>
  </si>
  <si>
    <t>2026-01-26 04:00</t>
  </si>
  <si>
    <t>2026-01-26 05:00</t>
  </si>
  <si>
    <t>2026-01-26 06:00</t>
  </si>
  <si>
    <t>2026-01-26 07:00</t>
  </si>
  <si>
    <t>2026-01-26 08:00</t>
  </si>
  <si>
    <t>2026-01-26 09:00</t>
  </si>
  <si>
    <t>2026-01-26 10:00</t>
  </si>
  <si>
    <t>2026-01-26 11:00</t>
  </si>
  <si>
    <t>2026-01-26 12:00</t>
  </si>
  <si>
    <t>2026-01-26 13:00</t>
  </si>
  <si>
    <t>2026-01-26 14:00</t>
  </si>
  <si>
    <t>2026-01-26 15:00</t>
  </si>
  <si>
    <t>2026-01-26 16:00</t>
  </si>
  <si>
    <t>2026-01-26 17:00</t>
  </si>
  <si>
    <t>2026-01-26 18:00</t>
  </si>
  <si>
    <t>2026-01-26 19:00</t>
  </si>
  <si>
    <t>2026-01-26 20:00</t>
  </si>
  <si>
    <t>2026-01-26 21:00</t>
  </si>
  <si>
    <t>2026-01-26 22:00</t>
  </si>
  <si>
    <t>2026-01-26 23:00</t>
  </si>
  <si>
    <t>2026-02-05</t>
  </si>
  <si>
    <t>2026-02-05 00:00</t>
  </si>
  <si>
    <t>2026-02-05 01:00</t>
  </si>
  <si>
    <t>2026-02-05 02:00</t>
  </si>
  <si>
    <t>2026-02-05 03:00</t>
  </si>
  <si>
    <t>2026-02-05 04:00</t>
  </si>
  <si>
    <t>2026-02-05 05:00</t>
  </si>
  <si>
    <t>2026-02-05 06:00</t>
  </si>
  <si>
    <t>2026-02-05 07:00</t>
  </si>
  <si>
    <t>2026-02-05 08:00</t>
  </si>
  <si>
    <t>2026-02-05 09:00</t>
  </si>
  <si>
    <t>2026-02-05 10:00</t>
  </si>
  <si>
    <t>2026-02-05 11:00</t>
  </si>
  <si>
    <t>2026-02-05 12:00</t>
  </si>
  <si>
    <t>2026-02-05 13:00</t>
  </si>
  <si>
    <t>2026-02-05 14:00</t>
  </si>
  <si>
    <t>2026-02-05 15:00</t>
  </si>
  <si>
    <t>2026-02-05 16:00</t>
  </si>
  <si>
    <t>2026-02-05 17:00</t>
  </si>
  <si>
    <t>2026-02-05 18:00</t>
  </si>
  <si>
    <t>2026-02-05 19:00</t>
  </si>
  <si>
    <t>2026-02-05 20:00</t>
  </si>
  <si>
    <t>2026-02-05 21:00</t>
  </si>
  <si>
    <t>2026-02-05 22:00</t>
  </si>
  <si>
    <t>2026-02-05 23:00</t>
  </si>
  <si>
    <t>2026-02-14</t>
  </si>
  <si>
    <t>2026-02-14 00:00</t>
  </si>
  <si>
    <t>2026-02-14 01:00</t>
  </si>
  <si>
    <t>2026-02-14 02:00</t>
  </si>
  <si>
    <t>2026-02-14 03:00</t>
  </si>
  <si>
    <t>2026-02-14 04:00</t>
  </si>
  <si>
    <t>2026-02-14 05:00</t>
  </si>
  <si>
    <t>2026-02-14 06:00</t>
  </si>
  <si>
    <t>2026-02-14 07:00</t>
  </si>
  <si>
    <t>2026-02-14 08:00</t>
  </si>
  <si>
    <t>2026-02-14 09:00</t>
  </si>
  <si>
    <t>2026-02-14 10:00</t>
  </si>
  <si>
    <t>2026-02-14 11:00</t>
  </si>
  <si>
    <t>2026-02-14 12:00</t>
  </si>
  <si>
    <t>2026-02-14 13:00</t>
  </si>
  <si>
    <t>2026-02-14 14:00</t>
  </si>
  <si>
    <t>2026-02-14 15:00</t>
  </si>
  <si>
    <t>2026-02-14 16:00</t>
  </si>
  <si>
    <t>2026-02-14 17:00</t>
  </si>
  <si>
    <t>2026-02-14 18:00</t>
  </si>
  <si>
    <t>2026-02-14 19:00</t>
  </si>
  <si>
    <t>2026-02-14 20:00</t>
  </si>
  <si>
    <t>2026-02-14 21:00</t>
  </si>
  <si>
    <t>2026-02-14 22:00</t>
  </si>
  <si>
    <t>2026-02-14 23:00</t>
  </si>
  <si>
    <t>2026-02-23</t>
  </si>
  <si>
    <t>2026-02-23 00:00</t>
  </si>
  <si>
    <t>2026-02-23 01:00</t>
  </si>
  <si>
    <t>2026-02-23 02:00</t>
  </si>
  <si>
    <t>2026-02-23 03:00</t>
  </si>
  <si>
    <t>2026-02-23 04:00</t>
  </si>
  <si>
    <t>2026-02-23 05:00</t>
  </si>
  <si>
    <t>2026-02-23 06:00</t>
  </si>
  <si>
    <t>2026-02-23 07:00</t>
  </si>
  <si>
    <t>2026-02-23 08:00</t>
  </si>
  <si>
    <t>2026-02-23 09:00</t>
  </si>
  <si>
    <t>2026-02-23 10:00</t>
  </si>
  <si>
    <t>2026-02-23 11:00</t>
  </si>
  <si>
    <t>2026-02-23 12:00</t>
  </si>
  <si>
    <t>2026-02-23 13:00</t>
  </si>
  <si>
    <t>2026-02-23 14:00</t>
  </si>
  <si>
    <t>2026-02-23 15:00</t>
  </si>
  <si>
    <t>2026-02-23 16:00</t>
  </si>
  <si>
    <t>2026-02-23 17:00</t>
  </si>
  <si>
    <t>2026-02-23 18:00</t>
  </si>
  <si>
    <t>2026-02-23 19:00</t>
  </si>
  <si>
    <t>2026-02-23 20:00</t>
  </si>
  <si>
    <t>2026-02-23 21:00</t>
  </si>
  <si>
    <t>2026-02-23 22:00</t>
  </si>
  <si>
    <t>2026-02-23 23:00</t>
  </si>
  <si>
    <t>2026-03-04</t>
  </si>
  <si>
    <t>2026-03-04 00:00</t>
  </si>
  <si>
    <t>2026-03-04 01:00</t>
  </si>
  <si>
    <t>2026-03-04 02:00</t>
  </si>
  <si>
    <t>2026-03-04 03:00</t>
  </si>
  <si>
    <t>2026-03-04 04:00</t>
  </si>
  <si>
    <t>2026-03-04 05:00</t>
  </si>
  <si>
    <t>2026-03-04 06:00</t>
  </si>
  <si>
    <t>2026-03-04 07:00</t>
  </si>
  <si>
    <t>2026-03-04 08:00</t>
  </si>
  <si>
    <t>2026-03-04 09:00</t>
  </si>
  <si>
    <t>2026-03-04 10:00</t>
  </si>
  <si>
    <t>2026-03-04 11:00</t>
  </si>
  <si>
    <t>2026-03-04 12:00</t>
  </si>
  <si>
    <t>2026-03-04 13:00</t>
  </si>
  <si>
    <t>2026-03-04 14:00</t>
  </si>
  <si>
    <t>2026-03-04 15:00</t>
  </si>
  <si>
    <t>2026-03-04 16:00</t>
  </si>
  <si>
    <t>2026-03-04 17:00</t>
  </si>
  <si>
    <t>2026-03-04 18:00</t>
  </si>
  <si>
    <t>2026-03-04 19:00</t>
  </si>
  <si>
    <t>2026-03-04 20:00</t>
  </si>
  <si>
    <t>2026-03-04 21:00</t>
  </si>
  <si>
    <t>2026-03-04 22:00</t>
  </si>
  <si>
    <t>2026-03-04 23:00</t>
  </si>
  <si>
    <t>2026-03-12</t>
  </si>
  <si>
    <t>2026-03-12 00:00</t>
  </si>
  <si>
    <t>2026-03-12 01:00</t>
  </si>
  <si>
    <t>2026-03-12 02:00</t>
  </si>
  <si>
    <t>2026-03-12 03:00</t>
  </si>
  <si>
    <t>2026-03-12 04:00</t>
  </si>
  <si>
    <t>2026-03-12 05:00</t>
  </si>
  <si>
    <t>2026-03-12 06:00</t>
  </si>
  <si>
    <t>2026-03-12 07:00</t>
  </si>
  <si>
    <t>2026-03-12 08:00</t>
  </si>
  <si>
    <t>2026-03-12 09:00</t>
  </si>
  <si>
    <t>2026-03-12 10:00</t>
  </si>
  <si>
    <t>2026-03-12 11:00</t>
  </si>
  <si>
    <t>2026-03-12 12:00</t>
  </si>
  <si>
    <t>2026-03-12 13:00</t>
  </si>
  <si>
    <t>2026-03-12 14:00</t>
  </si>
  <si>
    <t>2026-03-12 15:00</t>
  </si>
  <si>
    <t>2026-03-12 16:00</t>
  </si>
  <si>
    <t>2026-03-12 17:00</t>
  </si>
  <si>
    <t>2026-03-12 18:00</t>
  </si>
  <si>
    <t>2026-03-12 19:00</t>
  </si>
  <si>
    <t>2026-03-12 20:00</t>
  </si>
  <si>
    <t>2026-03-12 21:00</t>
  </si>
  <si>
    <t>2026-03-12 22:00</t>
  </si>
  <si>
    <t>2026-03-12 23:00</t>
  </si>
  <si>
    <t>2026-03-20 00:00</t>
  </si>
  <si>
    <t>2026-03-20 01:00</t>
  </si>
  <si>
    <t>2026-03-20 02:00</t>
  </si>
  <si>
    <t>2026-03-20 03:00</t>
  </si>
  <si>
    <t>2026-03-20 04:00</t>
  </si>
  <si>
    <t>2026-03-20 05:00</t>
  </si>
  <si>
    <t>2026-03-20 06:00</t>
  </si>
  <si>
    <t>2026-03-20 07:00</t>
  </si>
  <si>
    <t>2026-03-20 08:00</t>
  </si>
  <si>
    <t>2026-03-20 09:00</t>
  </si>
  <si>
    <t>2026-03-20 10:00</t>
  </si>
  <si>
    <t>2026-03-20 11:00</t>
  </si>
  <si>
    <t>2026-03-20 12:00</t>
  </si>
  <si>
    <t>2026-03-20 13:00</t>
  </si>
  <si>
    <t>2026-03-20 14:00</t>
  </si>
  <si>
    <t>2026-03-20 15:00</t>
  </si>
  <si>
    <t>2026-03-20 16:00</t>
  </si>
  <si>
    <t>2026-03-20 17:00</t>
  </si>
  <si>
    <t>2026-03-20 18:00</t>
  </si>
  <si>
    <t>2026-03-20 19:00</t>
  </si>
  <si>
    <t>2026-03-20 20:00</t>
  </si>
  <si>
    <t>2026-03-20 21:00</t>
  </si>
  <si>
    <t>2026-03-20 22:00</t>
  </si>
  <si>
    <t>2026-03-20 23:00</t>
  </si>
  <si>
    <t>2026-03-28 00:00</t>
  </si>
  <si>
    <t>2026-03-28 01:00</t>
  </si>
  <si>
    <t>2026-03-28 02:00</t>
  </si>
  <si>
    <t>2026-03-28 03:00</t>
  </si>
  <si>
    <t>2026-03-28 04:00</t>
  </si>
  <si>
    <t>2026-03-28 05:00</t>
  </si>
  <si>
    <t>2026-03-28 06:00</t>
  </si>
  <si>
    <t>2026-03-28 07:00</t>
  </si>
  <si>
    <t>2026-03-28 08:00</t>
  </si>
  <si>
    <t>2026-03-28 09:00</t>
  </si>
  <si>
    <t>2026-03-28 10:00</t>
  </si>
  <si>
    <t>2026-03-28 11:00</t>
  </si>
  <si>
    <t>2026-03-28 12:00</t>
  </si>
  <si>
    <t>2026-03-28 13:00</t>
  </si>
  <si>
    <t>2026-03-28 14:00</t>
  </si>
  <si>
    <t>2026-03-28 15:00</t>
  </si>
  <si>
    <t>2026-03-28 16:00</t>
  </si>
  <si>
    <t>2026-03-28 17:00</t>
  </si>
  <si>
    <t>2026-03-28 18:00</t>
  </si>
  <si>
    <t>2026-03-28 19:00</t>
  </si>
  <si>
    <t>2026-03-28 20:00</t>
  </si>
  <si>
    <t>2026-03-28 21:00</t>
  </si>
  <si>
    <t>2026-03-28 22:00</t>
  </si>
  <si>
    <t>2026-03-28 23:00</t>
  </si>
  <si>
    <t>2026-04-06</t>
  </si>
  <si>
    <t>2026-04-06 00:00</t>
  </si>
  <si>
    <t>2026-04-06 01:00</t>
  </si>
  <si>
    <t>2026-04-06 02:00</t>
  </si>
  <si>
    <t>2026-04-06 03:00</t>
  </si>
  <si>
    <t>2026-04-06 04:00</t>
  </si>
  <si>
    <t>2026-04-06 05:00</t>
  </si>
  <si>
    <t>2026-04-06 06:00</t>
  </si>
  <si>
    <t>2026-04-06 07:00</t>
  </si>
  <si>
    <t>2026-04-06 08:00</t>
  </si>
  <si>
    <t>2026-04-06 09:00</t>
  </si>
  <si>
    <t>2026-04-06 10:00</t>
  </si>
  <si>
    <t>2026-04-06 11:00</t>
  </si>
  <si>
    <t>2026-04-06 12:00</t>
  </si>
  <si>
    <t>2026-04-06 13:00</t>
  </si>
  <si>
    <t>2026-04-06 14:00</t>
  </si>
  <si>
    <t>2026-04-06 15:00</t>
  </si>
  <si>
    <t>2026-04-06 16:00</t>
  </si>
  <si>
    <t>2026-04-06 17:00</t>
  </si>
  <si>
    <t>2026-04-06 18:00</t>
  </si>
  <si>
    <t>2026-04-06 19:00</t>
  </si>
  <si>
    <t>2026-04-06 20:00</t>
  </si>
  <si>
    <t>2026-04-06 21:00</t>
  </si>
  <si>
    <t>2026-04-06 22:00</t>
  </si>
  <si>
    <t>2026-04-06 23:00</t>
  </si>
  <si>
    <t>2026-04-15</t>
  </si>
  <si>
    <t>2026-04-15 00:00</t>
  </si>
  <si>
    <t>2026-04-15 01:00</t>
  </si>
  <si>
    <t>2026-04-15 02:00</t>
  </si>
  <si>
    <t>2026-04-15 03:00</t>
  </si>
  <si>
    <t>2026-04-15 04:00</t>
  </si>
  <si>
    <t>2026-04-15 05:00</t>
  </si>
  <si>
    <t>2026-04-15 06:00</t>
  </si>
  <si>
    <t>2026-04-15 07:00</t>
  </si>
  <si>
    <t>2026-04-15 08:00</t>
  </si>
  <si>
    <t>2026-04-15 09:00</t>
  </si>
  <si>
    <t>2026-04-15 10:00</t>
  </si>
  <si>
    <t>2026-04-15 11:00</t>
  </si>
  <si>
    <t>2026-04-15 12:00</t>
  </si>
  <si>
    <t>2026-04-15 13:00</t>
  </si>
  <si>
    <t>2026-04-15 14:00</t>
  </si>
  <si>
    <t>2026-04-15 15:00</t>
  </si>
  <si>
    <t>2026-04-15 16:00</t>
  </si>
  <si>
    <t>2026-04-15 17:00</t>
  </si>
  <si>
    <t>2026-04-15 18:00</t>
  </si>
  <si>
    <t>2026-04-15 19:00</t>
  </si>
  <si>
    <t>2026-04-15 20:00</t>
  </si>
  <si>
    <t>2026-04-15 21:00</t>
  </si>
  <si>
    <t>2026-04-15 22:00</t>
  </si>
  <si>
    <t>2026-04-15 23:00</t>
  </si>
  <si>
    <t>2026-04-23</t>
  </si>
  <si>
    <t>2026-04-23 00:00</t>
  </si>
  <si>
    <t>hazy</t>
  </si>
  <si>
    <t>2026-04-23 01:00</t>
  </si>
  <si>
    <t>2026-04-23 02:00</t>
  </si>
  <si>
    <t>2026-04-23 03:00</t>
  </si>
  <si>
    <t>2026-04-23 04:00</t>
  </si>
  <si>
    <t>2026-04-23 05:00</t>
  </si>
  <si>
    <t>2026-04-23 06:00</t>
  </si>
  <si>
    <t>2026-04-23 07:00</t>
  </si>
  <si>
    <t>2026-04-23 08:00</t>
  </si>
  <si>
    <t>2026-04-23 09:00</t>
  </si>
  <si>
    <t>2026-04-23 10:00</t>
  </si>
  <si>
    <t>2026-04-23 11:00</t>
  </si>
  <si>
    <t>2026-04-23 12:00</t>
  </si>
  <si>
    <t>2026-04-23 13:00</t>
  </si>
  <si>
    <t>2026-04-23 14:00</t>
  </si>
  <si>
    <t>2026-04-23 15:00</t>
  </si>
  <si>
    <t>2026-04-23 16:00</t>
  </si>
  <si>
    <t>2026-04-23 17:00</t>
  </si>
  <si>
    <t>2026-04-23 18:00</t>
  </si>
  <si>
    <t>2026-04-23 19:00</t>
  </si>
  <si>
    <t>2026-04-23 20:00</t>
  </si>
  <si>
    <t>2026-04-23 21:00</t>
  </si>
  <si>
    <t>2026-04-23 22:00</t>
  </si>
  <si>
    <t>2026-04-23 23:00</t>
  </si>
  <si>
    <t>2026-05-02</t>
  </si>
  <si>
    <t>2026-05-02 00:00</t>
  </si>
  <si>
    <t>2026-05-02 01:00</t>
  </si>
  <si>
    <t>2026-05-02 02:00</t>
  </si>
  <si>
    <t>2026-05-02 03:00</t>
  </si>
  <si>
    <t>2026-05-02 04:00</t>
  </si>
  <si>
    <t>2026-05-02 05:00</t>
  </si>
  <si>
    <t>2026-05-02 06:00</t>
  </si>
  <si>
    <t>2026-05-02 07:00</t>
  </si>
  <si>
    <t>2026-05-02 08:00</t>
  </si>
  <si>
    <t>2026-05-02 09:00</t>
  </si>
  <si>
    <t>2026-05-02 10:00</t>
  </si>
  <si>
    <t>2026-05-02 11:00</t>
  </si>
  <si>
    <t>2026-05-02 12:00</t>
  </si>
  <si>
    <t>2026-05-02 13:00</t>
  </si>
  <si>
    <t>2026-05-02 14:00</t>
  </si>
  <si>
    <t>2026-05-02 15:00</t>
  </si>
  <si>
    <t>2026-05-02 16:00</t>
  </si>
  <si>
    <t>2026-05-02 17:00</t>
  </si>
  <si>
    <t>2026-05-02 18:00</t>
  </si>
  <si>
    <t>2026-05-02 19:00</t>
  </si>
  <si>
    <t>2026-05-02 20:00</t>
  </si>
  <si>
    <t>2026-05-02 21:00</t>
  </si>
  <si>
    <t>2026-05-02 22:00</t>
  </si>
  <si>
    <t>2026-05-02 23:00</t>
  </si>
  <si>
    <t>2026-05-11</t>
  </si>
  <si>
    <t>2026-05-11 00:00</t>
  </si>
  <si>
    <t>2026-05-11 01:00</t>
  </si>
  <si>
    <t>2026-05-11 02:00</t>
  </si>
  <si>
    <t>2026-05-11 03:00</t>
  </si>
  <si>
    <t>2026-05-11 04:00</t>
  </si>
  <si>
    <t>2026-05-11 05:00</t>
  </si>
  <si>
    <t>2026-05-11 06:00</t>
  </si>
  <si>
    <t>2026-05-11 07:00</t>
  </si>
  <si>
    <t>2026-05-11 08:00</t>
  </si>
  <si>
    <t>2026-05-11 09:00</t>
  </si>
  <si>
    <t>2026-05-11 10:00</t>
  </si>
  <si>
    <t>2026-05-11 11:00</t>
  </si>
  <si>
    <t>2026-05-11 12:00</t>
  </si>
  <si>
    <t>2026-05-11 13:00</t>
  </si>
  <si>
    <t>2026-05-11 14:00</t>
  </si>
  <si>
    <t>2026-05-11 15:00</t>
  </si>
  <si>
    <t>2026-05-11 16:00</t>
  </si>
  <si>
    <t>2026-05-11 17:00</t>
  </si>
  <si>
    <t>2026-05-11 18:00</t>
  </si>
  <si>
    <t>2026-05-11 19:00</t>
  </si>
  <si>
    <t>2026-05-11 20:00</t>
  </si>
  <si>
    <t>2026-05-11 21:00</t>
  </si>
  <si>
    <t>2026-05-11 22:00</t>
  </si>
  <si>
    <t>2026-05-11 23:00</t>
  </si>
  <si>
    <t>2026-05-20 00:00</t>
  </si>
  <si>
    <t>2026-05-20 01:00</t>
  </si>
  <si>
    <t>2026-05-20 02:00</t>
  </si>
  <si>
    <t>2026-05-20 03:00</t>
  </si>
  <si>
    <t>2026-05-20 04:00</t>
  </si>
  <si>
    <t>2026-05-20 05:00</t>
  </si>
  <si>
    <t>2026-05-20 06:00</t>
  </si>
  <si>
    <t>2026-05-20 07:00</t>
  </si>
  <si>
    <t>2026-05-20 08:00</t>
  </si>
  <si>
    <t>2026-05-20 09:00</t>
  </si>
  <si>
    <t>2026-05-20 10:00</t>
  </si>
  <si>
    <t>2026-05-20 11:00</t>
  </si>
  <si>
    <t>2026-05-20 12:00</t>
  </si>
  <si>
    <t>2026-05-20 13:00</t>
  </si>
  <si>
    <t>2026-05-20 14:00</t>
  </si>
  <si>
    <t>2026-05-20 15:00</t>
  </si>
  <si>
    <t>2026-05-20 16:00</t>
  </si>
  <si>
    <t>2026-05-20 17:00</t>
  </si>
  <si>
    <t>2026-05-20 18:00</t>
  </si>
  <si>
    <t>2026-05-20 19:00</t>
  </si>
  <si>
    <t>2026-05-20 20:00</t>
  </si>
  <si>
    <t>2026-05-20 21:00</t>
  </si>
  <si>
    <t>2026-05-20 22:00</t>
  </si>
  <si>
    <t>2026-05-20 23:00</t>
  </si>
  <si>
    <t>2026-05-29 00:00</t>
  </si>
  <si>
    <t>2026-05-29 01:00</t>
  </si>
  <si>
    <t>2026-05-29 02:00</t>
  </si>
  <si>
    <t>2026-05-29 03:00</t>
  </si>
  <si>
    <t>2026-05-29 04:00</t>
  </si>
  <si>
    <t>2026-05-29 05:00</t>
  </si>
  <si>
    <t>2026-05-29 06:00</t>
  </si>
  <si>
    <t>2026-05-29 07:00</t>
  </si>
  <si>
    <t>2026-05-29 08:00</t>
  </si>
  <si>
    <t>2026-05-29 09:00</t>
  </si>
  <si>
    <t>2026-05-29 10:00</t>
  </si>
  <si>
    <t>2026-05-29 11:00</t>
  </si>
  <si>
    <t>2026-05-29 12:00</t>
  </si>
  <si>
    <t>2026-05-29 13:00</t>
  </si>
  <si>
    <t>2026-05-29 14:00</t>
  </si>
  <si>
    <t>2026-05-29 15:00</t>
  </si>
  <si>
    <t>2026-05-29 16:00</t>
  </si>
  <si>
    <t>2026-05-29 17:00</t>
  </si>
  <si>
    <t>2026-05-29 18:00</t>
  </si>
  <si>
    <t>2026-05-29 19:00</t>
  </si>
  <si>
    <t>2026-05-29 20:00</t>
  </si>
  <si>
    <t>2026-05-29 21:00</t>
  </si>
  <si>
    <t>2026-05-29 22:00</t>
  </si>
  <si>
    <t>2026-05-29 23:00</t>
  </si>
  <si>
    <t>2026-06-09</t>
  </si>
  <si>
    <t>2026-06-09 00:00</t>
  </si>
  <si>
    <t>2026-06-09 01:00</t>
  </si>
  <si>
    <t>2026-06-09 02:00</t>
  </si>
  <si>
    <t>2026-06-09 03:00</t>
  </si>
  <si>
    <t>2026-06-09 04:00</t>
  </si>
  <si>
    <t>2026-06-09 05:00</t>
  </si>
  <si>
    <t>2026-06-09 06:00</t>
  </si>
  <si>
    <t>2026-06-09 07:00</t>
  </si>
  <si>
    <t>2026-06-09 08:00</t>
  </si>
  <si>
    <t>2026-06-09 09:00</t>
  </si>
  <si>
    <t>2026-06-09 10:00</t>
  </si>
  <si>
    <t>2026-06-09 11:00</t>
  </si>
  <si>
    <t>2026-06-09 12:00</t>
  </si>
  <si>
    <t>2026-06-09 13:00</t>
  </si>
  <si>
    <t>2026-06-09 14:00</t>
  </si>
  <si>
    <t>2026-06-09 15:00</t>
  </si>
  <si>
    <t>2026-06-09 16:00</t>
  </si>
  <si>
    <t>2026-06-09 17:00</t>
  </si>
  <si>
    <t>2026-06-09 18:00</t>
  </si>
  <si>
    <t>2026-06-09 19:00</t>
  </si>
  <si>
    <t>2026-06-09 20:00</t>
  </si>
  <si>
    <t>2026-06-09 21:00</t>
  </si>
  <si>
    <t>2026-06-09 22:00</t>
  </si>
  <si>
    <t>2026-06-09 23:00</t>
  </si>
  <si>
    <t>2026-06-18 00:00</t>
  </si>
  <si>
    <t>overcast</t>
  </si>
  <si>
    <t>2026-06-18 01:00</t>
  </si>
  <si>
    <t>2026-06-18 02:00</t>
  </si>
  <si>
    <t>2026-06-18 03:00</t>
  </si>
  <si>
    <t>2026-06-18 04:00</t>
  </si>
  <si>
    <t>2026-06-18 05:00</t>
  </si>
  <si>
    <t>2026-06-18 06:00</t>
  </si>
  <si>
    <t>2026-06-18 07:00</t>
  </si>
  <si>
    <t>2026-06-18 08:00</t>
  </si>
  <si>
    <t>2026-06-18 09:00</t>
  </si>
  <si>
    <t>2026-06-18 10:00</t>
  </si>
  <si>
    <t>2026-06-18 11:00</t>
  </si>
  <si>
    <t>2026-06-18 12:00</t>
  </si>
  <si>
    <t>2026-06-18 13:00</t>
  </si>
  <si>
    <t>2026-06-18 14:00</t>
  </si>
  <si>
    <t>2026-06-18 15:00</t>
  </si>
  <si>
    <t>2026-06-18 16:00</t>
  </si>
  <si>
    <t>2026-06-18 17:00</t>
  </si>
  <si>
    <t>2026-06-18 18:00</t>
  </si>
  <si>
    <t>2026-06-18 19:00</t>
  </si>
  <si>
    <t>2026-06-18 20:00</t>
  </si>
  <si>
    <t>2026-06-18 21:00</t>
  </si>
  <si>
    <t>2026-06-18 22:00</t>
  </si>
  <si>
    <t>2026-06-18 23:00</t>
  </si>
  <si>
    <t>2026-06-27 00:00</t>
  </si>
  <si>
    <t>2026-06-27 01:00</t>
  </si>
  <si>
    <t>2026-06-27 02:00</t>
  </si>
  <si>
    <t>2026-06-27 03:00</t>
  </si>
  <si>
    <t>2026-06-27 04:00</t>
  </si>
  <si>
    <t>2026-06-27 05:00</t>
  </si>
  <si>
    <t>2026-06-27 06:00</t>
  </si>
  <si>
    <t>2026-06-27 07:00</t>
  </si>
  <si>
    <t>2026-06-27 08:00</t>
  </si>
  <si>
    <t>2026-06-27 09:00</t>
  </si>
  <si>
    <t>2026-06-27 10:00</t>
  </si>
  <si>
    <t>2026-06-27 11:00</t>
  </si>
  <si>
    <t>2026-06-27 12:00</t>
  </si>
  <si>
    <t>2026-06-27 13:00</t>
  </si>
  <si>
    <t>2026-06-27 14:00</t>
  </si>
  <si>
    <t>2026-06-27 15:00</t>
  </si>
  <si>
    <t>2026-06-27 16:00</t>
  </si>
  <si>
    <t>2026-06-27 17:00</t>
  </si>
  <si>
    <t>2026-06-27 18:00</t>
  </si>
  <si>
    <t>2026-06-27 19:00</t>
  </si>
  <si>
    <t>2026-06-27 20:00</t>
  </si>
  <si>
    <t>2026-06-27 21:00</t>
  </si>
  <si>
    <t>2026-06-27 22:00</t>
  </si>
  <si>
    <t>2026-06-27 23:00</t>
  </si>
  <si>
    <t>2026-07-07</t>
  </si>
  <si>
    <t>2026-07-07 00:00</t>
  </si>
  <si>
    <t>2026-07-07 01:00</t>
  </si>
  <si>
    <t>2026-07-07 02:00</t>
  </si>
  <si>
    <t>2026-07-07 03:00</t>
  </si>
  <si>
    <t>2026-07-07 04:00</t>
  </si>
  <si>
    <t>2026-07-07 05:00</t>
  </si>
  <si>
    <t>2026-07-07 06:00</t>
  </si>
  <si>
    <t>2026-07-07 07:00</t>
  </si>
  <si>
    <t>2026-07-07 08:00</t>
  </si>
  <si>
    <t>2026-07-07 09:00</t>
  </si>
  <si>
    <t>2026-07-07 10:00</t>
  </si>
  <si>
    <t>2026-07-07 11:00</t>
  </si>
  <si>
    <t>2026-07-07 12:00</t>
  </si>
  <si>
    <t>2026-07-07 13:00</t>
  </si>
  <si>
    <t>2026-07-07 14:00</t>
  </si>
  <si>
    <t>2026-07-07 15:00</t>
  </si>
  <si>
    <t>2026-07-07 16:00</t>
  </si>
  <si>
    <t>2026-07-07 17:00</t>
  </si>
  <si>
    <t>2026-07-07 18:00</t>
  </si>
  <si>
    <t>2026-07-07 19:00</t>
  </si>
  <si>
    <t>2026-07-07 20:00</t>
  </si>
  <si>
    <t>2026-07-07 21:00</t>
  </si>
  <si>
    <t>2026-07-07 22:00</t>
  </si>
  <si>
    <t>2026-07-07 23:00</t>
  </si>
  <si>
    <t>2026-07-16 00:00</t>
  </si>
  <si>
    <t>storm</t>
  </si>
  <si>
    <t>2026-07-16 01:00</t>
  </si>
  <si>
    <t>2026-07-16 02:00</t>
  </si>
  <si>
    <t>2026-07-16 03:00</t>
  </si>
  <si>
    <t>2026-07-16 04:00</t>
  </si>
  <si>
    <t>2026-07-16 05:00</t>
  </si>
  <si>
    <t>2026-07-16 06:00</t>
  </si>
  <si>
    <t>2026-07-16 07:00</t>
  </si>
  <si>
    <t>2026-07-16 08:00</t>
  </si>
  <si>
    <t>2026-07-16 09:00</t>
  </si>
  <si>
    <t>2026-07-16 10:00</t>
  </si>
  <si>
    <t>2026-07-16 11:00</t>
  </si>
  <si>
    <t>2026-07-16 12:00</t>
  </si>
  <si>
    <t>2026-07-16 13:00</t>
  </si>
  <si>
    <t>2026-07-16 14:00</t>
  </si>
  <si>
    <t>2026-07-16 15:00</t>
  </si>
  <si>
    <t>2026-07-16 16:00</t>
  </si>
  <si>
    <t>2026-07-16 17:00</t>
  </si>
  <si>
    <t>2026-07-16 18:00</t>
  </si>
  <si>
    <t>2026-07-16 19:00</t>
  </si>
  <si>
    <t>2026-07-16 20:00</t>
  </si>
  <si>
    <t>2026-07-16 21:00</t>
  </si>
  <si>
    <t>2026-07-16 22:00</t>
  </si>
  <si>
    <t>2026-07-16 23:00</t>
  </si>
  <si>
    <t>2026-07-25</t>
  </si>
  <si>
    <t>2026-07-25 00:00</t>
  </si>
  <si>
    <t>2026-07-25 01:00</t>
  </si>
  <si>
    <t>2026-07-25 02:00</t>
  </si>
  <si>
    <t>2026-07-25 03:00</t>
  </si>
  <si>
    <t>2026-07-25 04:00</t>
  </si>
  <si>
    <t>2026-07-25 05:00</t>
  </si>
  <si>
    <t>2026-07-25 06:00</t>
  </si>
  <si>
    <t>2026-07-25 07:00</t>
  </si>
  <si>
    <t>2026-07-25 08:00</t>
  </si>
  <si>
    <t>2026-07-25 09:00</t>
  </si>
  <si>
    <t>2026-07-25 10:00</t>
  </si>
  <si>
    <t>2026-07-25 11:00</t>
  </si>
  <si>
    <t>2026-07-25 12:00</t>
  </si>
  <si>
    <t>2026-07-25 13:00</t>
  </si>
  <si>
    <t>2026-07-25 14:00</t>
  </si>
  <si>
    <t>2026-07-25 15:00</t>
  </si>
  <si>
    <t>2026-07-25 16:00</t>
  </si>
  <si>
    <t>2026-07-25 17:00</t>
  </si>
  <si>
    <t>2026-07-25 18:00</t>
  </si>
  <si>
    <t>2026-07-25 19:00</t>
  </si>
  <si>
    <t>2026-07-25 20:00</t>
  </si>
  <si>
    <t>2026-07-25 21:00</t>
  </si>
  <si>
    <t>2026-07-25 22:00</t>
  </si>
  <si>
    <t>2026-07-25 23:00</t>
  </si>
  <si>
    <t>2026-08-04</t>
  </si>
  <si>
    <t>2026-08-04 00:00</t>
  </si>
  <si>
    <t>2026-08-04 01:00</t>
  </si>
  <si>
    <t>2026-08-04 02:00</t>
  </si>
  <si>
    <t>2026-08-04 03:00</t>
  </si>
  <si>
    <t>2026-08-04 04:00</t>
  </si>
  <si>
    <t>2026-08-04 05:00</t>
  </si>
  <si>
    <t>2026-08-04 06:00</t>
  </si>
  <si>
    <t>2026-08-04 07:00</t>
  </si>
  <si>
    <t>2026-08-04 08:00</t>
  </si>
  <si>
    <t>2026-08-04 09:00</t>
  </si>
  <si>
    <t>2026-08-04 10:00</t>
  </si>
  <si>
    <t>2026-08-04 11:00</t>
  </si>
  <si>
    <t>2026-08-04 12:00</t>
  </si>
  <si>
    <t>2026-08-04 13:00</t>
  </si>
  <si>
    <t>2026-08-04 14:00</t>
  </si>
  <si>
    <t>2026-08-04 15:00</t>
  </si>
  <si>
    <t>2026-08-04 16:00</t>
  </si>
  <si>
    <t>2026-08-04 17:00</t>
  </si>
  <si>
    <t>2026-08-04 18:00</t>
  </si>
  <si>
    <t>2026-08-04 19:00</t>
  </si>
  <si>
    <t>2026-08-04 20:00</t>
  </si>
  <si>
    <t>2026-08-04 21:00</t>
  </si>
  <si>
    <t>2026-08-04 22:00</t>
  </si>
  <si>
    <t>2026-08-04 23:00</t>
  </si>
  <si>
    <t>2026-08-13</t>
  </si>
  <si>
    <t>2026-08-13 00:00</t>
  </si>
  <si>
    <t>2026-08-13 01:00</t>
  </si>
  <si>
    <t>2026-08-13 02:00</t>
  </si>
  <si>
    <t>2026-08-13 03:00</t>
  </si>
  <si>
    <t>2026-08-13 04:00</t>
  </si>
  <si>
    <t>2026-08-13 05:00</t>
  </si>
  <si>
    <t>2026-08-13 06:00</t>
  </si>
  <si>
    <t>2026-08-13 07:00</t>
  </si>
  <si>
    <t>2026-08-13 08:00</t>
  </si>
  <si>
    <t>2026-08-13 09:00</t>
  </si>
  <si>
    <t>2026-08-13 10:00</t>
  </si>
  <si>
    <t>2026-08-13 11:00</t>
  </si>
  <si>
    <t>2026-08-13 12:00</t>
  </si>
  <si>
    <t>2026-08-13 13:00</t>
  </si>
  <si>
    <t>2026-08-13 14:00</t>
  </si>
  <si>
    <t>2026-08-13 15:00</t>
  </si>
  <si>
    <t>2026-08-13 16:00</t>
  </si>
  <si>
    <t>2026-08-13 17:00</t>
  </si>
  <si>
    <t>2026-08-13 18:00</t>
  </si>
  <si>
    <t>2026-08-13 19:00</t>
  </si>
  <si>
    <t>2026-08-13 20:00</t>
  </si>
  <si>
    <t>2026-08-13 21:00</t>
  </si>
  <si>
    <t>2026-08-13 22:00</t>
  </si>
  <si>
    <t>2026-08-13 23:00</t>
  </si>
  <si>
    <t>2026-08-22</t>
  </si>
  <si>
    <t>2026-08-22 00:00</t>
  </si>
  <si>
    <t>2026-08-22 01:00</t>
  </si>
  <si>
    <t>2026-08-22 02:00</t>
  </si>
  <si>
    <t>2026-08-22 03:00</t>
  </si>
  <si>
    <t>2026-08-22 04:00</t>
  </si>
  <si>
    <t>2026-08-22 05:00</t>
  </si>
  <si>
    <t>2026-08-22 06:00</t>
  </si>
  <si>
    <t>2026-08-22 07:00</t>
  </si>
  <si>
    <t>2026-08-22 08:00</t>
  </si>
  <si>
    <t>2026-08-22 09:00</t>
  </si>
  <si>
    <t>2026-08-22 10:00</t>
  </si>
  <si>
    <t>2026-08-22 11:00</t>
  </si>
  <si>
    <t>2026-08-22 12:00</t>
  </si>
  <si>
    <t>2026-08-22 13:00</t>
  </si>
  <si>
    <t>2026-08-22 14:00</t>
  </si>
  <si>
    <t>2026-08-22 15:00</t>
  </si>
  <si>
    <t>2026-08-22 16:00</t>
  </si>
  <si>
    <t>2026-08-22 17:00</t>
  </si>
  <si>
    <t>2026-08-22 18:00</t>
  </si>
  <si>
    <t>2026-08-22 19:00</t>
  </si>
  <si>
    <t>2026-08-22 20:00</t>
  </si>
  <si>
    <t>2026-08-22 21:00</t>
  </si>
  <si>
    <t>2026-08-22 22:00</t>
  </si>
  <si>
    <t>2026-08-22 23:00</t>
  </si>
  <si>
    <t>2026-09-03</t>
  </si>
  <si>
    <t>2026-09-03 00:00</t>
  </si>
  <si>
    <t>2026-09-03 01:00</t>
  </si>
  <si>
    <t>2026-09-03 02:00</t>
  </si>
  <si>
    <t>2026-09-03 03:00</t>
  </si>
  <si>
    <t>2026-09-03 04:00</t>
  </si>
  <si>
    <t>2026-09-03 05:00</t>
  </si>
  <si>
    <t>2026-09-03 06:00</t>
  </si>
  <si>
    <t>2026-09-03 07:00</t>
  </si>
  <si>
    <t>2026-09-03 08:00</t>
  </si>
  <si>
    <t>2026-09-03 09:00</t>
  </si>
  <si>
    <t>2026-09-03 10:00</t>
  </si>
  <si>
    <t>2026-09-03 11:00</t>
  </si>
  <si>
    <t>2026-09-03 12:00</t>
  </si>
  <si>
    <t>2026-09-03 13:00</t>
  </si>
  <si>
    <t>2026-09-03 14:00</t>
  </si>
  <si>
    <t>2026-09-03 15:00</t>
  </si>
  <si>
    <t>2026-09-03 16:00</t>
  </si>
  <si>
    <t>2026-09-03 17:00</t>
  </si>
  <si>
    <t>2026-09-03 18:00</t>
  </si>
  <si>
    <t>2026-09-03 19:00</t>
  </si>
  <si>
    <t>2026-09-03 20:00</t>
  </si>
  <si>
    <t>2026-09-03 21:00</t>
  </si>
  <si>
    <t>2026-09-03 22:00</t>
  </si>
  <si>
    <t>2026-09-03 23:00</t>
  </si>
  <si>
    <t>2026-09-12</t>
  </si>
  <si>
    <t>2026-09-12 00:00</t>
  </si>
  <si>
    <t>2026-09-12 01:00</t>
  </si>
  <si>
    <t>2026-09-12 02:00</t>
  </si>
  <si>
    <t>2026-09-12 03:00</t>
  </si>
  <si>
    <t>2026-09-12 04:00</t>
  </si>
  <si>
    <t>2026-09-12 05:00</t>
  </si>
  <si>
    <t>2026-09-12 06:00</t>
  </si>
  <si>
    <t>2026-09-12 07:00</t>
  </si>
  <si>
    <t>2026-09-12 08:00</t>
  </si>
  <si>
    <t>2026-09-12 09:00</t>
  </si>
  <si>
    <t>2026-09-12 10:00</t>
  </si>
  <si>
    <t>2026-09-12 11:00</t>
  </si>
  <si>
    <t>2026-09-12 12:00</t>
  </si>
  <si>
    <t>2026-09-12 13:00</t>
  </si>
  <si>
    <t>2026-09-12 14:00</t>
  </si>
  <si>
    <t>2026-09-12 15:00</t>
  </si>
  <si>
    <t>2026-09-12 16:00</t>
  </si>
  <si>
    <t>2026-09-12 17:00</t>
  </si>
  <si>
    <t>2026-09-12 18:00</t>
  </si>
  <si>
    <t>2026-09-12 19:00</t>
  </si>
  <si>
    <t>2026-09-12 20:00</t>
  </si>
  <si>
    <t>2026-09-12 21:00</t>
  </si>
  <si>
    <t>2026-09-12 22:00</t>
  </si>
  <si>
    <t>2026-09-12 23:00</t>
  </si>
  <si>
    <t>2026-09-21</t>
  </si>
  <si>
    <t>2026-09-21 00:00</t>
  </si>
  <si>
    <t>2026-09-21 01:00</t>
  </si>
  <si>
    <t>2026-09-21 02:00</t>
  </si>
  <si>
    <t>2026-09-21 03:00</t>
  </si>
  <si>
    <t>2026-09-21 04:00</t>
  </si>
  <si>
    <t>2026-09-21 05:00</t>
  </si>
  <si>
    <t>2026-09-21 06:00</t>
  </si>
  <si>
    <t>2026-09-21 07:00</t>
  </si>
  <si>
    <t>2026-09-21 08:00</t>
  </si>
  <si>
    <t>2026-09-21 09:00</t>
  </si>
  <si>
    <t>2026-09-21 10:00</t>
  </si>
  <si>
    <t>2026-09-21 11:00</t>
  </si>
  <si>
    <t>2026-09-21 12:00</t>
  </si>
  <si>
    <t>2026-09-21 13:00</t>
  </si>
  <si>
    <t>2026-09-21 14:00</t>
  </si>
  <si>
    <t>2026-09-21 15:00</t>
  </si>
  <si>
    <t>2026-09-21 16:00</t>
  </si>
  <si>
    <t>2026-09-21 17:00</t>
  </si>
  <si>
    <t>2026-09-21 18:00</t>
  </si>
  <si>
    <t>2026-09-21 19:00</t>
  </si>
  <si>
    <t>2026-09-21 20:00</t>
  </si>
  <si>
    <t>2026-09-21 21:00</t>
  </si>
  <si>
    <t>2026-09-21 22:00</t>
  </si>
  <si>
    <t>2026-09-21 23:00</t>
  </si>
  <si>
    <t>2026-09-29</t>
  </si>
  <si>
    <t>2026-09-29 00:00</t>
  </si>
  <si>
    <t>2026-09-29 01:00</t>
  </si>
  <si>
    <t>2026-09-29 02:00</t>
  </si>
  <si>
    <t>2026-09-29 04:00</t>
  </si>
  <si>
    <t>2026-09-29 05:00</t>
  </si>
  <si>
    <t>2026-09-29 06:00</t>
  </si>
  <si>
    <t>2026-09-29 07:00</t>
  </si>
  <si>
    <t>2026-09-29 08:00</t>
  </si>
  <si>
    <t>2026-09-29 09:00</t>
  </si>
  <si>
    <t>2026-09-29 10:00</t>
  </si>
  <si>
    <t>2026-09-29 11:00</t>
  </si>
  <si>
    <t>2026-09-29 12:00</t>
  </si>
  <si>
    <t>2026-09-29 13:00</t>
  </si>
  <si>
    <t>2026-09-29 14:00</t>
  </si>
  <si>
    <t>2026-09-29 15:00</t>
  </si>
  <si>
    <t>2026-09-29 16:00</t>
  </si>
  <si>
    <t>2026-09-29 17:00</t>
  </si>
  <si>
    <t>2026-09-29 18:00</t>
  </si>
  <si>
    <t>2026-09-29 19:00</t>
  </si>
  <si>
    <t>2026-09-29 20:00</t>
  </si>
  <si>
    <t>2026-09-29 21:00</t>
  </si>
  <si>
    <t>2026-09-29 22:00</t>
  </si>
  <si>
    <t>2026-09-29 23:00</t>
  </si>
  <si>
    <t>Proposed solar PPA (PPA-MUM-1-SOLAR in 28_clean_energy_assets) against MUM-1 facility load. 30 representative days, January to September 2026.</t>
  </si>
  <si>
    <t>load_kw is the month’s 13_energy total_kwh ÷ hours in the month, with a ±3.5% afternoon cooling swing. It reconciles with 13_energy.</t>
  </si>
  <si>
    <t>Solar is zero before 06:00 and from 19:00 and peaks near 12:30. Sky condition scales the day; 16 July is a monsoon storm day.</t>
  </si>
  <si>
    <t>matched_kw = min(solar, load): what is clean in the hour it is used. No storage is installed today.</t>
  </si>
  <si>
    <t>asset_id</t>
  </si>
  <si>
    <t>asset_type</t>
  </si>
  <si>
    <t>capacity_kwh</t>
  </si>
  <si>
    <t>power_kw</t>
  </si>
  <si>
    <t>round_trip_efficiency_pct</t>
  </si>
  <si>
    <t>PPA-MUM-1-SOLAR</t>
  </si>
  <si>
    <t>solar_ppa</t>
  </si>
  <si>
    <t>proposed</t>
  </si>
  <si>
    <t>Tata Power-style solar PPA, group captive, sized for ~72% annual volumetric match</t>
  </si>
  <si>
    <t>BESS-MUM-1-PILOT</t>
  </si>
  <si>
    <t>bess</t>
  </si>
  <si>
    <t>4 MWh pilot: the size often quoted, covers a small share of the night</t>
  </si>
  <si>
    <t>BESS-MUM-1-A</t>
  </si>
  <si>
    <t>4-hour battery sized to firm the PPA overnight</t>
  </si>
  <si>
    <t>MUM-1 has no storage today. Both batteries are options; the PPA is the scenario modelled in 27_hourly_generation.</t>
  </si>
  <si>
    <t>Battery cost: Ember, How cheap is battery storage? (Dec 2025), grid-scale all-in ~USD 125/kWh at ₹85/USD. Behind-the-meter projects usually cost more.</t>
  </si>
  <si>
    <t>PPA tariff: landed cost within the ₹4.0–8.15/kWh range reported for Maharashtra open-access solar, 2025–26.</t>
  </si>
  <si>
    <t>volume_litres_per_year</t>
  </si>
  <si>
    <t>treatment_required</t>
  </si>
  <si>
    <t>capex_inr_lakh</t>
  </si>
  <si>
    <t>opex_inr_lakh_per_year</t>
  </si>
  <si>
    <t>water_cost_inr_per_kl</t>
  </si>
  <si>
    <t>condensate</t>
  </si>
  <si>
    <t>Recover condensate from CRAH and AHU cooling coils into the cooling-tower make-up tank</t>
  </si>
  <si>
    <t>Low: filtration and UV</t>
  </si>
  <si>
    <t>greywater</t>
  </si>
  <si>
    <t>Treat greywater from the facility’s own washrooms and canteen for cooling-tower make-up</t>
  </si>
  <si>
    <t>Medium: membrane bioreactor</t>
  </si>
  <si>
    <t>rainwater</t>
  </si>
  <si>
    <t>Harvest rainwater from 9,600 m² of roof into storage for make-up</t>
  </si>
  <si>
    <t>Low: first-flush, filtration, storage</t>
  </si>
  <si>
    <t>Harvest rainwater from 7,800 m² of roof into storage for make-up</t>
  </si>
  <si>
    <t>Rainwater = roof catchment × annual rainfall × 0.8 runoff. Rainfall: Mumbai ~2,400 mm, Chennai ~1,400 mm (IMD normals).</t>
  </si>
  <si>
    <t>water_cost_inr_per_kl blends the municipal commercial tariff with tanker top-up during shortfalls.</t>
  </si>
  <si>
    <t>Payback = capex ÷ (litres saved × water cost − opex). Greywater rarely pays back on cost alone at these volumes.</t>
  </si>
  <si>
    <t>Integrity checks - every planted demo number, recomputed from the data sheets</t>
  </si>
  <si>
    <t>check</t>
  </si>
  <si>
    <t>computed</t>
  </si>
  <si>
    <t>expected</t>
  </si>
  <si>
    <t>Scene 1  structural stranded (kW)</t>
  </si>
  <si>
    <t>Scene 1  planned headroom, Hall 4 (kW)</t>
  </si>
  <si>
    <t>Scene 1  MUM-1 used IT load (kW)</t>
  </si>
  <si>
    <t>Scene 2  Hall 4 free rack positions</t>
  </si>
  <si>
    <t>Scene 2  Hall 4 power headroom (kW)</t>
  </si>
  <si>
    <t>Scene 2  Hall 4 cooling headroom (kW)</t>
  </si>
  <si>
    <t>Scene 3  components exceeded</t>
  </si>
  <si>
    <t>Scene 3  components losing redundancy</t>
  </si>
  <si>
    <t>Scene 3  upgrade cost (Rs lakh)</t>
  </si>
  <si>
    <t>Scene 3  critical path (weeks)</t>
  </si>
  <si>
    <t>Portfolio design IT load (kW)</t>
  </si>
  <si>
    <t>Rack records written</t>
  </si>
  <si>
    <t>Rack load total matches row total (kW)</t>
  </si>
  <si>
    <t>Occupied racks match row occupancy</t>
  </si>
  <si>
    <t>Free rack positions in Hall 4</t>
  </si>
  <si>
    <t>Blocked positions (Row C fragmentation)</t>
  </si>
  <si>
    <t>Component positions written</t>
  </si>
  <si>
    <t>Every figure above is recomputed from the data sheets. All must read PASS before this workbook is 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</si>
</sst>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7" x14ac:knownFonts="1">
    <font>
      <color theme="1"/>
      <family val="2"/>
      <scheme val="minor"/>
      <sz val="11"/>
      <name val="Calibri"/>
    </font>
    <font>
      <b/>
      <charset val="1"/>
      <color rgb="FF00338D"/>
      <sz val="14"/>
      <name val="Arial"/>
    </font>
    <font>
      <b/>
      <charset val="1"/>
      <sz val="10"/>
      <name val="Arial"/>
    </font>
    <font>
      <charset val="1"/>
      <sz val="10"/>
      <name val="Arial"/>
    </font>
    <font>
      <b/>
      <charset val="1"/>
      <color rgb="FF00338D"/>
      <sz val="11"/>
      <name val="Arial"/>
    </font>
    <font>
      <b/>
      <charset val="1"/>
      <color rgb="FFFFFFFF"/>
      <sz val="10"/>
      <name val="Arial"/>
    </font>
    <font>
      <i/>
      <charset val="1"/>
      <color rgb="FF6B7280"/>
      <sz val="9"/>
      <name val="Arial"/>
    </font>
  </fonts>
  <fills count="3">
    <fill>
      <patternFill patternType="none"/>
    </fill>
    <fill>
      <patternFill patternType="gray125"/>
    </fill>
    <fill>
      <patternFill patternType="solid">
        <fgColor rgb="FF00338D"/>
        <bgColor rgb="FF333399"/>
      </patternFill>
    </fill>
  </fills>
  <borders count="2">
    <border>
      <left/>
      <right/>
      <top/>
      <bottom/>
      <diagonal/>
    </border>
    <border>
      <left style="thin">
        <color rgb="FFD0D7E2"/>
      </left>
      <right style="thin">
        <color rgb="FFD0D7E2"/>
      </right>
      <top style="thin">
        <color rgb="FFD0D7E2"/>
      </top>
      <bottom style="thin">
        <color rgb="FFD0D7E2"/>
      </bottom>
      <diagonal/>
    </border>
  </borders>
  <cellStyleXfs count="1">
    <xf numFmtId="0" fontId="0" fillId="0" borderId="0"/>
  </cellStyleXfs>
  <cellXfs count="13">
    <xf numFmtId="0" fontId="0" fillId="0" borderId="0" xfId="0"/>
    <xf numFmtId="0" fontId="1" fillId="0" borderId="0" xfId="0" applyFont="1" applyAlignment="1">
      <alignment vertical="bottom"/>
    </xf>
    <xf numFmtId="0" fontId="2" fillId="0" borderId="0" xfId="0" applyFont="1" applyAlignment="1">
      <alignment vertical="bottom"/>
    </xf>
    <xf numFmtId="0" fontId="3" fillId="0" borderId="0" xfId="0" applyFont="1" applyAlignment="1">
      <alignment vertical="top" wrapText="1"/>
    </xf>
    <xf numFmtId="0" fontId="4" fillId="0" borderId="0" xfId="0" applyFont="1" applyAlignment="1">
      <alignment vertical="bottom"/>
    </xf>
    <xf numFmtId="0" fontId="5" fillId="2" borderId="1" xfId="0" applyFont="1" applyFill="1" applyBorder="1" applyAlignment="1">
      <alignment horizontal="center" vertical="center" wrapText="1"/>
    </xf>
    <xf numFmtId="0" fontId="3" fillId="0" borderId="1" xfId="0" applyFont="1" applyBorder="1" applyAlignment="1">
      <alignment vertical="bottom"/>
    </xf>
    <xf numFmtId="4" fontId="3" fillId="0" borderId="1" xfId="0" applyNumberFormat="1" applyFont="1" applyBorder="1" applyAlignment="1">
      <alignment vertical="bottom"/>
    </xf>
    <xf numFmtId="3" fontId="3" fillId="0" borderId="1" xfId="0" applyNumberFormat="1" applyFont="1" applyBorder="1" applyAlignment="1">
      <alignment vertical="bottom"/>
    </xf>
    <xf numFmtId="0" fontId="6" fillId="0" borderId="0" xfId="0" applyFont="1" applyAlignment="1">
      <alignment vertical="bottom"/>
    </xf>
    <xf numFmtId="164" fontId="3" fillId="0" borderId="1" xfId="0" applyNumberFormat="1" applyFont="1" applyBorder="1" applyAlignment="1">
      <alignment vertical="bottom"/>
    </xf>
    <xf numFmtId="0" fontId="5" fillId="2" borderId="1" xfId="0" applyFont="1" applyFill="1" applyBorder="1" applyAlignment="1">
      <alignment vertical="bottom"/>
    </xf>
    <xf numFmtId="0" fontId="2" fillId="0" borderId="1" xfId="0" applyFont="1" applyBorder="1" applyAlignment="1">
      <alignment vertical="bottom"/>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25.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8"/>
  <sheetViews>
    <sheetView workbookViewId="0" zoomScale="100" zoomScaleNormal="100" view="normal">
      <selection activeCell="A1" sqref="A1"/>
    </sheetView>
  </sheetViews>
  <sheetFormatPr defaultRowHeight="15" outlineLevelRow="0" outlineLevelCol="0" x14ac:dyDescent="0" defaultColWidth="8.6796875"/>
  <cols>
    <col min="1" max="1" width="26" customWidth="1"/>
    <col min="2" max="2" width="104" customWidth="1"/>
  </cols>
  <sheetData>
    <row r="1" ht="17.35" customHeight="1" spans="1:2" x14ac:dyDescent="0.25">
      <c r="A1" s="1" t="s">
        <v>0</v>
      </c>
      <c r="B1" s="1"/>
    </row>
    <row r="2" ht="15" customHeight="1" spans="1:2" x14ac:dyDescent="0.25">
      <c r="A2" s="2"/>
      <c r="B2" s="3"/>
    </row>
    <row r="3" ht="30" customHeight="1" spans="1:2" x14ac:dyDescent="0.25">
      <c r="A3" s="2" t="s">
        <v>1</v>
      </c>
      <c r="B3" s="3" t="s">
        <v>2</v>
      </c>
    </row>
    <row r="4" ht="60" customHeight="1" spans="1:2" x14ac:dyDescent="0.25">
      <c r="A4" s="2" t="s">
        <v>3</v>
      </c>
      <c r="B4" s="3" t="s">
        <v>4</v>
      </c>
    </row>
    <row r="5" ht="15" customHeight="1" spans="1:2" x14ac:dyDescent="0.25">
      <c r="A5" s="2"/>
      <c r="B5" s="3"/>
    </row>
    <row r="6" ht="15" customHeight="1" spans="1:2" x14ac:dyDescent="0.25">
      <c r="A6" s="4" t="s">
        <v>5</v>
      </c>
      <c r="B6" s="4"/>
    </row>
    <row r="7" ht="15" customHeight="1" spans="1:2" x14ac:dyDescent="0.25">
      <c r="A7" s="2" t="s">
        <v>6</v>
      </c>
      <c r="B7" s="3" t="s">
        <v>7</v>
      </c>
    </row>
    <row r="8" ht="15" customHeight="1" spans="1:2" x14ac:dyDescent="0.25">
      <c r="A8" s="2" t="s">
        <v>8</v>
      </c>
      <c r="B8" s="3" t="s">
        <v>9</v>
      </c>
    </row>
    <row r="9" ht="15" customHeight="1" spans="1:2" x14ac:dyDescent="0.25">
      <c r="A9" s="2" t="s">
        <v>10</v>
      </c>
      <c r="B9" s="3" t="s">
        <v>11</v>
      </c>
    </row>
    <row r="10" ht="15" customHeight="1" spans="1:2" x14ac:dyDescent="0.25">
      <c r="A10" s="2" t="s">
        <v>12</v>
      </c>
      <c r="B10" s="3" t="s">
        <v>13</v>
      </c>
    </row>
    <row r="11" ht="15" customHeight="1" spans="1:2" x14ac:dyDescent="0.25">
      <c r="A11" s="2"/>
      <c r="B11" s="3"/>
    </row>
    <row r="12" ht="15" customHeight="1" spans="1:2" x14ac:dyDescent="0.25">
      <c r="A12" s="4" t="s">
        <v>14</v>
      </c>
      <c r="B12" s="4"/>
    </row>
    <row r="13" ht="45" customHeight="1" spans="1:2" x14ac:dyDescent="0.25">
      <c r="A13" s="2" t="s">
        <v>15</v>
      </c>
      <c r="B13" s="3" t="s">
        <v>16</v>
      </c>
    </row>
    <row r="14" ht="30" customHeight="1" spans="1:2" x14ac:dyDescent="0.25">
      <c r="A14" s="2" t="s">
        <v>17</v>
      </c>
      <c r="B14" s="3" t="s">
        <v>18</v>
      </c>
    </row>
    <row r="15" ht="30" customHeight="1" spans="1:2" x14ac:dyDescent="0.25">
      <c r="A15" s="2" t="s">
        <v>19</v>
      </c>
      <c r="B15" s="3" t="s">
        <v>20</v>
      </c>
    </row>
    <row r="16" ht="30" customHeight="1" spans="1:2" x14ac:dyDescent="0.25">
      <c r="A16" s="2" t="s">
        <v>21</v>
      </c>
      <c r="B16" s="3" t="s">
        <v>22</v>
      </c>
    </row>
    <row r="17" ht="15" customHeight="1" spans="1:2" x14ac:dyDescent="0.25">
      <c r="A17" s="2"/>
      <c r="B17" s="3"/>
    </row>
    <row r="18" ht="15" customHeight="1" spans="1:2" x14ac:dyDescent="0.25">
      <c r="A18" s="4" t="s">
        <v>23</v>
      </c>
      <c r="B18" s="4"/>
    </row>
    <row r="19" ht="30" customHeight="1" spans="1:2" x14ac:dyDescent="0.25">
      <c r="A19" s="2" t="s">
        <v>24</v>
      </c>
      <c r="B19" s="3" t="s">
        <v>25</v>
      </c>
    </row>
    <row r="20" ht="15" customHeight="1" spans="1:2" x14ac:dyDescent="0.25">
      <c r="A20" s="2" t="s">
        <v>26</v>
      </c>
      <c r="B20" s="3" t="s">
        <v>27</v>
      </c>
    </row>
    <row r="21" ht="30" customHeight="1" spans="1:2" x14ac:dyDescent="0.25">
      <c r="A21" s="2" t="s">
        <v>28</v>
      </c>
      <c r="B21" s="3" t="s">
        <v>29</v>
      </c>
    </row>
    <row r="22" ht="30" customHeight="1" spans="1:2" x14ac:dyDescent="0.25">
      <c r="A22" s="2" t="s">
        <v>30</v>
      </c>
      <c r="B22" s="3" t="s">
        <v>31</v>
      </c>
    </row>
    <row r="24" spans="1:2" x14ac:dyDescent="0.25">
      <c r="A24" s="2" t="s">
        <v>32</v>
      </c>
      <c r="B24" s="3" t="s">
        <v>33</v>
      </c>
    </row>
    <row r="25" spans="1:2" x14ac:dyDescent="0.25">
      <c r="A25" s="2" t="s">
        <v>34</v>
      </c>
      <c r="B25" s="3" t="s">
        <v>35</v>
      </c>
    </row>
    <row r="26" spans="1:2" x14ac:dyDescent="0.25">
      <c r="A26" s="2" t="s">
        <v>36</v>
      </c>
      <c r="B26" s="3" t="s">
        <v>37</v>
      </c>
    </row>
    <row r="27" spans="1:2" x14ac:dyDescent="0.25">
      <c r="A27" s="2" t="s">
        <v>38</v>
      </c>
      <c r="B27" s="3" t="s">
        <v>39</v>
      </c>
    </row>
    <row r="28" spans="1:2" x14ac:dyDescent="0.25">
      <c r="A28" s="2" t="s">
        <v>40</v>
      </c>
      <c r="B28" s="3" t="s">
        <v>41</v>
      </c>
    </row>
  </sheetData>
  <mergeCells count="4">
    <mergeCell ref="A1:B1"/>
    <mergeCell ref="A6:B6"/>
    <mergeCell ref="A12:B12"/>
    <mergeCell ref="A18:B18"/>
  </mergeCells>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7"/>
  <sheetViews>
    <sheetView workbookViewId="0" zoomScale="100" zoomScaleNormal="100" view="normal">
      <pane ySplit="1" topLeftCell="A2" activePane="bottomLeft" state="frozen"/>
      <selection pane="bottomLeft" activeCell="A1" sqref="A1"/>
    </sheetView>
  </sheetViews>
  <sheetFormatPr defaultRowHeight="15" outlineLevelRow="0" outlineLevelCol="0" x14ac:dyDescent="0" defaultColWidth="8.6796875"/>
  <cols>
    <col min="1" max="1" width="11" customWidth="1"/>
    <col min="2" max="2" width="20" customWidth="1"/>
    <col min="3" max="3" width="13" customWidth="1"/>
    <col min="4" max="4" width="14" customWidth="1"/>
    <col min="7" max="7" width="10" customWidth="1"/>
    <col min="8" max="8" width="13" customWidth="1"/>
    <col min="9" max="9" width="17" customWidth="1"/>
    <col min="10" max="10" width="13" customWidth="1"/>
    <col min="11" max="11" width="12" customWidth="1"/>
    <col min="12" max="12" width="13" customWidth="1"/>
    <col min="13" max="13" width="7" customWidth="1"/>
    <col min="14" max="14" width="8" customWidth="1"/>
    <col min="15" max="15" width="7" customWidth="1"/>
    <col min="16" max="17" width="14" customWidth="1"/>
    <col min="18" max="18" width="13" customWidth="1"/>
    <col min="19" max="19" width="60" customWidth="1"/>
  </cols>
  <sheetData>
    <row r="1" ht="30" customHeight="1" spans="1:19" x14ac:dyDescent="0.25">
      <c r="A1" s="5" t="s">
        <v>42</v>
      </c>
      <c r="B1" s="5" t="s">
        <v>43</v>
      </c>
      <c r="C1" s="5" t="s">
        <v>44</v>
      </c>
      <c r="D1" s="5" t="s">
        <v>45</v>
      </c>
      <c r="E1" s="5" t="s">
        <v>46</v>
      </c>
      <c r="F1" s="5" t="s">
        <v>47</v>
      </c>
      <c r="G1" s="5" t="s">
        <v>48</v>
      </c>
      <c r="H1" s="5" t="s">
        <v>49</v>
      </c>
      <c r="I1" s="5" t="s">
        <v>50</v>
      </c>
      <c r="J1" s="5" t="s">
        <v>51</v>
      </c>
      <c r="K1" s="5" t="s">
        <v>52</v>
      </c>
      <c r="L1" s="5" t="s">
        <v>53</v>
      </c>
      <c r="M1" s="5" t="s">
        <v>54</v>
      </c>
      <c r="N1" s="5" t="s">
        <v>55</v>
      </c>
      <c r="O1" s="5" t="s">
        <v>56</v>
      </c>
      <c r="P1" s="5" t="s">
        <v>57</v>
      </c>
      <c r="Q1" s="5" t="s">
        <v>58</v>
      </c>
      <c r="R1" s="5" t="s">
        <v>59</v>
      </c>
      <c r="S1" s="5" t="s">
        <v>60</v>
      </c>
    </row>
    <row r="2" ht="15" customHeight="1" spans="1:19" x14ac:dyDescent="0.25">
      <c r="A2" s="6" t="s">
        <v>61</v>
      </c>
      <c r="B2" s="6" t="s">
        <v>62</v>
      </c>
      <c r="C2" s="6" t="s">
        <v>63</v>
      </c>
      <c r="D2" s="6" t="s">
        <v>64</v>
      </c>
      <c r="E2" s="7">
        <v>19.033</v>
      </c>
      <c r="F2" s="7">
        <v>73.0297</v>
      </c>
      <c r="G2" s="6" t="s">
        <v>65</v>
      </c>
      <c r="H2" s="6" t="s">
        <v>66</v>
      </c>
      <c r="I2" s="6" t="s">
        <v>67</v>
      </c>
      <c r="J2" s="8">
        <v>10000</v>
      </c>
      <c r="K2" s="8">
        <v>6800</v>
      </c>
      <c r="L2" s="7">
        <v>68</v>
      </c>
      <c r="M2" s="6">
        <v>4</v>
      </c>
      <c r="N2" s="6">
        <v>480</v>
      </c>
      <c r="O2" s="7">
        <v>1.58</v>
      </c>
      <c r="P2" s="7">
        <v>1.8</v>
      </c>
      <c r="Q2" s="7">
        <v>8.5</v>
      </c>
      <c r="R2" s="6">
        <v>22</v>
      </c>
      <c r="S2" s="6" t="s">
        <v>68</v>
      </c>
    </row>
    <row r="3" ht="15" customHeight="1" spans="1:19" x14ac:dyDescent="0.25">
      <c r="A3" s="6" t="s">
        <v>69</v>
      </c>
      <c r="B3" s="6" t="s">
        <v>70</v>
      </c>
      <c r="C3" s="6" t="s">
        <v>63</v>
      </c>
      <c r="D3" s="6" t="s">
        <v>64</v>
      </c>
      <c r="E3" s="7">
        <v>19.076</v>
      </c>
      <c r="F3" s="7">
        <v>73.0169</v>
      </c>
      <c r="G3" s="6" t="s">
        <v>65</v>
      </c>
      <c r="H3" s="6" t="s">
        <v>71</v>
      </c>
      <c r="I3" s="6" t="s">
        <v>67</v>
      </c>
      <c r="J3" s="8">
        <v>6000</v>
      </c>
      <c r="K3" s="8">
        <v>4950</v>
      </c>
      <c r="L3" s="7">
        <v>82.5</v>
      </c>
      <c r="M3" s="6">
        <v>3</v>
      </c>
      <c r="N3" s="6">
        <v>360</v>
      </c>
      <c r="O3" s="7">
        <v>1.74</v>
      </c>
      <c r="P3" s="7">
        <v>2.1</v>
      </c>
      <c r="Q3" s="7">
        <v>8.5</v>
      </c>
      <c r="R3" s="6">
        <v>14</v>
      </c>
      <c r="S3" s="6" t="s">
        <v>72</v>
      </c>
    </row>
    <row r="4" ht="15" customHeight="1" spans="1:19" x14ac:dyDescent="0.25">
      <c r="A4" s="6" t="s">
        <v>73</v>
      </c>
      <c r="B4" s="6" t="s">
        <v>74</v>
      </c>
      <c r="C4" s="6" t="s">
        <v>75</v>
      </c>
      <c r="D4" s="6" t="s">
        <v>76</v>
      </c>
      <c r="E4" s="7">
        <v>12.9896</v>
      </c>
      <c r="F4" s="7">
        <v>80.2473</v>
      </c>
      <c r="G4" s="6" t="s">
        <v>65</v>
      </c>
      <c r="H4" s="6" t="s">
        <v>77</v>
      </c>
      <c r="I4" s="6" t="s">
        <v>67</v>
      </c>
      <c r="J4" s="8">
        <v>8000</v>
      </c>
      <c r="K4" s="8">
        <v>5440</v>
      </c>
      <c r="L4" s="7">
        <v>68</v>
      </c>
      <c r="M4" s="6">
        <v>3</v>
      </c>
      <c r="N4" s="6">
        <v>360</v>
      </c>
      <c r="O4" s="7">
        <v>1.62</v>
      </c>
      <c r="P4" s="7">
        <v>2.45</v>
      </c>
      <c r="Q4" s="7">
        <v>7.9</v>
      </c>
      <c r="R4" s="6">
        <v>31</v>
      </c>
      <c r="S4" s="6" t="s">
        <v>78</v>
      </c>
    </row>
    <row r="5" ht="15" customHeight="1" spans="1:19" x14ac:dyDescent="0.25">
      <c r="A5" s="6" t="s">
        <v>79</v>
      </c>
      <c r="B5" s="6" t="s">
        <v>80</v>
      </c>
      <c r="C5" s="6" t="s">
        <v>81</v>
      </c>
      <c r="D5" s="6" t="s">
        <v>82</v>
      </c>
      <c r="E5" s="7">
        <v>17.4401</v>
      </c>
      <c r="F5" s="7">
        <v>78.3489</v>
      </c>
      <c r="G5" s="6" t="s">
        <v>65</v>
      </c>
      <c r="H5" s="6" t="s">
        <v>83</v>
      </c>
      <c r="I5" s="6" t="s">
        <v>67</v>
      </c>
      <c r="J5" s="8">
        <v>14000</v>
      </c>
      <c r="K5" s="8">
        <v>7700</v>
      </c>
      <c r="L5" s="7">
        <v>55</v>
      </c>
      <c r="M5" s="6">
        <v>4</v>
      </c>
      <c r="N5" s="6">
        <v>480</v>
      </c>
      <c r="O5" s="7">
        <v>1.34</v>
      </c>
      <c r="P5" s="7">
        <v>0.95</v>
      </c>
      <c r="Q5" s="7">
        <v>7.2</v>
      </c>
      <c r="R5" s="6">
        <v>68</v>
      </c>
      <c r="S5" s="6" t="s">
        <v>84</v>
      </c>
    </row>
    <row r="6" ht="15" customHeight="1" spans="1:19" x14ac:dyDescent="0.25">
      <c r="A6" s="6" t="s">
        <v>85</v>
      </c>
      <c r="B6" s="6" t="s">
        <v>86</v>
      </c>
      <c r="C6" s="6" t="s">
        <v>87</v>
      </c>
      <c r="D6" s="6" t="s">
        <v>88</v>
      </c>
      <c r="E6" s="7">
        <v>28.5355</v>
      </c>
      <c r="F6" s="7">
        <v>77.391</v>
      </c>
      <c r="G6" s="6" t="s">
        <v>65</v>
      </c>
      <c r="H6" s="6" t="s">
        <v>89</v>
      </c>
      <c r="I6" s="6" t="s">
        <v>67</v>
      </c>
      <c r="J6" s="8">
        <v>9000</v>
      </c>
      <c r="K6" s="8">
        <v>7470</v>
      </c>
      <c r="L6" s="7">
        <v>83</v>
      </c>
      <c r="M6" s="6">
        <v>3</v>
      </c>
      <c r="N6" s="6">
        <v>360</v>
      </c>
      <c r="O6" s="7">
        <v>1.68</v>
      </c>
      <c r="P6" s="7">
        <v>1.95</v>
      </c>
      <c r="Q6" s="7">
        <v>8.15</v>
      </c>
      <c r="R6" s="6">
        <v>19</v>
      </c>
      <c r="S6" s="6" t="s">
        <v>90</v>
      </c>
    </row>
    <row r="7" ht="15" customHeight="1" spans="1:19" x14ac:dyDescent="0.25">
      <c r="A7" s="6" t="s">
        <v>91</v>
      </c>
      <c r="B7" s="6" t="s">
        <v>92</v>
      </c>
      <c r="C7" s="6" t="s">
        <v>93</v>
      </c>
      <c r="D7" s="6" t="s">
        <v>94</v>
      </c>
      <c r="E7" s="7">
        <v>12.8452</v>
      </c>
      <c r="F7" s="7">
        <v>77.6602</v>
      </c>
      <c r="G7" s="6" t="s">
        <v>95</v>
      </c>
      <c r="H7" s="6" t="s">
        <v>96</v>
      </c>
      <c r="I7" s="6" t="s">
        <v>97</v>
      </c>
      <c r="J7" s="8">
        <v>20000</v>
      </c>
      <c r="K7" s="6">
        <v>0</v>
      </c>
      <c r="L7" s="7">
        <v>0</v>
      </c>
      <c r="M7" s="6">
        <v>5</v>
      </c>
      <c r="N7" s="6">
        <v>600</v>
      </c>
      <c r="O7" s="7">
        <v>1.25</v>
      </c>
      <c r="P7" s="7">
        <v>0.4</v>
      </c>
      <c r="Q7" s="7">
        <v>7.45</v>
      </c>
      <c r="R7" s="6">
        <v>85</v>
      </c>
      <c r="S7" s="6" t="s">
        <v>98</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3"/>
  <sheetViews>
    <sheetView workbookViewId="0" zoomScale="100" zoomScaleNormal="100" view="normal">
      <pane ySplit="1" topLeftCell="A2" activePane="bottomLeft" state="frozen"/>
      <selection pane="bottomLeft" activeCell="A1" sqref="A1"/>
    </sheetView>
  </sheetViews>
  <sheetFormatPr defaultRowHeight="15" outlineLevelRow="0" outlineLevelCol="0" x14ac:dyDescent="0" defaultColWidth="8.6796875"/>
  <cols>
    <col min="1" max="1" width="13" customWidth="1"/>
    <col min="2" max="2" width="12" customWidth="1"/>
    <col min="4" max="5" width="11" customWidth="1"/>
    <col min="6" max="6" width="17" customWidth="1"/>
    <col min="7" max="7" width="19" customWidth="1"/>
    <col min="8" max="8" width="10" customWidth="1"/>
    <col min="9" max="9" width="15" customWidth="1"/>
    <col min="10" max="10" width="26" customWidth="1"/>
    <col min="11" max="11" width="24" customWidth="1"/>
  </cols>
  <sheetData>
    <row r="1" ht="30" customHeight="1" spans="1:11" x14ac:dyDescent="0.25">
      <c r="A1" s="5" t="s">
        <v>99</v>
      </c>
      <c r="B1" s="5" t="s">
        <v>42</v>
      </c>
      <c r="C1" s="5" t="s">
        <v>43</v>
      </c>
      <c r="D1" s="5" t="s">
        <v>100</v>
      </c>
      <c r="E1" s="5" t="s">
        <v>101</v>
      </c>
      <c r="F1" s="5" t="s">
        <v>102</v>
      </c>
      <c r="G1" s="5" t="s">
        <v>103</v>
      </c>
      <c r="H1" s="5" t="s">
        <v>104</v>
      </c>
      <c r="I1" s="5" t="s">
        <v>105</v>
      </c>
      <c r="J1" s="5" t="s">
        <v>106</v>
      </c>
      <c r="K1" s="5" t="s">
        <v>107</v>
      </c>
    </row>
    <row r="2" ht="15" customHeight="1" spans="1:11" x14ac:dyDescent="0.25">
      <c r="A2" s="6" t="s">
        <v>108</v>
      </c>
      <c r="B2" s="6" t="s">
        <v>61</v>
      </c>
      <c r="C2" s="6" t="s">
        <v>109</v>
      </c>
      <c r="D2" s="6">
        <v>6</v>
      </c>
      <c r="E2" s="6">
        <v>120</v>
      </c>
      <c r="F2" s="8">
        <v>2570</v>
      </c>
      <c r="G2" s="8">
        <v>2600</v>
      </c>
      <c r="H2" s="6">
        <v>943</v>
      </c>
      <c r="I2" s="6">
        <v>20</v>
      </c>
      <c r="J2" s="6" t="s">
        <v>110</v>
      </c>
      <c r="K2" s="6" t="s">
        <v>111</v>
      </c>
    </row>
    <row r="3" ht="15" customHeight="1" spans="1:11" x14ac:dyDescent="0.25">
      <c r="A3" s="6" t="s">
        <v>112</v>
      </c>
      <c r="B3" s="6" t="s">
        <v>61</v>
      </c>
      <c r="C3" s="6" t="s">
        <v>113</v>
      </c>
      <c r="D3" s="6">
        <v>6</v>
      </c>
      <c r="E3" s="6">
        <v>120</v>
      </c>
      <c r="F3" s="8">
        <v>2600</v>
      </c>
      <c r="G3" s="8">
        <v>2300</v>
      </c>
      <c r="H3" s="6">
        <v>976</v>
      </c>
      <c r="I3" s="6">
        <v>20</v>
      </c>
      <c r="J3" s="6" t="s">
        <v>110</v>
      </c>
      <c r="K3" s="6" t="s">
        <v>111</v>
      </c>
    </row>
    <row r="4" ht="15" customHeight="1" spans="1:11" x14ac:dyDescent="0.25">
      <c r="A4" s="6" t="s">
        <v>114</v>
      </c>
      <c r="B4" s="6" t="s">
        <v>61</v>
      </c>
      <c r="C4" s="6" t="s">
        <v>115</v>
      </c>
      <c r="D4" s="6">
        <v>6</v>
      </c>
      <c r="E4" s="6">
        <v>120</v>
      </c>
      <c r="F4" s="8">
        <v>2440</v>
      </c>
      <c r="G4" s="8">
        <v>2450</v>
      </c>
      <c r="H4" s="6">
        <v>801</v>
      </c>
      <c r="I4" s="6">
        <v>20</v>
      </c>
      <c r="J4" s="6" t="s">
        <v>110</v>
      </c>
      <c r="K4" s="6" t="s">
        <v>111</v>
      </c>
    </row>
    <row r="5" ht="15" customHeight="1" spans="1:11" x14ac:dyDescent="0.25">
      <c r="A5" s="6" t="s">
        <v>116</v>
      </c>
      <c r="B5" s="6" t="s">
        <v>61</v>
      </c>
      <c r="C5" s="6" t="s">
        <v>117</v>
      </c>
      <c r="D5" s="6">
        <v>6</v>
      </c>
      <c r="E5" s="6">
        <v>120</v>
      </c>
      <c r="F5" s="8">
        <v>5400</v>
      </c>
      <c r="G5" s="8">
        <v>4920</v>
      </c>
      <c r="H5" s="8">
        <v>4080</v>
      </c>
      <c r="I5" s="6">
        <v>60</v>
      </c>
      <c r="J5" s="6" t="s">
        <v>118</v>
      </c>
      <c r="K5" s="6" t="s">
        <v>119</v>
      </c>
    </row>
    <row r="6" ht="15" customHeight="1" spans="1:11" x14ac:dyDescent="0.25">
      <c r="A6" s="6" t="s">
        <v>120</v>
      </c>
      <c r="B6" s="6" t="s">
        <v>69</v>
      </c>
      <c r="C6" s="6" t="s">
        <v>109</v>
      </c>
      <c r="D6" s="6">
        <v>5</v>
      </c>
      <c r="E6" s="6">
        <v>100</v>
      </c>
      <c r="F6" s="8">
        <v>2160</v>
      </c>
      <c r="G6" s="8">
        <v>2040</v>
      </c>
      <c r="H6" s="8">
        <v>1400</v>
      </c>
      <c r="I6" s="6">
        <v>20</v>
      </c>
      <c r="J6" s="6" t="s">
        <v>110</v>
      </c>
      <c r="K6" s="6"/>
    </row>
    <row r="7" ht="15" customHeight="1" spans="1:11" x14ac:dyDescent="0.25">
      <c r="A7" s="6" t="s">
        <v>121</v>
      </c>
      <c r="B7" s="6" t="s">
        <v>69</v>
      </c>
      <c r="C7" s="6" t="s">
        <v>113</v>
      </c>
      <c r="D7" s="6">
        <v>5</v>
      </c>
      <c r="E7" s="6">
        <v>100</v>
      </c>
      <c r="F7" s="8">
        <v>2160</v>
      </c>
      <c r="G7" s="8">
        <v>2040</v>
      </c>
      <c r="H7" s="8">
        <v>1400</v>
      </c>
      <c r="I7" s="6">
        <v>20</v>
      </c>
      <c r="J7" s="6" t="s">
        <v>110</v>
      </c>
      <c r="K7" s="6"/>
    </row>
    <row r="8" ht="15" customHeight="1" spans="1:11" x14ac:dyDescent="0.25">
      <c r="A8" s="6" t="s">
        <v>122</v>
      </c>
      <c r="B8" s="6" t="s">
        <v>69</v>
      </c>
      <c r="C8" s="6" t="s">
        <v>115</v>
      </c>
      <c r="D8" s="6">
        <v>5</v>
      </c>
      <c r="E8" s="6">
        <v>100</v>
      </c>
      <c r="F8" s="8">
        <v>2160</v>
      </c>
      <c r="G8" s="8">
        <v>2040</v>
      </c>
      <c r="H8" s="8">
        <v>1400</v>
      </c>
      <c r="I8" s="6">
        <v>20</v>
      </c>
      <c r="J8" s="6" t="s">
        <v>110</v>
      </c>
      <c r="K8" s="6"/>
    </row>
    <row r="9" ht="15" customHeight="1" spans="1:11" x14ac:dyDescent="0.25">
      <c r="A9" s="6" t="s">
        <v>123</v>
      </c>
      <c r="B9" s="6" t="s">
        <v>73</v>
      </c>
      <c r="C9" s="6" t="s">
        <v>109</v>
      </c>
      <c r="D9" s="6">
        <v>6</v>
      </c>
      <c r="E9" s="6">
        <v>120</v>
      </c>
      <c r="F9" s="8">
        <v>2880</v>
      </c>
      <c r="G9" s="8">
        <v>2720</v>
      </c>
      <c r="H9" s="8">
        <v>1866</v>
      </c>
      <c r="I9" s="6">
        <v>20</v>
      </c>
      <c r="J9" s="6" t="s">
        <v>110</v>
      </c>
      <c r="K9" s="6"/>
    </row>
    <row r="10" ht="15" customHeight="1" spans="1:11" x14ac:dyDescent="0.25">
      <c r="A10" s="6" t="s">
        <v>124</v>
      </c>
      <c r="B10" s="6" t="s">
        <v>73</v>
      </c>
      <c r="C10" s="6" t="s">
        <v>113</v>
      </c>
      <c r="D10" s="6">
        <v>6</v>
      </c>
      <c r="E10" s="6">
        <v>120</v>
      </c>
      <c r="F10" s="8">
        <v>2880</v>
      </c>
      <c r="G10" s="8">
        <v>2720</v>
      </c>
      <c r="H10" s="8">
        <v>1866</v>
      </c>
      <c r="I10" s="6">
        <v>20</v>
      </c>
      <c r="J10" s="6" t="s">
        <v>110</v>
      </c>
      <c r="K10" s="6"/>
    </row>
    <row r="11" ht="15" customHeight="1" spans="1:11" x14ac:dyDescent="0.25">
      <c r="A11" s="6" t="s">
        <v>125</v>
      </c>
      <c r="B11" s="6" t="s">
        <v>73</v>
      </c>
      <c r="C11" s="6" t="s">
        <v>115</v>
      </c>
      <c r="D11" s="6">
        <v>6</v>
      </c>
      <c r="E11" s="6">
        <v>120</v>
      </c>
      <c r="F11" s="8">
        <v>2880</v>
      </c>
      <c r="G11" s="8">
        <v>2720</v>
      </c>
      <c r="H11" s="8">
        <v>1866</v>
      </c>
      <c r="I11" s="6">
        <v>20</v>
      </c>
      <c r="J11" s="6" t="s">
        <v>110</v>
      </c>
      <c r="K11" s="6"/>
    </row>
    <row r="12" ht="15" customHeight="1" spans="1:11" x14ac:dyDescent="0.25">
      <c r="A12" s="6" t="s">
        <v>126</v>
      </c>
      <c r="B12" s="6" t="s">
        <v>79</v>
      </c>
      <c r="C12" s="6" t="s">
        <v>109</v>
      </c>
      <c r="D12" s="6">
        <v>6</v>
      </c>
      <c r="E12" s="6">
        <v>120</v>
      </c>
      <c r="F12" s="8">
        <v>3780</v>
      </c>
      <c r="G12" s="8">
        <v>3570</v>
      </c>
      <c r="H12" s="8">
        <v>2450</v>
      </c>
      <c r="I12" s="6">
        <v>60</v>
      </c>
      <c r="J12" s="6" t="s">
        <v>110</v>
      </c>
      <c r="K12" s="6"/>
    </row>
    <row r="13" ht="15" customHeight="1" spans="1:11" x14ac:dyDescent="0.25">
      <c r="A13" s="6" t="s">
        <v>127</v>
      </c>
      <c r="B13" s="6" t="s">
        <v>79</v>
      </c>
      <c r="C13" s="6" t="s">
        <v>113</v>
      </c>
      <c r="D13" s="6">
        <v>6</v>
      </c>
      <c r="E13" s="6">
        <v>120</v>
      </c>
      <c r="F13" s="8">
        <v>3780</v>
      </c>
      <c r="G13" s="8">
        <v>3570</v>
      </c>
      <c r="H13" s="8">
        <v>2450</v>
      </c>
      <c r="I13" s="6">
        <v>60</v>
      </c>
      <c r="J13" s="6" t="s">
        <v>110</v>
      </c>
      <c r="K13" s="6"/>
    </row>
    <row r="14" ht="15" customHeight="1" spans="1:11" x14ac:dyDescent="0.25">
      <c r="A14" s="6" t="s">
        <v>128</v>
      </c>
      <c r="B14" s="6" t="s">
        <v>79</v>
      </c>
      <c r="C14" s="6" t="s">
        <v>115</v>
      </c>
      <c r="D14" s="6">
        <v>6</v>
      </c>
      <c r="E14" s="6">
        <v>120</v>
      </c>
      <c r="F14" s="8">
        <v>3780</v>
      </c>
      <c r="G14" s="8">
        <v>3570</v>
      </c>
      <c r="H14" s="8">
        <v>2450</v>
      </c>
      <c r="I14" s="6">
        <v>60</v>
      </c>
      <c r="J14" s="6" t="s">
        <v>110</v>
      </c>
      <c r="K14" s="6"/>
    </row>
    <row r="15" ht="15" customHeight="1" spans="1:11" x14ac:dyDescent="0.25">
      <c r="A15" s="6" t="s">
        <v>129</v>
      </c>
      <c r="B15" s="6" t="s">
        <v>79</v>
      </c>
      <c r="C15" s="6" t="s">
        <v>117</v>
      </c>
      <c r="D15" s="6">
        <v>6</v>
      </c>
      <c r="E15" s="6">
        <v>120</v>
      </c>
      <c r="F15" s="8">
        <v>3780</v>
      </c>
      <c r="G15" s="8">
        <v>3570</v>
      </c>
      <c r="H15" s="8">
        <v>2450</v>
      </c>
      <c r="I15" s="6">
        <v>60</v>
      </c>
      <c r="J15" s="6" t="s">
        <v>110</v>
      </c>
      <c r="K15" s="6"/>
    </row>
    <row r="16" ht="15" customHeight="1" spans="1:11" x14ac:dyDescent="0.25">
      <c r="A16" s="6" t="s">
        <v>130</v>
      </c>
      <c r="B16" s="6" t="s">
        <v>85</v>
      </c>
      <c r="C16" s="6" t="s">
        <v>109</v>
      </c>
      <c r="D16" s="6">
        <v>6</v>
      </c>
      <c r="E16" s="6">
        <v>120</v>
      </c>
      <c r="F16" s="8">
        <v>3240</v>
      </c>
      <c r="G16" s="8">
        <v>3060</v>
      </c>
      <c r="H16" s="8">
        <v>2100</v>
      </c>
      <c r="I16" s="6">
        <v>20</v>
      </c>
      <c r="J16" s="6" t="s">
        <v>110</v>
      </c>
      <c r="K16" s="6"/>
    </row>
    <row r="17" ht="15" customHeight="1" spans="1:11" x14ac:dyDescent="0.25">
      <c r="A17" s="6" t="s">
        <v>131</v>
      </c>
      <c r="B17" s="6" t="s">
        <v>85</v>
      </c>
      <c r="C17" s="6" t="s">
        <v>113</v>
      </c>
      <c r="D17" s="6">
        <v>6</v>
      </c>
      <c r="E17" s="6">
        <v>120</v>
      </c>
      <c r="F17" s="8">
        <v>3240</v>
      </c>
      <c r="G17" s="8">
        <v>3060</v>
      </c>
      <c r="H17" s="8">
        <v>2100</v>
      </c>
      <c r="I17" s="6">
        <v>20</v>
      </c>
      <c r="J17" s="6" t="s">
        <v>110</v>
      </c>
      <c r="K17" s="6"/>
    </row>
    <row r="18" ht="15" customHeight="1" spans="1:11" x14ac:dyDescent="0.25">
      <c r="A18" s="6" t="s">
        <v>132</v>
      </c>
      <c r="B18" s="6" t="s">
        <v>85</v>
      </c>
      <c r="C18" s="6" t="s">
        <v>115</v>
      </c>
      <c r="D18" s="6">
        <v>6</v>
      </c>
      <c r="E18" s="6">
        <v>120</v>
      </c>
      <c r="F18" s="8">
        <v>3240</v>
      </c>
      <c r="G18" s="8">
        <v>3060</v>
      </c>
      <c r="H18" s="8">
        <v>2100</v>
      </c>
      <c r="I18" s="6">
        <v>20</v>
      </c>
      <c r="J18" s="6" t="s">
        <v>110</v>
      </c>
      <c r="K18" s="6"/>
    </row>
    <row r="19" ht="15" customHeight="1" spans="1:11" x14ac:dyDescent="0.25">
      <c r="A19" s="6" t="s">
        <v>133</v>
      </c>
      <c r="B19" s="6" t="s">
        <v>91</v>
      </c>
      <c r="C19" s="6" t="s">
        <v>109</v>
      </c>
      <c r="D19" s="6">
        <v>6</v>
      </c>
      <c r="E19" s="6">
        <v>120</v>
      </c>
      <c r="F19" s="8">
        <v>4320</v>
      </c>
      <c r="G19" s="8">
        <v>4080</v>
      </c>
      <c r="H19" s="8">
        <v>2800</v>
      </c>
      <c r="I19" s="6">
        <v>60</v>
      </c>
      <c r="J19" s="6" t="s">
        <v>110</v>
      </c>
      <c r="K19" s="6"/>
    </row>
    <row r="20" ht="15" customHeight="1" spans="1:11" x14ac:dyDescent="0.25">
      <c r="A20" s="6" t="s">
        <v>134</v>
      </c>
      <c r="B20" s="6" t="s">
        <v>91</v>
      </c>
      <c r="C20" s="6" t="s">
        <v>113</v>
      </c>
      <c r="D20" s="6">
        <v>6</v>
      </c>
      <c r="E20" s="6">
        <v>120</v>
      </c>
      <c r="F20" s="8">
        <v>4320</v>
      </c>
      <c r="G20" s="8">
        <v>4080</v>
      </c>
      <c r="H20" s="8">
        <v>2800</v>
      </c>
      <c r="I20" s="6">
        <v>60</v>
      </c>
      <c r="J20" s="6" t="s">
        <v>110</v>
      </c>
      <c r="K20" s="6"/>
    </row>
    <row r="21" ht="15" customHeight="1" spans="1:11" x14ac:dyDescent="0.25">
      <c r="A21" s="6" t="s">
        <v>135</v>
      </c>
      <c r="B21" s="6" t="s">
        <v>91</v>
      </c>
      <c r="C21" s="6" t="s">
        <v>115</v>
      </c>
      <c r="D21" s="6">
        <v>6</v>
      </c>
      <c r="E21" s="6">
        <v>120</v>
      </c>
      <c r="F21" s="8">
        <v>4320</v>
      </c>
      <c r="G21" s="8">
        <v>4080</v>
      </c>
      <c r="H21" s="8">
        <v>2800</v>
      </c>
      <c r="I21" s="6">
        <v>60</v>
      </c>
      <c r="J21" s="6" t="s">
        <v>110</v>
      </c>
      <c r="K21" s="6"/>
    </row>
    <row r="22" ht="15" customHeight="1" spans="1:11" x14ac:dyDescent="0.25">
      <c r="A22" s="6" t="s">
        <v>136</v>
      </c>
      <c r="B22" s="6" t="s">
        <v>91</v>
      </c>
      <c r="C22" s="6" t="s">
        <v>117</v>
      </c>
      <c r="D22" s="6">
        <v>6</v>
      </c>
      <c r="E22" s="6">
        <v>120</v>
      </c>
      <c r="F22" s="8">
        <v>4320</v>
      </c>
      <c r="G22" s="8">
        <v>4080</v>
      </c>
      <c r="H22" s="8">
        <v>2800</v>
      </c>
      <c r="I22" s="6">
        <v>60</v>
      </c>
      <c r="J22" s="6" t="s">
        <v>110</v>
      </c>
      <c r="K22" s="6"/>
    </row>
    <row r="23" ht="15" customHeight="1" spans="1:11" x14ac:dyDescent="0.25">
      <c r="A23" s="6" t="s">
        <v>137</v>
      </c>
      <c r="B23" s="6" t="s">
        <v>91</v>
      </c>
      <c r="C23" s="6" t="s">
        <v>138</v>
      </c>
      <c r="D23" s="6">
        <v>6</v>
      </c>
      <c r="E23" s="6">
        <v>120</v>
      </c>
      <c r="F23" s="8">
        <v>4320</v>
      </c>
      <c r="G23" s="8">
        <v>4080</v>
      </c>
      <c r="H23" s="8">
        <v>2800</v>
      </c>
      <c r="I23" s="6">
        <v>60</v>
      </c>
      <c r="J23" s="6" t="s">
        <v>110</v>
      </c>
      <c r="K23" s="6"/>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8"/>
  <sheetViews>
    <sheetView workbookViewId="0" zoomScale="100" zoomScaleNormal="100" view="normal">
      <pane ySplit="1" topLeftCell="A2" activePane="bottomLeft" state="frozen"/>
      <selection pane="bottomLeft" activeCell="A1" sqref="A1"/>
    </sheetView>
  </sheetViews>
  <sheetFormatPr defaultRowHeight="15" outlineLevelRow="0" outlineLevelCol="0" x14ac:dyDescent="0" defaultColWidth="8.6796875"/>
  <cols>
    <col min="1" max="1" width="11" customWidth="1"/>
    <col min="2" max="2" width="12" customWidth="1"/>
    <col min="3" max="3" width="8" customWidth="1"/>
    <col min="4" max="4" width="11" customWidth="1"/>
    <col min="5" max="5" width="12" customWidth="1"/>
    <col min="6" max="6" width="13" customWidth="1"/>
    <col min="7" max="7" width="11" customWidth="1"/>
    <col min="9" max="9" width="15" customWidth="1"/>
    <col min="10" max="10" width="17" customWidth="1"/>
    <col min="11" max="12" width="14" customWidth="1"/>
    <col min="13" max="13" width="13" customWidth="1"/>
    <col min="14" max="14" width="12" customWidth="1"/>
    <col min="15" max="15" width="11" customWidth="1"/>
    <col min="16" max="16" width="16" customWidth="1"/>
    <col min="17" max="17" width="20" customWidth="1"/>
    <col min="18" max="18" width="14" customWidth="1"/>
    <col min="19" max="19" width="62" customWidth="1"/>
  </cols>
  <sheetData>
    <row r="1" ht="30" customHeight="1" spans="1:19" x14ac:dyDescent="0.25">
      <c r="A1" s="5" t="s">
        <v>42</v>
      </c>
      <c r="B1" s="5" t="s">
        <v>99</v>
      </c>
      <c r="C1" s="5" t="s">
        <v>139</v>
      </c>
      <c r="D1" s="5" t="s">
        <v>101</v>
      </c>
      <c r="E1" s="5" t="s">
        <v>140</v>
      </c>
      <c r="F1" s="5" t="s">
        <v>141</v>
      </c>
      <c r="G1" s="5" t="s">
        <v>142</v>
      </c>
      <c r="H1" s="5" t="s">
        <v>104</v>
      </c>
      <c r="I1" s="5" t="s">
        <v>102</v>
      </c>
      <c r="J1" s="5" t="s">
        <v>103</v>
      </c>
      <c r="K1" s="5" t="s">
        <v>105</v>
      </c>
      <c r="L1" s="5" t="s">
        <v>143</v>
      </c>
      <c r="M1" s="5" t="s">
        <v>144</v>
      </c>
      <c r="N1" s="5" t="s">
        <v>145</v>
      </c>
      <c r="O1" s="5" t="s">
        <v>146</v>
      </c>
      <c r="P1" s="5" t="s">
        <v>147</v>
      </c>
      <c r="Q1" s="5" t="s">
        <v>148</v>
      </c>
      <c r="R1" s="5" t="s">
        <v>149</v>
      </c>
      <c r="S1" s="5" t="s">
        <v>107</v>
      </c>
    </row>
    <row r="2" ht="15" customHeight="1" spans="1:19" x14ac:dyDescent="0.25">
      <c r="A2" s="6" t="s">
        <v>61</v>
      </c>
      <c r="B2" s="6" t="s">
        <v>108</v>
      </c>
      <c r="C2" s="6" t="s">
        <v>150</v>
      </c>
      <c r="D2" s="6">
        <v>20</v>
      </c>
      <c r="E2" s="6">
        <v>20</v>
      </c>
      <c r="F2" s="6">
        <v>18</v>
      </c>
      <c r="G2" s="6">
        <v>2</v>
      </c>
      <c r="H2" s="6">
        <v>155</v>
      </c>
      <c r="I2" s="6">
        <v>400</v>
      </c>
      <c r="J2" s="6">
        <v>420</v>
      </c>
      <c r="K2" s="6">
        <v>20</v>
      </c>
      <c r="L2" s="6">
        <v>400</v>
      </c>
      <c r="M2" s="6">
        <v>400</v>
      </c>
      <c r="N2" s="6">
        <v>245</v>
      </c>
      <c r="O2" s="6">
        <v>0</v>
      </c>
      <c r="P2" s="6" t="s">
        <v>151</v>
      </c>
      <c r="Q2" s="6"/>
      <c r="R2" s="7">
        <v>5.1</v>
      </c>
      <c r="S2" s="6"/>
    </row>
    <row r="3" ht="15" customHeight="1" spans="1:19" x14ac:dyDescent="0.25">
      <c r="A3" s="6" t="s">
        <v>61</v>
      </c>
      <c r="B3" s="6" t="s">
        <v>108</v>
      </c>
      <c r="C3" s="6" t="s">
        <v>152</v>
      </c>
      <c r="D3" s="6">
        <v>20</v>
      </c>
      <c r="E3" s="6">
        <v>20</v>
      </c>
      <c r="F3" s="6">
        <v>17</v>
      </c>
      <c r="G3" s="6">
        <v>3</v>
      </c>
      <c r="H3" s="6">
        <v>162</v>
      </c>
      <c r="I3" s="6">
        <v>400</v>
      </c>
      <c r="J3" s="6">
        <v>420</v>
      </c>
      <c r="K3" s="6">
        <v>20</v>
      </c>
      <c r="L3" s="6">
        <v>400</v>
      </c>
      <c r="M3" s="6">
        <v>400</v>
      </c>
      <c r="N3" s="6">
        <v>238</v>
      </c>
      <c r="O3" s="6">
        <v>0</v>
      </c>
      <c r="P3" s="6" t="s">
        <v>151</v>
      </c>
      <c r="Q3" s="6"/>
      <c r="R3" s="7">
        <v>5</v>
      </c>
      <c r="S3" s="6"/>
    </row>
    <row r="4" ht="15" customHeight="1" spans="1:19" x14ac:dyDescent="0.25">
      <c r="A4" s="6" t="s">
        <v>61</v>
      </c>
      <c r="B4" s="6" t="s">
        <v>108</v>
      </c>
      <c r="C4" s="6" t="s">
        <v>153</v>
      </c>
      <c r="D4" s="6">
        <v>20</v>
      </c>
      <c r="E4" s="6">
        <v>19</v>
      </c>
      <c r="F4" s="6">
        <v>16</v>
      </c>
      <c r="G4" s="6">
        <v>3</v>
      </c>
      <c r="H4" s="6">
        <v>148</v>
      </c>
      <c r="I4" s="6">
        <v>570</v>
      </c>
      <c r="J4" s="6">
        <v>500</v>
      </c>
      <c r="K4" s="6">
        <v>20</v>
      </c>
      <c r="L4" s="6">
        <v>380</v>
      </c>
      <c r="M4" s="6">
        <v>380</v>
      </c>
      <c r="N4" s="6">
        <v>232</v>
      </c>
      <c r="O4" s="6">
        <v>190</v>
      </c>
      <c r="P4" s="6" t="s">
        <v>154</v>
      </c>
      <c r="Q4" s="6" t="s">
        <v>155</v>
      </c>
      <c r="R4" s="7">
        <v>5.3</v>
      </c>
      <c r="S4" s="6" t="s">
        <v>156</v>
      </c>
    </row>
    <row r="5" ht="15" customHeight="1" spans="1:19" x14ac:dyDescent="0.25">
      <c r="A5" s="6" t="s">
        <v>61</v>
      </c>
      <c r="B5" s="6" t="s">
        <v>108</v>
      </c>
      <c r="C5" s="6" t="s">
        <v>157</v>
      </c>
      <c r="D5" s="6">
        <v>20</v>
      </c>
      <c r="E5" s="6">
        <v>20</v>
      </c>
      <c r="F5" s="6">
        <v>19</v>
      </c>
      <c r="G5" s="6">
        <v>1</v>
      </c>
      <c r="H5" s="6">
        <v>168</v>
      </c>
      <c r="I5" s="6">
        <v>400</v>
      </c>
      <c r="J5" s="6">
        <v>420</v>
      </c>
      <c r="K5" s="6">
        <v>20</v>
      </c>
      <c r="L5" s="6">
        <v>400</v>
      </c>
      <c r="M5" s="6">
        <v>400</v>
      </c>
      <c r="N5" s="6">
        <v>232</v>
      </c>
      <c r="O5" s="6">
        <v>0</v>
      </c>
      <c r="P5" s="6" t="s">
        <v>151</v>
      </c>
      <c r="Q5" s="6"/>
      <c r="R5" s="7">
        <v>5</v>
      </c>
      <c r="S5" s="6"/>
    </row>
    <row r="6" ht="15" customHeight="1" spans="1:19" x14ac:dyDescent="0.25">
      <c r="A6" s="6" t="s">
        <v>61</v>
      </c>
      <c r="B6" s="6" t="s">
        <v>108</v>
      </c>
      <c r="C6" s="6" t="s">
        <v>158</v>
      </c>
      <c r="D6" s="6">
        <v>20</v>
      </c>
      <c r="E6" s="6">
        <v>20</v>
      </c>
      <c r="F6" s="6">
        <v>16</v>
      </c>
      <c r="G6" s="6">
        <v>4</v>
      </c>
      <c r="H6" s="6">
        <v>151</v>
      </c>
      <c r="I6" s="6">
        <v>400</v>
      </c>
      <c r="J6" s="6">
        <v>420</v>
      </c>
      <c r="K6" s="6">
        <v>20</v>
      </c>
      <c r="L6" s="6">
        <v>400</v>
      </c>
      <c r="M6" s="6">
        <v>400</v>
      </c>
      <c r="N6" s="6">
        <v>249</v>
      </c>
      <c r="O6" s="6">
        <v>0</v>
      </c>
      <c r="P6" s="6" t="s">
        <v>151</v>
      </c>
      <c r="Q6" s="6"/>
      <c r="R6" s="7">
        <v>5.1</v>
      </c>
      <c r="S6" s="6"/>
    </row>
    <row r="7" ht="15" customHeight="1" spans="1:19" x14ac:dyDescent="0.25">
      <c r="A7" s="6" t="s">
        <v>61</v>
      </c>
      <c r="B7" s="6" t="s">
        <v>108</v>
      </c>
      <c r="C7" s="6" t="s">
        <v>159</v>
      </c>
      <c r="D7" s="6">
        <v>20</v>
      </c>
      <c r="E7" s="6">
        <v>20</v>
      </c>
      <c r="F7" s="6">
        <v>18</v>
      </c>
      <c r="G7" s="6">
        <v>2</v>
      </c>
      <c r="H7" s="6">
        <v>159</v>
      </c>
      <c r="I7" s="6">
        <v>400</v>
      </c>
      <c r="J7" s="6">
        <v>420</v>
      </c>
      <c r="K7" s="6">
        <v>20</v>
      </c>
      <c r="L7" s="6">
        <v>400</v>
      </c>
      <c r="M7" s="6">
        <v>400</v>
      </c>
      <c r="N7" s="6">
        <v>241</v>
      </c>
      <c r="O7" s="6">
        <v>0</v>
      </c>
      <c r="P7" s="6" t="s">
        <v>151</v>
      </c>
      <c r="Q7" s="6"/>
      <c r="R7" s="7">
        <v>5.1</v>
      </c>
      <c r="S7" s="6"/>
    </row>
    <row r="8" ht="15" customHeight="1" spans="1:19" x14ac:dyDescent="0.25">
      <c r="A8" s="6" t="s">
        <v>61</v>
      </c>
      <c r="B8" s="6" t="s">
        <v>112</v>
      </c>
      <c r="C8" s="6" t="s">
        <v>160</v>
      </c>
      <c r="D8" s="6">
        <v>20</v>
      </c>
      <c r="E8" s="6">
        <v>20</v>
      </c>
      <c r="F8" s="6">
        <v>20</v>
      </c>
      <c r="G8" s="6">
        <v>0</v>
      </c>
      <c r="H8" s="6">
        <v>200</v>
      </c>
      <c r="I8" s="6">
        <v>400</v>
      </c>
      <c r="J8" s="6">
        <v>400</v>
      </c>
      <c r="K8" s="6">
        <v>20</v>
      </c>
      <c r="L8" s="6">
        <v>400</v>
      </c>
      <c r="M8" s="6">
        <v>400</v>
      </c>
      <c r="N8" s="6">
        <v>200</v>
      </c>
      <c r="O8" s="6">
        <v>0</v>
      </c>
      <c r="P8" s="6" t="s">
        <v>151</v>
      </c>
      <c r="Q8" s="6"/>
      <c r="R8" s="7">
        <v>4.8</v>
      </c>
      <c r="S8" s="6" t="s">
        <v>161</v>
      </c>
    </row>
    <row r="9" ht="15" customHeight="1" spans="1:19" x14ac:dyDescent="0.25">
      <c r="A9" s="6" t="s">
        <v>61</v>
      </c>
      <c r="B9" s="6" t="s">
        <v>112</v>
      </c>
      <c r="C9" s="6" t="s">
        <v>162</v>
      </c>
      <c r="D9" s="6">
        <v>20</v>
      </c>
      <c r="E9" s="6">
        <v>20</v>
      </c>
      <c r="F9" s="6">
        <v>15</v>
      </c>
      <c r="G9" s="6">
        <v>5</v>
      </c>
      <c r="H9" s="6">
        <v>145</v>
      </c>
      <c r="I9" s="6">
        <v>400</v>
      </c>
      <c r="J9" s="6">
        <v>420</v>
      </c>
      <c r="K9" s="6">
        <v>20</v>
      </c>
      <c r="L9" s="6">
        <v>400</v>
      </c>
      <c r="M9" s="6">
        <v>400</v>
      </c>
      <c r="N9" s="6">
        <v>255</v>
      </c>
      <c r="O9" s="6">
        <v>0</v>
      </c>
      <c r="P9" s="6" t="s">
        <v>151</v>
      </c>
      <c r="Q9" s="6"/>
      <c r="R9" s="7">
        <v>5.1</v>
      </c>
      <c r="S9" s="6"/>
    </row>
    <row r="10" ht="15" customHeight="1" spans="1:19" x14ac:dyDescent="0.25">
      <c r="A10" s="6" t="s">
        <v>61</v>
      </c>
      <c r="B10" s="6" t="s">
        <v>112</v>
      </c>
      <c r="C10" s="6" t="s">
        <v>163</v>
      </c>
      <c r="D10" s="6">
        <v>20</v>
      </c>
      <c r="E10" s="6">
        <v>20</v>
      </c>
      <c r="F10" s="6">
        <v>16</v>
      </c>
      <c r="G10" s="6">
        <v>4</v>
      </c>
      <c r="H10" s="6">
        <v>152</v>
      </c>
      <c r="I10" s="6">
        <v>400</v>
      </c>
      <c r="J10" s="6">
        <v>420</v>
      </c>
      <c r="K10" s="6">
        <v>20</v>
      </c>
      <c r="L10" s="6">
        <v>400</v>
      </c>
      <c r="M10" s="6">
        <v>400</v>
      </c>
      <c r="N10" s="6">
        <v>248</v>
      </c>
      <c r="O10" s="6">
        <v>0</v>
      </c>
      <c r="P10" s="6" t="s">
        <v>151</v>
      </c>
      <c r="Q10" s="6"/>
      <c r="R10" s="7">
        <v>5.1</v>
      </c>
      <c r="S10" s="6"/>
    </row>
    <row r="11" ht="15" customHeight="1" spans="1:19" x14ac:dyDescent="0.25">
      <c r="A11" s="6" t="s">
        <v>61</v>
      </c>
      <c r="B11" s="6" t="s">
        <v>112</v>
      </c>
      <c r="C11" s="6" t="s">
        <v>164</v>
      </c>
      <c r="D11" s="6">
        <v>20</v>
      </c>
      <c r="E11" s="6">
        <v>20</v>
      </c>
      <c r="F11" s="6">
        <v>14</v>
      </c>
      <c r="G11" s="6">
        <v>6</v>
      </c>
      <c r="H11" s="6">
        <v>138</v>
      </c>
      <c r="I11" s="6">
        <v>400</v>
      </c>
      <c r="J11" s="6">
        <v>420</v>
      </c>
      <c r="K11" s="6">
        <v>20</v>
      </c>
      <c r="L11" s="6">
        <v>400</v>
      </c>
      <c r="M11" s="6">
        <v>400</v>
      </c>
      <c r="N11" s="6">
        <v>262</v>
      </c>
      <c r="O11" s="6">
        <v>0</v>
      </c>
      <c r="P11" s="6" t="s">
        <v>151</v>
      </c>
      <c r="Q11" s="6"/>
      <c r="R11" s="7">
        <v>5.2</v>
      </c>
      <c r="S11" s="6"/>
    </row>
    <row r="12" ht="15" customHeight="1" spans="1:19" x14ac:dyDescent="0.25">
      <c r="A12" s="6" t="s">
        <v>61</v>
      </c>
      <c r="B12" s="6" t="s">
        <v>112</v>
      </c>
      <c r="C12" s="6" t="s">
        <v>165</v>
      </c>
      <c r="D12" s="6">
        <v>20</v>
      </c>
      <c r="E12" s="6">
        <v>20</v>
      </c>
      <c r="F12" s="6">
        <v>4</v>
      </c>
      <c r="G12" s="6">
        <v>16</v>
      </c>
      <c r="H12" s="6">
        <v>180</v>
      </c>
      <c r="I12" s="6">
        <v>600</v>
      </c>
      <c r="J12" s="6">
        <v>220</v>
      </c>
      <c r="K12" s="6">
        <v>20</v>
      </c>
      <c r="L12" s="6">
        <v>400</v>
      </c>
      <c r="M12" s="6">
        <v>220</v>
      </c>
      <c r="N12" s="6">
        <v>40</v>
      </c>
      <c r="O12" s="6">
        <v>380</v>
      </c>
      <c r="P12" s="6" t="s">
        <v>166</v>
      </c>
      <c r="Q12" s="6" t="s">
        <v>155</v>
      </c>
      <c r="R12" s="7">
        <v>4</v>
      </c>
      <c r="S12" s="6" t="s">
        <v>167</v>
      </c>
    </row>
    <row r="13" ht="15" customHeight="1" spans="1:19" x14ac:dyDescent="0.25">
      <c r="A13" s="6" t="s">
        <v>61</v>
      </c>
      <c r="B13" s="6" t="s">
        <v>112</v>
      </c>
      <c r="C13" s="6" t="s">
        <v>168</v>
      </c>
      <c r="D13" s="6">
        <v>20</v>
      </c>
      <c r="E13" s="6">
        <v>20</v>
      </c>
      <c r="F13" s="6">
        <v>17</v>
      </c>
      <c r="G13" s="6">
        <v>3</v>
      </c>
      <c r="H13" s="6">
        <v>161</v>
      </c>
      <c r="I13" s="6">
        <v>400</v>
      </c>
      <c r="J13" s="6">
        <v>420</v>
      </c>
      <c r="K13" s="6">
        <v>20</v>
      </c>
      <c r="L13" s="6">
        <v>400</v>
      </c>
      <c r="M13" s="6">
        <v>400</v>
      </c>
      <c r="N13" s="6">
        <v>239</v>
      </c>
      <c r="O13" s="6">
        <v>0</v>
      </c>
      <c r="P13" s="6" t="s">
        <v>151</v>
      </c>
      <c r="Q13" s="6"/>
      <c r="R13" s="7">
        <v>5</v>
      </c>
      <c r="S13" s="6"/>
    </row>
    <row r="14" ht="15" customHeight="1" spans="1:19" x14ac:dyDescent="0.25">
      <c r="A14" s="6" t="s">
        <v>61</v>
      </c>
      <c r="B14" s="6" t="s">
        <v>114</v>
      </c>
      <c r="C14" s="6" t="s">
        <v>169</v>
      </c>
      <c r="D14" s="6">
        <v>20</v>
      </c>
      <c r="E14" s="6">
        <v>20</v>
      </c>
      <c r="F14" s="6">
        <v>16</v>
      </c>
      <c r="G14" s="6">
        <v>4</v>
      </c>
      <c r="H14" s="6">
        <v>136</v>
      </c>
      <c r="I14" s="6">
        <v>400</v>
      </c>
      <c r="J14" s="6">
        <v>420</v>
      </c>
      <c r="K14" s="6">
        <v>20</v>
      </c>
      <c r="L14" s="6">
        <v>400</v>
      </c>
      <c r="M14" s="6">
        <v>400</v>
      </c>
      <c r="N14" s="6">
        <v>264</v>
      </c>
      <c r="O14" s="6">
        <v>0</v>
      </c>
      <c r="P14" s="6" t="s">
        <v>151</v>
      </c>
      <c r="Q14" s="6"/>
      <c r="R14" s="7">
        <v>5.2</v>
      </c>
      <c r="S14" s="6"/>
    </row>
    <row r="15" ht="15" customHeight="1" spans="1:19" x14ac:dyDescent="0.25">
      <c r="A15" s="6" t="s">
        <v>61</v>
      </c>
      <c r="B15" s="6" t="s">
        <v>114</v>
      </c>
      <c r="C15" s="6" t="s">
        <v>170</v>
      </c>
      <c r="D15" s="6">
        <v>20</v>
      </c>
      <c r="E15" s="6">
        <v>20</v>
      </c>
      <c r="F15" s="6">
        <v>15</v>
      </c>
      <c r="G15" s="6">
        <v>5</v>
      </c>
      <c r="H15" s="6">
        <v>129</v>
      </c>
      <c r="I15" s="6">
        <v>400</v>
      </c>
      <c r="J15" s="6">
        <v>420</v>
      </c>
      <c r="K15" s="6">
        <v>20</v>
      </c>
      <c r="L15" s="6">
        <v>400</v>
      </c>
      <c r="M15" s="6">
        <v>400</v>
      </c>
      <c r="N15" s="6">
        <v>271</v>
      </c>
      <c r="O15" s="6">
        <v>0</v>
      </c>
      <c r="P15" s="6" t="s">
        <v>151</v>
      </c>
      <c r="Q15" s="6"/>
      <c r="R15" s="7">
        <v>5.2</v>
      </c>
      <c r="S15" s="6"/>
    </row>
    <row r="16" ht="15" customHeight="1" spans="1:19" x14ac:dyDescent="0.25">
      <c r="A16" s="6" t="s">
        <v>61</v>
      </c>
      <c r="B16" s="6" t="s">
        <v>114</v>
      </c>
      <c r="C16" s="6" t="s">
        <v>171</v>
      </c>
      <c r="D16" s="6">
        <v>20</v>
      </c>
      <c r="E16" s="6">
        <v>20</v>
      </c>
      <c r="F16" s="6">
        <v>14</v>
      </c>
      <c r="G16" s="6">
        <v>6</v>
      </c>
      <c r="H16" s="6">
        <v>123</v>
      </c>
      <c r="I16" s="6">
        <v>400</v>
      </c>
      <c r="J16" s="6">
        <v>420</v>
      </c>
      <c r="K16" s="6">
        <v>20</v>
      </c>
      <c r="L16" s="6">
        <v>400</v>
      </c>
      <c r="M16" s="6">
        <v>400</v>
      </c>
      <c r="N16" s="6">
        <v>277</v>
      </c>
      <c r="O16" s="6">
        <v>0</v>
      </c>
      <c r="P16" s="6" t="s">
        <v>151</v>
      </c>
      <c r="Q16" s="6"/>
      <c r="R16" s="7">
        <v>5.3</v>
      </c>
      <c r="S16" s="6"/>
    </row>
    <row r="17" ht="15" customHeight="1" spans="1:19" x14ac:dyDescent="0.25">
      <c r="A17" s="6" t="s">
        <v>61</v>
      </c>
      <c r="B17" s="6" t="s">
        <v>114</v>
      </c>
      <c r="C17" s="6" t="s">
        <v>172</v>
      </c>
      <c r="D17" s="6">
        <v>20</v>
      </c>
      <c r="E17" s="6">
        <v>20</v>
      </c>
      <c r="F17" s="6">
        <v>15</v>
      </c>
      <c r="G17" s="6">
        <v>5</v>
      </c>
      <c r="H17" s="6">
        <v>138</v>
      </c>
      <c r="I17" s="6">
        <v>420</v>
      </c>
      <c r="J17" s="6">
        <v>380</v>
      </c>
      <c r="K17" s="6">
        <v>20</v>
      </c>
      <c r="L17" s="6">
        <v>400</v>
      </c>
      <c r="M17" s="6">
        <v>380</v>
      </c>
      <c r="N17" s="6">
        <v>242</v>
      </c>
      <c r="O17" s="6">
        <v>40</v>
      </c>
      <c r="P17" s="6" t="s">
        <v>166</v>
      </c>
      <c r="Q17" s="6" t="s">
        <v>155</v>
      </c>
      <c r="R17" s="7">
        <v>5.1</v>
      </c>
      <c r="S17" s="6" t="s">
        <v>173</v>
      </c>
    </row>
    <row r="18" ht="15" customHeight="1" spans="1:19" x14ac:dyDescent="0.25">
      <c r="A18" s="6" t="s">
        <v>61</v>
      </c>
      <c r="B18" s="6" t="s">
        <v>114</v>
      </c>
      <c r="C18" s="6" t="s">
        <v>174</v>
      </c>
      <c r="D18" s="6">
        <v>20</v>
      </c>
      <c r="E18" s="6">
        <v>20</v>
      </c>
      <c r="F18" s="6">
        <v>15</v>
      </c>
      <c r="G18" s="6">
        <v>5</v>
      </c>
      <c r="H18" s="6">
        <v>137</v>
      </c>
      <c r="I18" s="6">
        <v>420</v>
      </c>
      <c r="J18" s="6">
        <v>390</v>
      </c>
      <c r="K18" s="6">
        <v>20</v>
      </c>
      <c r="L18" s="6">
        <v>400</v>
      </c>
      <c r="M18" s="6">
        <v>390</v>
      </c>
      <c r="N18" s="6">
        <v>253</v>
      </c>
      <c r="O18" s="6">
        <v>30</v>
      </c>
      <c r="P18" s="6" t="s">
        <v>166</v>
      </c>
      <c r="Q18" s="6" t="s">
        <v>155</v>
      </c>
      <c r="R18" s="7">
        <v>5.1</v>
      </c>
      <c r="S18" s="6" t="s">
        <v>175</v>
      </c>
    </row>
    <row r="19" ht="15" customHeight="1" spans="1:19" x14ac:dyDescent="0.25">
      <c r="A19" s="6" t="s">
        <v>61</v>
      </c>
      <c r="B19" s="6" t="s">
        <v>114</v>
      </c>
      <c r="C19" s="6" t="s">
        <v>176</v>
      </c>
      <c r="D19" s="6">
        <v>20</v>
      </c>
      <c r="E19" s="6">
        <v>20</v>
      </c>
      <c r="F19" s="6">
        <v>15</v>
      </c>
      <c r="G19" s="6">
        <v>5</v>
      </c>
      <c r="H19" s="6">
        <v>138</v>
      </c>
      <c r="I19" s="6">
        <v>400</v>
      </c>
      <c r="J19" s="6">
        <v>420</v>
      </c>
      <c r="K19" s="6">
        <v>20</v>
      </c>
      <c r="L19" s="6">
        <v>400</v>
      </c>
      <c r="M19" s="6">
        <v>400</v>
      </c>
      <c r="N19" s="6">
        <v>262</v>
      </c>
      <c r="O19" s="6">
        <v>0</v>
      </c>
      <c r="P19" s="6" t="s">
        <v>151</v>
      </c>
      <c r="Q19" s="6"/>
      <c r="R19" s="7">
        <v>5.2</v>
      </c>
      <c r="S19" s="6"/>
    </row>
    <row r="20" ht="15" customHeight="1" spans="1:19" x14ac:dyDescent="0.25">
      <c r="A20" s="6" t="s">
        <v>61</v>
      </c>
      <c r="B20" s="6" t="s">
        <v>116</v>
      </c>
      <c r="C20" s="6" t="s">
        <v>177</v>
      </c>
      <c r="D20" s="6">
        <v>20</v>
      </c>
      <c r="E20" s="6">
        <v>20</v>
      </c>
      <c r="F20" s="6">
        <v>16</v>
      </c>
      <c r="G20" s="6">
        <v>4</v>
      </c>
      <c r="H20" s="6">
        <v>720</v>
      </c>
      <c r="I20" s="6">
        <v>900</v>
      </c>
      <c r="J20" s="6">
        <v>830</v>
      </c>
      <c r="K20" s="6">
        <v>60</v>
      </c>
      <c r="L20" s="8">
        <v>1200</v>
      </c>
      <c r="M20" s="6">
        <v>830</v>
      </c>
      <c r="N20" s="6">
        <v>110</v>
      </c>
      <c r="O20" s="6">
        <v>70</v>
      </c>
      <c r="P20" s="6" t="s">
        <v>166</v>
      </c>
      <c r="Q20" s="6" t="s">
        <v>178</v>
      </c>
      <c r="R20" s="7">
        <v>3.8</v>
      </c>
      <c r="S20" s="6" t="s">
        <v>179</v>
      </c>
    </row>
    <row r="21" ht="15" customHeight="1" spans="1:19" x14ac:dyDescent="0.25">
      <c r="A21" s="6" t="s">
        <v>61</v>
      </c>
      <c r="B21" s="6" t="s">
        <v>116</v>
      </c>
      <c r="C21" s="6" t="s">
        <v>180</v>
      </c>
      <c r="D21" s="6">
        <v>20</v>
      </c>
      <c r="E21" s="6">
        <v>20</v>
      </c>
      <c r="F21" s="6">
        <v>14</v>
      </c>
      <c r="G21" s="6">
        <v>6</v>
      </c>
      <c r="H21" s="6">
        <v>660</v>
      </c>
      <c r="I21" s="6">
        <v>900</v>
      </c>
      <c r="J21" s="6">
        <v>810</v>
      </c>
      <c r="K21" s="6">
        <v>60</v>
      </c>
      <c r="L21" s="8">
        <v>1200</v>
      </c>
      <c r="M21" s="6">
        <v>810</v>
      </c>
      <c r="N21" s="6">
        <v>150</v>
      </c>
      <c r="O21" s="6">
        <v>90</v>
      </c>
      <c r="P21" s="6" t="s">
        <v>166</v>
      </c>
      <c r="Q21" s="6" t="s">
        <v>178</v>
      </c>
      <c r="R21" s="7">
        <v>4</v>
      </c>
      <c r="S21" s="6" t="s">
        <v>179</v>
      </c>
    </row>
    <row r="22" ht="15" customHeight="1" spans="1:19" x14ac:dyDescent="0.25">
      <c r="A22" s="6" t="s">
        <v>61</v>
      </c>
      <c r="B22" s="6" t="s">
        <v>116</v>
      </c>
      <c r="C22" s="6" t="s">
        <v>181</v>
      </c>
      <c r="D22" s="6">
        <v>20</v>
      </c>
      <c r="E22" s="6">
        <v>20</v>
      </c>
      <c r="F22" s="6">
        <v>15</v>
      </c>
      <c r="G22" s="6">
        <v>5</v>
      </c>
      <c r="H22" s="6">
        <v>690</v>
      </c>
      <c r="I22" s="6">
        <v>900</v>
      </c>
      <c r="J22" s="6">
        <v>820</v>
      </c>
      <c r="K22" s="6">
        <v>60</v>
      </c>
      <c r="L22" s="8">
        <v>1200</v>
      </c>
      <c r="M22" s="6">
        <v>820</v>
      </c>
      <c r="N22" s="6">
        <v>130</v>
      </c>
      <c r="O22" s="6">
        <v>80</v>
      </c>
      <c r="P22" s="6" t="s">
        <v>166</v>
      </c>
      <c r="Q22" s="6" t="s">
        <v>178</v>
      </c>
      <c r="R22" s="7">
        <v>3.9</v>
      </c>
      <c r="S22" s="6" t="s">
        <v>179</v>
      </c>
    </row>
    <row r="23" ht="15" customHeight="1" spans="1:19" x14ac:dyDescent="0.25">
      <c r="A23" s="6" t="s">
        <v>61</v>
      </c>
      <c r="B23" s="6" t="s">
        <v>116</v>
      </c>
      <c r="C23" s="6" t="s">
        <v>182</v>
      </c>
      <c r="D23" s="6">
        <v>20</v>
      </c>
      <c r="E23" s="6">
        <v>20</v>
      </c>
      <c r="F23" s="6">
        <v>13</v>
      </c>
      <c r="G23" s="6">
        <v>7</v>
      </c>
      <c r="H23" s="6">
        <v>630</v>
      </c>
      <c r="I23" s="6">
        <v>900</v>
      </c>
      <c r="J23" s="6">
        <v>800</v>
      </c>
      <c r="K23" s="6">
        <v>60</v>
      </c>
      <c r="L23" s="8">
        <v>1200</v>
      </c>
      <c r="M23" s="6">
        <v>800</v>
      </c>
      <c r="N23" s="6">
        <v>170</v>
      </c>
      <c r="O23" s="6">
        <v>100</v>
      </c>
      <c r="P23" s="6" t="s">
        <v>166</v>
      </c>
      <c r="Q23" s="6" t="s">
        <v>178</v>
      </c>
      <c r="R23" s="7">
        <v>4</v>
      </c>
      <c r="S23" s="6" t="s">
        <v>179</v>
      </c>
    </row>
    <row r="24" ht="15" customHeight="1" spans="1:19" x14ac:dyDescent="0.25">
      <c r="A24" s="6" t="s">
        <v>61</v>
      </c>
      <c r="B24" s="6" t="s">
        <v>116</v>
      </c>
      <c r="C24" s="6" t="s">
        <v>183</v>
      </c>
      <c r="D24" s="6">
        <v>20</v>
      </c>
      <c r="E24" s="6">
        <v>20</v>
      </c>
      <c r="F24" s="6">
        <v>14</v>
      </c>
      <c r="G24" s="6">
        <v>6</v>
      </c>
      <c r="H24" s="6">
        <v>670</v>
      </c>
      <c r="I24" s="6">
        <v>900</v>
      </c>
      <c r="J24" s="6">
        <v>820</v>
      </c>
      <c r="K24" s="6">
        <v>60</v>
      </c>
      <c r="L24" s="8">
        <v>1200</v>
      </c>
      <c r="M24" s="6">
        <v>820</v>
      </c>
      <c r="N24" s="6">
        <v>150</v>
      </c>
      <c r="O24" s="6">
        <v>80</v>
      </c>
      <c r="P24" s="6" t="s">
        <v>166</v>
      </c>
      <c r="Q24" s="6" t="s">
        <v>178</v>
      </c>
      <c r="R24" s="7">
        <v>4</v>
      </c>
      <c r="S24" s="6" t="s">
        <v>179</v>
      </c>
    </row>
    <row r="25" ht="15" customHeight="1" spans="1:19" x14ac:dyDescent="0.25">
      <c r="A25" s="6" t="s">
        <v>61</v>
      </c>
      <c r="B25" s="6" t="s">
        <v>116</v>
      </c>
      <c r="C25" s="6" t="s">
        <v>184</v>
      </c>
      <c r="D25" s="6">
        <v>20</v>
      </c>
      <c r="E25" s="6">
        <v>20</v>
      </c>
      <c r="F25" s="6">
        <v>14</v>
      </c>
      <c r="G25" s="6">
        <v>6</v>
      </c>
      <c r="H25" s="6">
        <v>710</v>
      </c>
      <c r="I25" s="6">
        <v>900</v>
      </c>
      <c r="J25" s="6">
        <v>840</v>
      </c>
      <c r="K25" s="6">
        <v>60</v>
      </c>
      <c r="L25" s="8">
        <v>1200</v>
      </c>
      <c r="M25" s="6">
        <v>840</v>
      </c>
      <c r="N25" s="6">
        <v>130</v>
      </c>
      <c r="O25" s="6">
        <v>60</v>
      </c>
      <c r="P25" s="6" t="s">
        <v>166</v>
      </c>
      <c r="Q25" s="6" t="s">
        <v>178</v>
      </c>
      <c r="R25" s="7">
        <v>3.9</v>
      </c>
      <c r="S25" s="6" t="s">
        <v>179</v>
      </c>
    </row>
    <row r="27" ht="15" customHeight="1" spans="1:1" x14ac:dyDescent="0.25">
      <c r="A27" s="9" t="s">
        <v>185</v>
      </c>
    </row>
    <row r="28" ht="15" customHeight="1" spans="1:1" x14ac:dyDescent="0.25">
      <c r="A28" s="9" t="s">
        <v>186</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85"/>
  <sheetViews>
    <sheetView workbookViewId="0" zoomScale="100" zoomScaleNormal="100" view="normal">
      <pane ySplit="1" topLeftCell="A2" activePane="bottomLeft" state="frozen"/>
      <selection pane="bottomLeft" activeCell="A1" sqref="A1"/>
    </sheetView>
  </sheetViews>
  <sheetFormatPr defaultRowHeight="15" outlineLevelRow="0" outlineLevelCol="0" x14ac:dyDescent="0" defaultColWidth="8.6796875"/>
  <cols>
    <col min="1" max="1" width="16" customWidth="1"/>
    <col min="2" max="2" width="11" customWidth="1"/>
    <col min="3" max="3" width="12" customWidth="1"/>
    <col min="4" max="4" width="8" customWidth="1"/>
    <col min="5" max="5" width="15" customWidth="1"/>
    <col min="6" max="8" width="8" customWidth="1"/>
    <col min="11" max="12" width="10" customWidth="1"/>
    <col min="13" max="13" width="13" customWidth="1"/>
    <col min="14" max="14" width="10" customWidth="1"/>
    <col min="15" max="16" width="11" customWidth="1"/>
    <col min="17" max="17" width="14" customWidth="1"/>
    <col min="18" max="18" width="16" customWidth="1"/>
    <col min="19" max="19" width="42" customWidth="1"/>
  </cols>
  <sheetData>
    <row r="1" ht="30" customHeight="1" spans="1:19" x14ac:dyDescent="0.25">
      <c r="A1" s="5" t="s">
        <v>187</v>
      </c>
      <c r="B1" s="5" t="s">
        <v>42</v>
      </c>
      <c r="C1" s="5" t="s">
        <v>99</v>
      </c>
      <c r="D1" s="5" t="s">
        <v>139</v>
      </c>
      <c r="E1" s="5" t="s">
        <v>188</v>
      </c>
      <c r="F1" s="5" t="s">
        <v>189</v>
      </c>
      <c r="G1" s="5" t="s">
        <v>190</v>
      </c>
      <c r="H1" s="5" t="s">
        <v>191</v>
      </c>
      <c r="I1" s="5" t="s">
        <v>192</v>
      </c>
      <c r="J1" s="5" t="s">
        <v>193</v>
      </c>
      <c r="K1" s="5" t="s">
        <v>194</v>
      </c>
      <c r="L1" s="5" t="s">
        <v>195</v>
      </c>
      <c r="M1" s="5" t="s">
        <v>196</v>
      </c>
      <c r="N1" s="5" t="s">
        <v>104</v>
      </c>
      <c r="O1" s="5" t="s">
        <v>50</v>
      </c>
      <c r="P1" s="5" t="s">
        <v>197</v>
      </c>
      <c r="Q1" s="5" t="s">
        <v>198</v>
      </c>
      <c r="R1" s="5" t="s">
        <v>199</v>
      </c>
      <c r="S1" s="5" t="s">
        <v>107</v>
      </c>
    </row>
    <row r="2" ht="15" customHeight="1" spans="1:19" x14ac:dyDescent="0.25">
      <c r="A2" s="6" t="s">
        <v>200</v>
      </c>
      <c r="B2" s="6" t="s">
        <v>61</v>
      </c>
      <c r="C2" s="6" t="s">
        <v>108</v>
      </c>
      <c r="D2" s="6" t="s">
        <v>150</v>
      </c>
      <c r="E2" s="6">
        <v>1</v>
      </c>
      <c r="F2" s="7">
        <v>2</v>
      </c>
      <c r="G2" s="7">
        <v>0</v>
      </c>
      <c r="H2" s="7">
        <v>3</v>
      </c>
      <c r="I2" s="7">
        <v>0.6</v>
      </c>
      <c r="J2" s="7">
        <v>1.2</v>
      </c>
      <c r="K2" s="7">
        <v>2</v>
      </c>
      <c r="L2" s="6">
        <v>42</v>
      </c>
      <c r="M2" s="6">
        <v>20</v>
      </c>
      <c r="N2" s="7">
        <v>8.6</v>
      </c>
      <c r="O2" s="6" t="s">
        <v>201</v>
      </c>
      <c r="P2" s="6" t="s">
        <v>202</v>
      </c>
      <c r="Q2" s="6" t="s">
        <v>203</v>
      </c>
      <c r="R2" s="6" t="s">
        <v>204</v>
      </c>
      <c r="S2" s="6"/>
    </row>
    <row r="3" ht="15" customHeight="1" spans="1:19" x14ac:dyDescent="0.25">
      <c r="A3" s="6" t="s">
        <v>205</v>
      </c>
      <c r="B3" s="6" t="s">
        <v>61</v>
      </c>
      <c r="C3" s="6" t="s">
        <v>108</v>
      </c>
      <c r="D3" s="6" t="s">
        <v>150</v>
      </c>
      <c r="E3" s="6">
        <v>2</v>
      </c>
      <c r="F3" s="7">
        <v>2.6</v>
      </c>
      <c r="G3" s="7">
        <v>0</v>
      </c>
      <c r="H3" s="7">
        <v>3</v>
      </c>
      <c r="I3" s="7">
        <v>0.6</v>
      </c>
      <c r="J3" s="7">
        <v>1.2</v>
      </c>
      <c r="K3" s="7">
        <v>2</v>
      </c>
      <c r="L3" s="6">
        <v>42</v>
      </c>
      <c r="M3" s="6">
        <v>20</v>
      </c>
      <c r="N3" s="7">
        <v>8.6</v>
      </c>
      <c r="O3" s="6" t="s">
        <v>201</v>
      </c>
      <c r="P3" s="6" t="s">
        <v>202</v>
      </c>
      <c r="Q3" s="6" t="s">
        <v>203</v>
      </c>
      <c r="R3" s="6" t="s">
        <v>204</v>
      </c>
      <c r="S3" s="6"/>
    </row>
    <row r="4" ht="15" customHeight="1" spans="1:19" x14ac:dyDescent="0.25">
      <c r="A4" s="6" t="s">
        <v>206</v>
      </c>
      <c r="B4" s="6" t="s">
        <v>61</v>
      </c>
      <c r="C4" s="6" t="s">
        <v>108</v>
      </c>
      <c r="D4" s="6" t="s">
        <v>150</v>
      </c>
      <c r="E4" s="6">
        <v>3</v>
      </c>
      <c r="F4" s="7">
        <v>3.2</v>
      </c>
      <c r="G4" s="7">
        <v>0</v>
      </c>
      <c r="H4" s="7">
        <v>3</v>
      </c>
      <c r="I4" s="7">
        <v>0.6</v>
      </c>
      <c r="J4" s="7">
        <v>1.2</v>
      </c>
      <c r="K4" s="7">
        <v>2</v>
      </c>
      <c r="L4" s="6">
        <v>42</v>
      </c>
      <c r="M4" s="6">
        <v>20</v>
      </c>
      <c r="N4" s="7">
        <v>8.6</v>
      </c>
      <c r="O4" s="6" t="s">
        <v>201</v>
      </c>
      <c r="P4" s="6" t="s">
        <v>202</v>
      </c>
      <c r="Q4" s="6" t="s">
        <v>203</v>
      </c>
      <c r="R4" s="6" t="s">
        <v>204</v>
      </c>
      <c r="S4" s="6"/>
    </row>
    <row r="5" ht="15" customHeight="1" spans="1:19" x14ac:dyDescent="0.25">
      <c r="A5" s="6" t="s">
        <v>207</v>
      </c>
      <c r="B5" s="6" t="s">
        <v>61</v>
      </c>
      <c r="C5" s="6" t="s">
        <v>108</v>
      </c>
      <c r="D5" s="6" t="s">
        <v>150</v>
      </c>
      <c r="E5" s="6">
        <v>4</v>
      </c>
      <c r="F5" s="7">
        <v>3.8</v>
      </c>
      <c r="G5" s="7">
        <v>0</v>
      </c>
      <c r="H5" s="7">
        <v>3</v>
      </c>
      <c r="I5" s="7">
        <v>0.6</v>
      </c>
      <c r="J5" s="7">
        <v>1.2</v>
      </c>
      <c r="K5" s="7">
        <v>2</v>
      </c>
      <c r="L5" s="6">
        <v>42</v>
      </c>
      <c r="M5" s="6">
        <v>20</v>
      </c>
      <c r="N5" s="7">
        <v>8.6</v>
      </c>
      <c r="O5" s="6" t="s">
        <v>201</v>
      </c>
      <c r="P5" s="6" t="s">
        <v>202</v>
      </c>
      <c r="Q5" s="6" t="s">
        <v>203</v>
      </c>
      <c r="R5" s="6" t="s">
        <v>204</v>
      </c>
      <c r="S5" s="6"/>
    </row>
    <row r="6" ht="15" customHeight="1" spans="1:19" x14ac:dyDescent="0.25">
      <c r="A6" s="6" t="s">
        <v>208</v>
      </c>
      <c r="B6" s="6" t="s">
        <v>61</v>
      </c>
      <c r="C6" s="6" t="s">
        <v>108</v>
      </c>
      <c r="D6" s="6" t="s">
        <v>150</v>
      </c>
      <c r="E6" s="6">
        <v>5</v>
      </c>
      <c r="F6" s="7">
        <v>4.4</v>
      </c>
      <c r="G6" s="7">
        <v>0</v>
      </c>
      <c r="H6" s="7">
        <v>3</v>
      </c>
      <c r="I6" s="7">
        <v>0.6</v>
      </c>
      <c r="J6" s="7">
        <v>1.2</v>
      </c>
      <c r="K6" s="7">
        <v>2</v>
      </c>
      <c r="L6" s="6">
        <v>42</v>
      </c>
      <c r="M6" s="6">
        <v>20</v>
      </c>
      <c r="N6" s="7">
        <v>8.6</v>
      </c>
      <c r="O6" s="6" t="s">
        <v>201</v>
      </c>
      <c r="P6" s="6" t="s">
        <v>202</v>
      </c>
      <c r="Q6" s="6" t="s">
        <v>203</v>
      </c>
      <c r="R6" s="6" t="s">
        <v>204</v>
      </c>
      <c r="S6" s="6"/>
    </row>
    <row r="7" ht="15" customHeight="1" spans="1:19" x14ac:dyDescent="0.25">
      <c r="A7" s="6" t="s">
        <v>209</v>
      </c>
      <c r="B7" s="6" t="s">
        <v>61</v>
      </c>
      <c r="C7" s="6" t="s">
        <v>108</v>
      </c>
      <c r="D7" s="6" t="s">
        <v>150</v>
      </c>
      <c r="E7" s="6">
        <v>6</v>
      </c>
      <c r="F7" s="7">
        <v>5</v>
      </c>
      <c r="G7" s="7">
        <v>0</v>
      </c>
      <c r="H7" s="7">
        <v>3</v>
      </c>
      <c r="I7" s="7">
        <v>0.6</v>
      </c>
      <c r="J7" s="7">
        <v>1.2</v>
      </c>
      <c r="K7" s="7">
        <v>2</v>
      </c>
      <c r="L7" s="6">
        <v>42</v>
      </c>
      <c r="M7" s="6">
        <v>20</v>
      </c>
      <c r="N7" s="7">
        <v>8.6</v>
      </c>
      <c r="O7" s="6" t="s">
        <v>201</v>
      </c>
      <c r="P7" s="6" t="s">
        <v>202</v>
      </c>
      <c r="Q7" s="6" t="s">
        <v>203</v>
      </c>
      <c r="R7" s="6" t="s">
        <v>204</v>
      </c>
      <c r="S7" s="6"/>
    </row>
    <row r="8" ht="15" customHeight="1" spans="1:19" x14ac:dyDescent="0.25">
      <c r="A8" s="6" t="s">
        <v>210</v>
      </c>
      <c r="B8" s="6" t="s">
        <v>61</v>
      </c>
      <c r="C8" s="6" t="s">
        <v>108</v>
      </c>
      <c r="D8" s="6" t="s">
        <v>150</v>
      </c>
      <c r="E8" s="6">
        <v>7</v>
      </c>
      <c r="F8" s="7">
        <v>5.6</v>
      </c>
      <c r="G8" s="7">
        <v>0</v>
      </c>
      <c r="H8" s="7">
        <v>3</v>
      </c>
      <c r="I8" s="7">
        <v>0.6</v>
      </c>
      <c r="J8" s="7">
        <v>1.2</v>
      </c>
      <c r="K8" s="7">
        <v>2</v>
      </c>
      <c r="L8" s="6">
        <v>42</v>
      </c>
      <c r="M8" s="6">
        <v>20</v>
      </c>
      <c r="N8" s="7">
        <v>8.6</v>
      </c>
      <c r="O8" s="6" t="s">
        <v>201</v>
      </c>
      <c r="P8" s="6" t="s">
        <v>202</v>
      </c>
      <c r="Q8" s="6" t="s">
        <v>203</v>
      </c>
      <c r="R8" s="6" t="s">
        <v>204</v>
      </c>
      <c r="S8" s="6"/>
    </row>
    <row r="9" ht="15" customHeight="1" spans="1:19" x14ac:dyDescent="0.25">
      <c r="A9" s="6" t="s">
        <v>211</v>
      </c>
      <c r="B9" s="6" t="s">
        <v>61</v>
      </c>
      <c r="C9" s="6" t="s">
        <v>108</v>
      </c>
      <c r="D9" s="6" t="s">
        <v>150</v>
      </c>
      <c r="E9" s="6">
        <v>8</v>
      </c>
      <c r="F9" s="7">
        <v>6.2</v>
      </c>
      <c r="G9" s="7">
        <v>0</v>
      </c>
      <c r="H9" s="7">
        <v>3</v>
      </c>
      <c r="I9" s="7">
        <v>0.6</v>
      </c>
      <c r="J9" s="7">
        <v>1.2</v>
      </c>
      <c r="K9" s="7">
        <v>2</v>
      </c>
      <c r="L9" s="6">
        <v>42</v>
      </c>
      <c r="M9" s="6">
        <v>20</v>
      </c>
      <c r="N9" s="7">
        <v>8.6</v>
      </c>
      <c r="O9" s="6" t="s">
        <v>201</v>
      </c>
      <c r="P9" s="6" t="s">
        <v>202</v>
      </c>
      <c r="Q9" s="6" t="s">
        <v>203</v>
      </c>
      <c r="R9" s="6" t="s">
        <v>204</v>
      </c>
      <c r="S9" s="6"/>
    </row>
    <row r="10" ht="15" customHeight="1" spans="1:19" x14ac:dyDescent="0.25">
      <c r="A10" s="6" t="s">
        <v>212</v>
      </c>
      <c r="B10" s="6" t="s">
        <v>61</v>
      </c>
      <c r="C10" s="6" t="s">
        <v>108</v>
      </c>
      <c r="D10" s="6" t="s">
        <v>150</v>
      </c>
      <c r="E10" s="6">
        <v>9</v>
      </c>
      <c r="F10" s="7">
        <v>6.8</v>
      </c>
      <c r="G10" s="7">
        <v>0</v>
      </c>
      <c r="H10" s="7">
        <v>3</v>
      </c>
      <c r="I10" s="7">
        <v>0.6</v>
      </c>
      <c r="J10" s="7">
        <v>1.2</v>
      </c>
      <c r="K10" s="7">
        <v>2</v>
      </c>
      <c r="L10" s="6">
        <v>42</v>
      </c>
      <c r="M10" s="6">
        <v>20</v>
      </c>
      <c r="N10" s="7">
        <v>8.6</v>
      </c>
      <c r="O10" s="6" t="s">
        <v>201</v>
      </c>
      <c r="P10" s="6" t="s">
        <v>202</v>
      </c>
      <c r="Q10" s="6" t="s">
        <v>203</v>
      </c>
      <c r="R10" s="6" t="s">
        <v>204</v>
      </c>
      <c r="S10" s="6"/>
    </row>
    <row r="11" ht="15" customHeight="1" spans="1:19" x14ac:dyDescent="0.25">
      <c r="A11" s="6" t="s">
        <v>213</v>
      </c>
      <c r="B11" s="6" t="s">
        <v>61</v>
      </c>
      <c r="C11" s="6" t="s">
        <v>108</v>
      </c>
      <c r="D11" s="6" t="s">
        <v>150</v>
      </c>
      <c r="E11" s="6">
        <v>10</v>
      </c>
      <c r="F11" s="7">
        <v>7.4</v>
      </c>
      <c r="G11" s="7">
        <v>0</v>
      </c>
      <c r="H11" s="7">
        <v>3</v>
      </c>
      <c r="I11" s="7">
        <v>0.6</v>
      </c>
      <c r="J11" s="7">
        <v>1.2</v>
      </c>
      <c r="K11" s="7">
        <v>2</v>
      </c>
      <c r="L11" s="6">
        <v>42</v>
      </c>
      <c r="M11" s="6">
        <v>20</v>
      </c>
      <c r="N11" s="7">
        <v>8.6</v>
      </c>
      <c r="O11" s="6" t="s">
        <v>201</v>
      </c>
      <c r="P11" s="6" t="s">
        <v>202</v>
      </c>
      <c r="Q11" s="6" t="s">
        <v>203</v>
      </c>
      <c r="R11" s="6" t="s">
        <v>204</v>
      </c>
      <c r="S11" s="6"/>
    </row>
    <row r="12" ht="15" customHeight="1" spans="1:19" x14ac:dyDescent="0.25">
      <c r="A12" s="6" t="s">
        <v>214</v>
      </c>
      <c r="B12" s="6" t="s">
        <v>61</v>
      </c>
      <c r="C12" s="6" t="s">
        <v>108</v>
      </c>
      <c r="D12" s="6" t="s">
        <v>150</v>
      </c>
      <c r="E12" s="6">
        <v>11</v>
      </c>
      <c r="F12" s="7">
        <v>8</v>
      </c>
      <c r="G12" s="7">
        <v>0</v>
      </c>
      <c r="H12" s="7">
        <v>3</v>
      </c>
      <c r="I12" s="7">
        <v>0.6</v>
      </c>
      <c r="J12" s="7">
        <v>1.2</v>
      </c>
      <c r="K12" s="7">
        <v>2</v>
      </c>
      <c r="L12" s="6">
        <v>42</v>
      </c>
      <c r="M12" s="6">
        <v>20</v>
      </c>
      <c r="N12" s="7">
        <v>8.6</v>
      </c>
      <c r="O12" s="6" t="s">
        <v>201</v>
      </c>
      <c r="P12" s="6" t="s">
        <v>202</v>
      </c>
      <c r="Q12" s="6" t="s">
        <v>215</v>
      </c>
      <c r="R12" s="6" t="s">
        <v>216</v>
      </c>
      <c r="S12" s="6"/>
    </row>
    <row r="13" ht="15" customHeight="1" spans="1:19" x14ac:dyDescent="0.25">
      <c r="A13" s="6" t="s">
        <v>217</v>
      </c>
      <c r="B13" s="6" t="s">
        <v>61</v>
      </c>
      <c r="C13" s="6" t="s">
        <v>108</v>
      </c>
      <c r="D13" s="6" t="s">
        <v>150</v>
      </c>
      <c r="E13" s="6">
        <v>12</v>
      </c>
      <c r="F13" s="7">
        <v>8.6</v>
      </c>
      <c r="G13" s="7">
        <v>0</v>
      </c>
      <c r="H13" s="7">
        <v>3</v>
      </c>
      <c r="I13" s="7">
        <v>0.6</v>
      </c>
      <c r="J13" s="7">
        <v>1.2</v>
      </c>
      <c r="K13" s="7">
        <v>2</v>
      </c>
      <c r="L13" s="6">
        <v>42</v>
      </c>
      <c r="M13" s="6">
        <v>20</v>
      </c>
      <c r="N13" s="7">
        <v>8.6</v>
      </c>
      <c r="O13" s="6" t="s">
        <v>201</v>
      </c>
      <c r="P13" s="6" t="s">
        <v>202</v>
      </c>
      <c r="Q13" s="6" t="s">
        <v>215</v>
      </c>
      <c r="R13" s="6" t="s">
        <v>216</v>
      </c>
      <c r="S13" s="6"/>
    </row>
    <row r="14" ht="15" customHeight="1" spans="1:19" x14ac:dyDescent="0.25">
      <c r="A14" s="6" t="s">
        <v>218</v>
      </c>
      <c r="B14" s="6" t="s">
        <v>61</v>
      </c>
      <c r="C14" s="6" t="s">
        <v>108</v>
      </c>
      <c r="D14" s="6" t="s">
        <v>150</v>
      </c>
      <c r="E14" s="6">
        <v>13</v>
      </c>
      <c r="F14" s="7">
        <v>9.2</v>
      </c>
      <c r="G14" s="7">
        <v>0</v>
      </c>
      <c r="H14" s="7">
        <v>3</v>
      </c>
      <c r="I14" s="7">
        <v>0.6</v>
      </c>
      <c r="J14" s="7">
        <v>1.2</v>
      </c>
      <c r="K14" s="7">
        <v>2</v>
      </c>
      <c r="L14" s="6">
        <v>42</v>
      </c>
      <c r="M14" s="6">
        <v>20</v>
      </c>
      <c r="N14" s="7">
        <v>8.6</v>
      </c>
      <c r="O14" s="6" t="s">
        <v>201</v>
      </c>
      <c r="P14" s="6" t="s">
        <v>202</v>
      </c>
      <c r="Q14" s="6" t="s">
        <v>215</v>
      </c>
      <c r="R14" s="6" t="s">
        <v>216</v>
      </c>
      <c r="S14" s="6"/>
    </row>
    <row r="15" ht="15" customHeight="1" spans="1:19" x14ac:dyDescent="0.25">
      <c r="A15" s="6" t="s">
        <v>219</v>
      </c>
      <c r="B15" s="6" t="s">
        <v>61</v>
      </c>
      <c r="C15" s="6" t="s">
        <v>108</v>
      </c>
      <c r="D15" s="6" t="s">
        <v>150</v>
      </c>
      <c r="E15" s="6">
        <v>14</v>
      </c>
      <c r="F15" s="7">
        <v>9.8</v>
      </c>
      <c r="G15" s="7">
        <v>0</v>
      </c>
      <c r="H15" s="7">
        <v>3</v>
      </c>
      <c r="I15" s="7">
        <v>0.6</v>
      </c>
      <c r="J15" s="7">
        <v>1.2</v>
      </c>
      <c r="K15" s="7">
        <v>2</v>
      </c>
      <c r="L15" s="6">
        <v>42</v>
      </c>
      <c r="M15" s="6">
        <v>20</v>
      </c>
      <c r="N15" s="7">
        <v>8.6</v>
      </c>
      <c r="O15" s="6" t="s">
        <v>201</v>
      </c>
      <c r="P15" s="6" t="s">
        <v>202</v>
      </c>
      <c r="Q15" s="6" t="s">
        <v>215</v>
      </c>
      <c r="R15" s="6" t="s">
        <v>216</v>
      </c>
      <c r="S15" s="6"/>
    </row>
    <row r="16" ht="15" customHeight="1" spans="1:19" x14ac:dyDescent="0.25">
      <c r="A16" s="6" t="s">
        <v>220</v>
      </c>
      <c r="B16" s="6" t="s">
        <v>61</v>
      </c>
      <c r="C16" s="6" t="s">
        <v>108</v>
      </c>
      <c r="D16" s="6" t="s">
        <v>150</v>
      </c>
      <c r="E16" s="6">
        <v>15</v>
      </c>
      <c r="F16" s="7">
        <v>10.4</v>
      </c>
      <c r="G16" s="7">
        <v>0</v>
      </c>
      <c r="H16" s="7">
        <v>3</v>
      </c>
      <c r="I16" s="7">
        <v>0.6</v>
      </c>
      <c r="J16" s="7">
        <v>1.2</v>
      </c>
      <c r="K16" s="7">
        <v>2</v>
      </c>
      <c r="L16" s="6">
        <v>42</v>
      </c>
      <c r="M16" s="6">
        <v>20</v>
      </c>
      <c r="N16" s="7">
        <v>8.6</v>
      </c>
      <c r="O16" s="6" t="s">
        <v>201</v>
      </c>
      <c r="P16" s="6" t="s">
        <v>202</v>
      </c>
      <c r="Q16" s="6" t="s">
        <v>215</v>
      </c>
      <c r="R16" s="6" t="s">
        <v>216</v>
      </c>
      <c r="S16" s="6"/>
    </row>
    <row r="17" ht="15" customHeight="1" spans="1:19" x14ac:dyDescent="0.25">
      <c r="A17" s="6" t="s">
        <v>221</v>
      </c>
      <c r="B17" s="6" t="s">
        <v>61</v>
      </c>
      <c r="C17" s="6" t="s">
        <v>108</v>
      </c>
      <c r="D17" s="6" t="s">
        <v>150</v>
      </c>
      <c r="E17" s="6">
        <v>16</v>
      </c>
      <c r="F17" s="7">
        <v>11</v>
      </c>
      <c r="G17" s="7">
        <v>0</v>
      </c>
      <c r="H17" s="7">
        <v>3</v>
      </c>
      <c r="I17" s="7">
        <v>0.6</v>
      </c>
      <c r="J17" s="7">
        <v>1.2</v>
      </c>
      <c r="K17" s="7">
        <v>2</v>
      </c>
      <c r="L17" s="6">
        <v>42</v>
      </c>
      <c r="M17" s="6">
        <v>20</v>
      </c>
      <c r="N17" s="7">
        <v>8.6</v>
      </c>
      <c r="O17" s="6" t="s">
        <v>201</v>
      </c>
      <c r="P17" s="6" t="s">
        <v>202</v>
      </c>
      <c r="Q17" s="6" t="s">
        <v>215</v>
      </c>
      <c r="R17" s="6" t="s">
        <v>216</v>
      </c>
      <c r="S17" s="6"/>
    </row>
    <row r="18" ht="15" customHeight="1" spans="1:19" x14ac:dyDescent="0.25">
      <c r="A18" s="6" t="s">
        <v>222</v>
      </c>
      <c r="B18" s="6" t="s">
        <v>61</v>
      </c>
      <c r="C18" s="6" t="s">
        <v>108</v>
      </c>
      <c r="D18" s="6" t="s">
        <v>150</v>
      </c>
      <c r="E18" s="6">
        <v>17</v>
      </c>
      <c r="F18" s="7">
        <v>11.6</v>
      </c>
      <c r="G18" s="7">
        <v>0</v>
      </c>
      <c r="H18" s="7">
        <v>3</v>
      </c>
      <c r="I18" s="7">
        <v>0.6</v>
      </c>
      <c r="J18" s="7">
        <v>1.2</v>
      </c>
      <c r="K18" s="7">
        <v>2</v>
      </c>
      <c r="L18" s="6">
        <v>42</v>
      </c>
      <c r="M18" s="6">
        <v>20</v>
      </c>
      <c r="N18" s="7">
        <v>8.6</v>
      </c>
      <c r="O18" s="6" t="s">
        <v>201</v>
      </c>
      <c r="P18" s="6" t="s">
        <v>202</v>
      </c>
      <c r="Q18" s="6" t="s">
        <v>215</v>
      </c>
      <c r="R18" s="6" t="s">
        <v>216</v>
      </c>
      <c r="S18" s="6"/>
    </row>
    <row r="19" ht="15" customHeight="1" spans="1:19" x14ac:dyDescent="0.25">
      <c r="A19" s="6" t="s">
        <v>223</v>
      </c>
      <c r="B19" s="6" t="s">
        <v>61</v>
      </c>
      <c r="C19" s="6" t="s">
        <v>108</v>
      </c>
      <c r="D19" s="6" t="s">
        <v>150</v>
      </c>
      <c r="E19" s="6">
        <v>18</v>
      </c>
      <c r="F19" s="7">
        <v>12.2</v>
      </c>
      <c r="G19" s="7">
        <v>0</v>
      </c>
      <c r="H19" s="7">
        <v>3</v>
      </c>
      <c r="I19" s="7">
        <v>0.6</v>
      </c>
      <c r="J19" s="7">
        <v>1.2</v>
      </c>
      <c r="K19" s="7">
        <v>2</v>
      </c>
      <c r="L19" s="6">
        <v>42</v>
      </c>
      <c r="M19" s="6">
        <v>20</v>
      </c>
      <c r="N19" s="7">
        <v>8.8</v>
      </c>
      <c r="O19" s="6" t="s">
        <v>201</v>
      </c>
      <c r="P19" s="6" t="s">
        <v>202</v>
      </c>
      <c r="Q19" s="6" t="s">
        <v>215</v>
      </c>
      <c r="R19" s="6" t="s">
        <v>216</v>
      </c>
      <c r="S19" s="6"/>
    </row>
    <row r="20" ht="15" customHeight="1" spans="1:19" x14ac:dyDescent="0.25">
      <c r="A20" s="6" t="s">
        <v>224</v>
      </c>
      <c r="B20" s="6" t="s">
        <v>61</v>
      </c>
      <c r="C20" s="6" t="s">
        <v>108</v>
      </c>
      <c r="D20" s="6" t="s">
        <v>150</v>
      </c>
      <c r="E20" s="6">
        <v>19</v>
      </c>
      <c r="F20" s="7">
        <v>12.8</v>
      </c>
      <c r="G20" s="7">
        <v>0</v>
      </c>
      <c r="H20" s="7">
        <v>3</v>
      </c>
      <c r="I20" s="7">
        <v>0.6</v>
      </c>
      <c r="J20" s="7">
        <v>1.2</v>
      </c>
      <c r="K20" s="7">
        <v>2</v>
      </c>
      <c r="L20" s="6">
        <v>42</v>
      </c>
      <c r="M20" s="6">
        <v>20</v>
      </c>
      <c r="N20" s="7">
        <v>0</v>
      </c>
      <c r="O20" s="6" t="s">
        <v>225</v>
      </c>
      <c r="P20" s="6"/>
      <c r="Q20" s="6" t="s">
        <v>215</v>
      </c>
      <c r="R20" s="6" t="s">
        <v>216</v>
      </c>
      <c r="S20" s="6"/>
    </row>
    <row r="21" ht="15" customHeight="1" spans="1:19" x14ac:dyDescent="0.25">
      <c r="A21" s="6" t="s">
        <v>226</v>
      </c>
      <c r="B21" s="6" t="s">
        <v>61</v>
      </c>
      <c r="C21" s="6" t="s">
        <v>108</v>
      </c>
      <c r="D21" s="6" t="s">
        <v>150</v>
      </c>
      <c r="E21" s="6">
        <v>20</v>
      </c>
      <c r="F21" s="7">
        <v>13.4</v>
      </c>
      <c r="G21" s="7">
        <v>0</v>
      </c>
      <c r="H21" s="7">
        <v>3</v>
      </c>
      <c r="I21" s="7">
        <v>0.6</v>
      </c>
      <c r="J21" s="7">
        <v>1.2</v>
      </c>
      <c r="K21" s="7">
        <v>2</v>
      </c>
      <c r="L21" s="6">
        <v>42</v>
      </c>
      <c r="M21" s="6">
        <v>20</v>
      </c>
      <c r="N21" s="7">
        <v>0</v>
      </c>
      <c r="O21" s="6" t="s">
        <v>225</v>
      </c>
      <c r="P21" s="6"/>
      <c r="Q21" s="6" t="s">
        <v>215</v>
      </c>
      <c r="R21" s="6" t="s">
        <v>216</v>
      </c>
      <c r="S21" s="6"/>
    </row>
    <row r="22" ht="15" customHeight="1" spans="1:19" x14ac:dyDescent="0.25">
      <c r="A22" s="6" t="s">
        <v>227</v>
      </c>
      <c r="B22" s="6" t="s">
        <v>61</v>
      </c>
      <c r="C22" s="6" t="s">
        <v>108</v>
      </c>
      <c r="D22" s="6" t="s">
        <v>152</v>
      </c>
      <c r="E22" s="6">
        <v>1</v>
      </c>
      <c r="F22" s="7">
        <v>2</v>
      </c>
      <c r="G22" s="7">
        <v>0</v>
      </c>
      <c r="H22" s="7">
        <v>5.4</v>
      </c>
      <c r="I22" s="7">
        <v>0.6</v>
      </c>
      <c r="J22" s="7">
        <v>1.2</v>
      </c>
      <c r="K22" s="7">
        <v>2</v>
      </c>
      <c r="L22" s="6">
        <v>42</v>
      </c>
      <c r="M22" s="6">
        <v>20</v>
      </c>
      <c r="N22" s="7">
        <v>9.5</v>
      </c>
      <c r="O22" s="6" t="s">
        <v>201</v>
      </c>
      <c r="P22" s="6" t="s">
        <v>202</v>
      </c>
      <c r="Q22" s="6" t="s">
        <v>228</v>
      </c>
      <c r="R22" s="6" t="s">
        <v>229</v>
      </c>
      <c r="S22" s="6"/>
    </row>
    <row r="23" ht="15" customHeight="1" spans="1:19" x14ac:dyDescent="0.25">
      <c r="A23" s="6" t="s">
        <v>230</v>
      </c>
      <c r="B23" s="6" t="s">
        <v>61</v>
      </c>
      <c r="C23" s="6" t="s">
        <v>108</v>
      </c>
      <c r="D23" s="6" t="s">
        <v>152</v>
      </c>
      <c r="E23" s="6">
        <v>2</v>
      </c>
      <c r="F23" s="7">
        <v>2.6</v>
      </c>
      <c r="G23" s="7">
        <v>0</v>
      </c>
      <c r="H23" s="7">
        <v>5.4</v>
      </c>
      <c r="I23" s="7">
        <v>0.6</v>
      </c>
      <c r="J23" s="7">
        <v>1.2</v>
      </c>
      <c r="K23" s="7">
        <v>2</v>
      </c>
      <c r="L23" s="6">
        <v>42</v>
      </c>
      <c r="M23" s="6">
        <v>20</v>
      </c>
      <c r="N23" s="7">
        <v>9.5</v>
      </c>
      <c r="O23" s="6" t="s">
        <v>201</v>
      </c>
      <c r="P23" s="6" t="s">
        <v>202</v>
      </c>
      <c r="Q23" s="6" t="s">
        <v>228</v>
      </c>
      <c r="R23" s="6" t="s">
        <v>229</v>
      </c>
      <c r="S23" s="6"/>
    </row>
    <row r="24" ht="15" customHeight="1" spans="1:19" x14ac:dyDescent="0.25">
      <c r="A24" s="6" t="s">
        <v>231</v>
      </c>
      <c r="B24" s="6" t="s">
        <v>61</v>
      </c>
      <c r="C24" s="6" t="s">
        <v>108</v>
      </c>
      <c r="D24" s="6" t="s">
        <v>152</v>
      </c>
      <c r="E24" s="6">
        <v>3</v>
      </c>
      <c r="F24" s="7">
        <v>3.2</v>
      </c>
      <c r="G24" s="7">
        <v>0</v>
      </c>
      <c r="H24" s="7">
        <v>5.4</v>
      </c>
      <c r="I24" s="7">
        <v>0.6</v>
      </c>
      <c r="J24" s="7">
        <v>1.2</v>
      </c>
      <c r="K24" s="7">
        <v>2</v>
      </c>
      <c r="L24" s="6">
        <v>42</v>
      </c>
      <c r="M24" s="6">
        <v>20</v>
      </c>
      <c r="N24" s="7">
        <v>9.5</v>
      </c>
      <c r="O24" s="6" t="s">
        <v>201</v>
      </c>
      <c r="P24" s="6" t="s">
        <v>202</v>
      </c>
      <c r="Q24" s="6" t="s">
        <v>228</v>
      </c>
      <c r="R24" s="6" t="s">
        <v>229</v>
      </c>
      <c r="S24" s="6"/>
    </row>
    <row r="25" ht="15" customHeight="1" spans="1:19" x14ac:dyDescent="0.25">
      <c r="A25" s="6" t="s">
        <v>232</v>
      </c>
      <c r="B25" s="6" t="s">
        <v>61</v>
      </c>
      <c r="C25" s="6" t="s">
        <v>108</v>
      </c>
      <c r="D25" s="6" t="s">
        <v>152</v>
      </c>
      <c r="E25" s="6">
        <v>4</v>
      </c>
      <c r="F25" s="7">
        <v>3.8</v>
      </c>
      <c r="G25" s="7">
        <v>0</v>
      </c>
      <c r="H25" s="7">
        <v>5.4</v>
      </c>
      <c r="I25" s="7">
        <v>0.6</v>
      </c>
      <c r="J25" s="7">
        <v>1.2</v>
      </c>
      <c r="K25" s="7">
        <v>2</v>
      </c>
      <c r="L25" s="6">
        <v>42</v>
      </c>
      <c r="M25" s="6">
        <v>20</v>
      </c>
      <c r="N25" s="7">
        <v>9.5</v>
      </c>
      <c r="O25" s="6" t="s">
        <v>201</v>
      </c>
      <c r="P25" s="6" t="s">
        <v>202</v>
      </c>
      <c r="Q25" s="6" t="s">
        <v>228</v>
      </c>
      <c r="R25" s="6" t="s">
        <v>229</v>
      </c>
      <c r="S25" s="6"/>
    </row>
    <row r="26" ht="15" customHeight="1" spans="1:19" x14ac:dyDescent="0.25">
      <c r="A26" s="6" t="s">
        <v>233</v>
      </c>
      <c r="B26" s="6" t="s">
        <v>61</v>
      </c>
      <c r="C26" s="6" t="s">
        <v>108</v>
      </c>
      <c r="D26" s="6" t="s">
        <v>152</v>
      </c>
      <c r="E26" s="6">
        <v>5</v>
      </c>
      <c r="F26" s="7">
        <v>4.4</v>
      </c>
      <c r="G26" s="7">
        <v>0</v>
      </c>
      <c r="H26" s="7">
        <v>5.4</v>
      </c>
      <c r="I26" s="7">
        <v>0.6</v>
      </c>
      <c r="J26" s="7">
        <v>1.2</v>
      </c>
      <c r="K26" s="7">
        <v>2</v>
      </c>
      <c r="L26" s="6">
        <v>42</v>
      </c>
      <c r="M26" s="6">
        <v>20</v>
      </c>
      <c r="N26" s="7">
        <v>9.5</v>
      </c>
      <c r="O26" s="6" t="s">
        <v>201</v>
      </c>
      <c r="P26" s="6" t="s">
        <v>202</v>
      </c>
      <c r="Q26" s="6" t="s">
        <v>228</v>
      </c>
      <c r="R26" s="6" t="s">
        <v>229</v>
      </c>
      <c r="S26" s="6"/>
    </row>
    <row r="27" ht="15" customHeight="1" spans="1:19" x14ac:dyDescent="0.25">
      <c r="A27" s="6" t="s">
        <v>234</v>
      </c>
      <c r="B27" s="6" t="s">
        <v>61</v>
      </c>
      <c r="C27" s="6" t="s">
        <v>108</v>
      </c>
      <c r="D27" s="6" t="s">
        <v>152</v>
      </c>
      <c r="E27" s="6">
        <v>6</v>
      </c>
      <c r="F27" s="7">
        <v>5</v>
      </c>
      <c r="G27" s="7">
        <v>0</v>
      </c>
      <c r="H27" s="7">
        <v>5.4</v>
      </c>
      <c r="I27" s="7">
        <v>0.6</v>
      </c>
      <c r="J27" s="7">
        <v>1.2</v>
      </c>
      <c r="K27" s="7">
        <v>2</v>
      </c>
      <c r="L27" s="6">
        <v>42</v>
      </c>
      <c r="M27" s="6">
        <v>20</v>
      </c>
      <c r="N27" s="7">
        <v>9.5</v>
      </c>
      <c r="O27" s="6" t="s">
        <v>201</v>
      </c>
      <c r="P27" s="6" t="s">
        <v>202</v>
      </c>
      <c r="Q27" s="6" t="s">
        <v>228</v>
      </c>
      <c r="R27" s="6" t="s">
        <v>229</v>
      </c>
      <c r="S27" s="6"/>
    </row>
    <row r="28" ht="15" customHeight="1" spans="1:19" x14ac:dyDescent="0.25">
      <c r="A28" s="6" t="s">
        <v>235</v>
      </c>
      <c r="B28" s="6" t="s">
        <v>61</v>
      </c>
      <c r="C28" s="6" t="s">
        <v>108</v>
      </c>
      <c r="D28" s="6" t="s">
        <v>152</v>
      </c>
      <c r="E28" s="6">
        <v>7</v>
      </c>
      <c r="F28" s="7">
        <v>5.6</v>
      </c>
      <c r="G28" s="7">
        <v>0</v>
      </c>
      <c r="H28" s="7">
        <v>5.4</v>
      </c>
      <c r="I28" s="7">
        <v>0.6</v>
      </c>
      <c r="J28" s="7">
        <v>1.2</v>
      </c>
      <c r="K28" s="7">
        <v>2</v>
      </c>
      <c r="L28" s="6">
        <v>42</v>
      </c>
      <c r="M28" s="6">
        <v>20</v>
      </c>
      <c r="N28" s="7">
        <v>9.5</v>
      </c>
      <c r="O28" s="6" t="s">
        <v>201</v>
      </c>
      <c r="P28" s="6" t="s">
        <v>202</v>
      </c>
      <c r="Q28" s="6" t="s">
        <v>228</v>
      </c>
      <c r="R28" s="6" t="s">
        <v>229</v>
      </c>
      <c r="S28" s="6"/>
    </row>
    <row r="29" ht="15" customHeight="1" spans="1:19" x14ac:dyDescent="0.25">
      <c r="A29" s="6" t="s">
        <v>236</v>
      </c>
      <c r="B29" s="6" t="s">
        <v>61</v>
      </c>
      <c r="C29" s="6" t="s">
        <v>108</v>
      </c>
      <c r="D29" s="6" t="s">
        <v>152</v>
      </c>
      <c r="E29" s="6">
        <v>8</v>
      </c>
      <c r="F29" s="7">
        <v>6.2</v>
      </c>
      <c r="G29" s="7">
        <v>0</v>
      </c>
      <c r="H29" s="7">
        <v>5.4</v>
      </c>
      <c r="I29" s="7">
        <v>0.6</v>
      </c>
      <c r="J29" s="7">
        <v>1.2</v>
      </c>
      <c r="K29" s="7">
        <v>2</v>
      </c>
      <c r="L29" s="6">
        <v>42</v>
      </c>
      <c r="M29" s="6">
        <v>20</v>
      </c>
      <c r="N29" s="7">
        <v>9.5</v>
      </c>
      <c r="O29" s="6" t="s">
        <v>201</v>
      </c>
      <c r="P29" s="6" t="s">
        <v>202</v>
      </c>
      <c r="Q29" s="6" t="s">
        <v>228</v>
      </c>
      <c r="R29" s="6" t="s">
        <v>229</v>
      </c>
      <c r="S29" s="6"/>
    </row>
    <row r="30" ht="15" customHeight="1" spans="1:19" x14ac:dyDescent="0.25">
      <c r="A30" s="6" t="s">
        <v>237</v>
      </c>
      <c r="B30" s="6" t="s">
        <v>61</v>
      </c>
      <c r="C30" s="6" t="s">
        <v>108</v>
      </c>
      <c r="D30" s="6" t="s">
        <v>152</v>
      </c>
      <c r="E30" s="6">
        <v>9</v>
      </c>
      <c r="F30" s="7">
        <v>6.8</v>
      </c>
      <c r="G30" s="7">
        <v>0</v>
      </c>
      <c r="H30" s="7">
        <v>5.4</v>
      </c>
      <c r="I30" s="7">
        <v>0.6</v>
      </c>
      <c r="J30" s="7">
        <v>1.2</v>
      </c>
      <c r="K30" s="7">
        <v>2</v>
      </c>
      <c r="L30" s="6">
        <v>42</v>
      </c>
      <c r="M30" s="6">
        <v>20</v>
      </c>
      <c r="N30" s="7">
        <v>9.5</v>
      </c>
      <c r="O30" s="6" t="s">
        <v>201</v>
      </c>
      <c r="P30" s="6" t="s">
        <v>202</v>
      </c>
      <c r="Q30" s="6" t="s">
        <v>228</v>
      </c>
      <c r="R30" s="6" t="s">
        <v>229</v>
      </c>
      <c r="S30" s="6"/>
    </row>
    <row r="31" ht="15" customHeight="1" spans="1:19" x14ac:dyDescent="0.25">
      <c r="A31" s="6" t="s">
        <v>238</v>
      </c>
      <c r="B31" s="6" t="s">
        <v>61</v>
      </c>
      <c r="C31" s="6" t="s">
        <v>108</v>
      </c>
      <c r="D31" s="6" t="s">
        <v>152</v>
      </c>
      <c r="E31" s="6">
        <v>10</v>
      </c>
      <c r="F31" s="7">
        <v>7.4</v>
      </c>
      <c r="G31" s="7">
        <v>0</v>
      </c>
      <c r="H31" s="7">
        <v>5.4</v>
      </c>
      <c r="I31" s="7">
        <v>0.6</v>
      </c>
      <c r="J31" s="7">
        <v>1.2</v>
      </c>
      <c r="K31" s="7">
        <v>2</v>
      </c>
      <c r="L31" s="6">
        <v>42</v>
      </c>
      <c r="M31" s="6">
        <v>20</v>
      </c>
      <c r="N31" s="7">
        <v>9.5</v>
      </c>
      <c r="O31" s="6" t="s">
        <v>201</v>
      </c>
      <c r="P31" s="6" t="s">
        <v>202</v>
      </c>
      <c r="Q31" s="6" t="s">
        <v>228</v>
      </c>
      <c r="R31" s="6" t="s">
        <v>229</v>
      </c>
      <c r="S31" s="6"/>
    </row>
    <row r="32" ht="15" customHeight="1" spans="1:19" x14ac:dyDescent="0.25">
      <c r="A32" s="6" t="s">
        <v>239</v>
      </c>
      <c r="B32" s="6" t="s">
        <v>61</v>
      </c>
      <c r="C32" s="6" t="s">
        <v>108</v>
      </c>
      <c r="D32" s="6" t="s">
        <v>152</v>
      </c>
      <c r="E32" s="6">
        <v>11</v>
      </c>
      <c r="F32" s="7">
        <v>8</v>
      </c>
      <c r="G32" s="7">
        <v>0</v>
      </c>
      <c r="H32" s="7">
        <v>5.4</v>
      </c>
      <c r="I32" s="7">
        <v>0.6</v>
      </c>
      <c r="J32" s="7">
        <v>1.2</v>
      </c>
      <c r="K32" s="7">
        <v>2</v>
      </c>
      <c r="L32" s="6">
        <v>42</v>
      </c>
      <c r="M32" s="6">
        <v>20</v>
      </c>
      <c r="N32" s="7">
        <v>9.5</v>
      </c>
      <c r="O32" s="6" t="s">
        <v>201</v>
      </c>
      <c r="P32" s="6" t="s">
        <v>202</v>
      </c>
      <c r="Q32" s="6" t="s">
        <v>240</v>
      </c>
      <c r="R32" s="6" t="s">
        <v>241</v>
      </c>
      <c r="S32" s="6"/>
    </row>
    <row r="33" ht="15" customHeight="1" spans="1:19" x14ac:dyDescent="0.25">
      <c r="A33" s="6" t="s">
        <v>242</v>
      </c>
      <c r="B33" s="6" t="s">
        <v>61</v>
      </c>
      <c r="C33" s="6" t="s">
        <v>108</v>
      </c>
      <c r="D33" s="6" t="s">
        <v>152</v>
      </c>
      <c r="E33" s="6">
        <v>12</v>
      </c>
      <c r="F33" s="7">
        <v>8.6</v>
      </c>
      <c r="G33" s="7">
        <v>0</v>
      </c>
      <c r="H33" s="7">
        <v>5.4</v>
      </c>
      <c r="I33" s="7">
        <v>0.6</v>
      </c>
      <c r="J33" s="7">
        <v>1.2</v>
      </c>
      <c r="K33" s="7">
        <v>2</v>
      </c>
      <c r="L33" s="6">
        <v>42</v>
      </c>
      <c r="M33" s="6">
        <v>20</v>
      </c>
      <c r="N33" s="7">
        <v>9.5</v>
      </c>
      <c r="O33" s="6" t="s">
        <v>201</v>
      </c>
      <c r="P33" s="6" t="s">
        <v>202</v>
      </c>
      <c r="Q33" s="6" t="s">
        <v>240</v>
      </c>
      <c r="R33" s="6" t="s">
        <v>241</v>
      </c>
      <c r="S33" s="6"/>
    </row>
    <row r="34" ht="15" customHeight="1" spans="1:19" x14ac:dyDescent="0.25">
      <c r="A34" s="6" t="s">
        <v>243</v>
      </c>
      <c r="B34" s="6" t="s">
        <v>61</v>
      </c>
      <c r="C34" s="6" t="s">
        <v>108</v>
      </c>
      <c r="D34" s="6" t="s">
        <v>152</v>
      </c>
      <c r="E34" s="6">
        <v>13</v>
      </c>
      <c r="F34" s="7">
        <v>9.2</v>
      </c>
      <c r="G34" s="7">
        <v>0</v>
      </c>
      <c r="H34" s="7">
        <v>5.4</v>
      </c>
      <c r="I34" s="7">
        <v>0.6</v>
      </c>
      <c r="J34" s="7">
        <v>1.2</v>
      </c>
      <c r="K34" s="7">
        <v>2</v>
      </c>
      <c r="L34" s="6">
        <v>42</v>
      </c>
      <c r="M34" s="6">
        <v>20</v>
      </c>
      <c r="N34" s="7">
        <v>9.5</v>
      </c>
      <c r="O34" s="6" t="s">
        <v>201</v>
      </c>
      <c r="P34" s="6" t="s">
        <v>202</v>
      </c>
      <c r="Q34" s="6" t="s">
        <v>240</v>
      </c>
      <c r="R34" s="6" t="s">
        <v>241</v>
      </c>
      <c r="S34" s="6"/>
    </row>
    <row r="35" ht="15" customHeight="1" spans="1:19" x14ac:dyDescent="0.25">
      <c r="A35" s="6" t="s">
        <v>244</v>
      </c>
      <c r="B35" s="6" t="s">
        <v>61</v>
      </c>
      <c r="C35" s="6" t="s">
        <v>108</v>
      </c>
      <c r="D35" s="6" t="s">
        <v>152</v>
      </c>
      <c r="E35" s="6">
        <v>14</v>
      </c>
      <c r="F35" s="7">
        <v>9.8</v>
      </c>
      <c r="G35" s="7">
        <v>0</v>
      </c>
      <c r="H35" s="7">
        <v>5.4</v>
      </c>
      <c r="I35" s="7">
        <v>0.6</v>
      </c>
      <c r="J35" s="7">
        <v>1.2</v>
      </c>
      <c r="K35" s="7">
        <v>2</v>
      </c>
      <c r="L35" s="6">
        <v>42</v>
      </c>
      <c r="M35" s="6">
        <v>20</v>
      </c>
      <c r="N35" s="7">
        <v>9.5</v>
      </c>
      <c r="O35" s="6" t="s">
        <v>201</v>
      </c>
      <c r="P35" s="6" t="s">
        <v>202</v>
      </c>
      <c r="Q35" s="6" t="s">
        <v>240</v>
      </c>
      <c r="R35" s="6" t="s">
        <v>241</v>
      </c>
      <c r="S35" s="6"/>
    </row>
    <row r="36" ht="15" customHeight="1" spans="1:19" x14ac:dyDescent="0.25">
      <c r="A36" s="6" t="s">
        <v>245</v>
      </c>
      <c r="B36" s="6" t="s">
        <v>61</v>
      </c>
      <c r="C36" s="6" t="s">
        <v>108</v>
      </c>
      <c r="D36" s="6" t="s">
        <v>152</v>
      </c>
      <c r="E36" s="6">
        <v>15</v>
      </c>
      <c r="F36" s="7">
        <v>10.4</v>
      </c>
      <c r="G36" s="7">
        <v>0</v>
      </c>
      <c r="H36" s="7">
        <v>5.4</v>
      </c>
      <c r="I36" s="7">
        <v>0.6</v>
      </c>
      <c r="J36" s="7">
        <v>1.2</v>
      </c>
      <c r="K36" s="7">
        <v>2</v>
      </c>
      <c r="L36" s="6">
        <v>42</v>
      </c>
      <c r="M36" s="6">
        <v>20</v>
      </c>
      <c r="N36" s="7">
        <v>9.5</v>
      </c>
      <c r="O36" s="6" t="s">
        <v>201</v>
      </c>
      <c r="P36" s="6" t="s">
        <v>202</v>
      </c>
      <c r="Q36" s="6" t="s">
        <v>240</v>
      </c>
      <c r="R36" s="6" t="s">
        <v>241</v>
      </c>
      <c r="S36" s="6"/>
    </row>
    <row r="37" ht="15" customHeight="1" spans="1:19" x14ac:dyDescent="0.25">
      <c r="A37" s="6" t="s">
        <v>246</v>
      </c>
      <c r="B37" s="6" t="s">
        <v>61</v>
      </c>
      <c r="C37" s="6" t="s">
        <v>108</v>
      </c>
      <c r="D37" s="6" t="s">
        <v>152</v>
      </c>
      <c r="E37" s="6">
        <v>16</v>
      </c>
      <c r="F37" s="7">
        <v>11</v>
      </c>
      <c r="G37" s="7">
        <v>0</v>
      </c>
      <c r="H37" s="7">
        <v>5.4</v>
      </c>
      <c r="I37" s="7">
        <v>0.6</v>
      </c>
      <c r="J37" s="7">
        <v>1.2</v>
      </c>
      <c r="K37" s="7">
        <v>2</v>
      </c>
      <c r="L37" s="6">
        <v>42</v>
      </c>
      <c r="M37" s="6">
        <v>20</v>
      </c>
      <c r="N37" s="7">
        <v>9.5</v>
      </c>
      <c r="O37" s="6" t="s">
        <v>201</v>
      </c>
      <c r="P37" s="6" t="s">
        <v>202</v>
      </c>
      <c r="Q37" s="6" t="s">
        <v>240</v>
      </c>
      <c r="R37" s="6" t="s">
        <v>241</v>
      </c>
      <c r="S37" s="6"/>
    </row>
    <row r="38" ht="15" customHeight="1" spans="1:19" x14ac:dyDescent="0.25">
      <c r="A38" s="6" t="s">
        <v>247</v>
      </c>
      <c r="B38" s="6" t="s">
        <v>61</v>
      </c>
      <c r="C38" s="6" t="s">
        <v>108</v>
      </c>
      <c r="D38" s="6" t="s">
        <v>152</v>
      </c>
      <c r="E38" s="6">
        <v>17</v>
      </c>
      <c r="F38" s="7">
        <v>11.6</v>
      </c>
      <c r="G38" s="7">
        <v>0</v>
      </c>
      <c r="H38" s="7">
        <v>5.4</v>
      </c>
      <c r="I38" s="7">
        <v>0.6</v>
      </c>
      <c r="J38" s="7">
        <v>1.2</v>
      </c>
      <c r="K38" s="7">
        <v>2</v>
      </c>
      <c r="L38" s="6">
        <v>42</v>
      </c>
      <c r="M38" s="6">
        <v>20</v>
      </c>
      <c r="N38" s="7">
        <v>10</v>
      </c>
      <c r="O38" s="6" t="s">
        <v>201</v>
      </c>
      <c r="P38" s="6" t="s">
        <v>202</v>
      </c>
      <c r="Q38" s="6" t="s">
        <v>240</v>
      </c>
      <c r="R38" s="6" t="s">
        <v>241</v>
      </c>
      <c r="S38" s="6"/>
    </row>
    <row r="39" ht="15" customHeight="1" spans="1:19" x14ac:dyDescent="0.25">
      <c r="A39" s="6" t="s">
        <v>248</v>
      </c>
      <c r="B39" s="6" t="s">
        <v>61</v>
      </c>
      <c r="C39" s="6" t="s">
        <v>108</v>
      </c>
      <c r="D39" s="6" t="s">
        <v>152</v>
      </c>
      <c r="E39" s="6">
        <v>18</v>
      </c>
      <c r="F39" s="7">
        <v>12.2</v>
      </c>
      <c r="G39" s="7">
        <v>0</v>
      </c>
      <c r="H39" s="7">
        <v>5.4</v>
      </c>
      <c r="I39" s="7">
        <v>0.6</v>
      </c>
      <c r="J39" s="7">
        <v>1.2</v>
      </c>
      <c r="K39" s="7">
        <v>2</v>
      </c>
      <c r="L39" s="6">
        <v>42</v>
      </c>
      <c r="M39" s="6">
        <v>20</v>
      </c>
      <c r="N39" s="7">
        <v>0</v>
      </c>
      <c r="O39" s="6" t="s">
        <v>225</v>
      </c>
      <c r="P39" s="6"/>
      <c r="Q39" s="6" t="s">
        <v>240</v>
      </c>
      <c r="R39" s="6" t="s">
        <v>241</v>
      </c>
      <c r="S39" s="6"/>
    </row>
    <row r="40" ht="15" customHeight="1" spans="1:19" x14ac:dyDescent="0.25">
      <c r="A40" s="6" t="s">
        <v>249</v>
      </c>
      <c r="B40" s="6" t="s">
        <v>61</v>
      </c>
      <c r="C40" s="6" t="s">
        <v>108</v>
      </c>
      <c r="D40" s="6" t="s">
        <v>152</v>
      </c>
      <c r="E40" s="6">
        <v>19</v>
      </c>
      <c r="F40" s="7">
        <v>12.8</v>
      </c>
      <c r="G40" s="7">
        <v>0</v>
      </c>
      <c r="H40" s="7">
        <v>5.4</v>
      </c>
      <c r="I40" s="7">
        <v>0.6</v>
      </c>
      <c r="J40" s="7">
        <v>1.2</v>
      </c>
      <c r="K40" s="7">
        <v>2</v>
      </c>
      <c r="L40" s="6">
        <v>42</v>
      </c>
      <c r="M40" s="6">
        <v>20</v>
      </c>
      <c r="N40" s="7">
        <v>0</v>
      </c>
      <c r="O40" s="6" t="s">
        <v>225</v>
      </c>
      <c r="P40" s="6"/>
      <c r="Q40" s="6" t="s">
        <v>240</v>
      </c>
      <c r="R40" s="6" t="s">
        <v>241</v>
      </c>
      <c r="S40" s="6"/>
    </row>
    <row r="41" ht="15" customHeight="1" spans="1:19" x14ac:dyDescent="0.25">
      <c r="A41" s="6" t="s">
        <v>250</v>
      </c>
      <c r="B41" s="6" t="s">
        <v>61</v>
      </c>
      <c r="C41" s="6" t="s">
        <v>108</v>
      </c>
      <c r="D41" s="6" t="s">
        <v>152</v>
      </c>
      <c r="E41" s="6">
        <v>20</v>
      </c>
      <c r="F41" s="7">
        <v>13.4</v>
      </c>
      <c r="G41" s="7">
        <v>0</v>
      </c>
      <c r="H41" s="7">
        <v>5.4</v>
      </c>
      <c r="I41" s="7">
        <v>0.6</v>
      </c>
      <c r="J41" s="7">
        <v>1.2</v>
      </c>
      <c r="K41" s="7">
        <v>2</v>
      </c>
      <c r="L41" s="6">
        <v>42</v>
      </c>
      <c r="M41" s="6">
        <v>20</v>
      </c>
      <c r="N41" s="7">
        <v>0</v>
      </c>
      <c r="O41" s="6" t="s">
        <v>225</v>
      </c>
      <c r="P41" s="6"/>
      <c r="Q41" s="6" t="s">
        <v>240</v>
      </c>
      <c r="R41" s="6" t="s">
        <v>241</v>
      </c>
      <c r="S41" s="6"/>
    </row>
    <row r="42" ht="15" customHeight="1" spans="1:19" x14ac:dyDescent="0.25">
      <c r="A42" s="6" t="s">
        <v>251</v>
      </c>
      <c r="B42" s="6" t="s">
        <v>61</v>
      </c>
      <c r="C42" s="6" t="s">
        <v>108</v>
      </c>
      <c r="D42" s="6" t="s">
        <v>153</v>
      </c>
      <c r="E42" s="6">
        <v>1</v>
      </c>
      <c r="F42" s="7">
        <v>2</v>
      </c>
      <c r="G42" s="7">
        <v>0</v>
      </c>
      <c r="H42" s="7">
        <v>7.8</v>
      </c>
      <c r="I42" s="7">
        <v>0.6</v>
      </c>
      <c r="J42" s="7">
        <v>1.2</v>
      </c>
      <c r="K42" s="7">
        <v>2</v>
      </c>
      <c r="L42" s="6">
        <v>42</v>
      </c>
      <c r="M42" s="6">
        <v>20</v>
      </c>
      <c r="N42" s="7">
        <v>9.2</v>
      </c>
      <c r="O42" s="6" t="s">
        <v>201</v>
      </c>
      <c r="P42" s="6" t="s">
        <v>252</v>
      </c>
      <c r="Q42" s="6" t="s">
        <v>253</v>
      </c>
      <c r="R42" s="6" t="s">
        <v>254</v>
      </c>
      <c r="S42" s="6"/>
    </row>
    <row r="43" ht="15" customHeight="1" spans="1:19" x14ac:dyDescent="0.25">
      <c r="A43" s="6" t="s">
        <v>255</v>
      </c>
      <c r="B43" s="6" t="s">
        <v>61</v>
      </c>
      <c r="C43" s="6" t="s">
        <v>108</v>
      </c>
      <c r="D43" s="6" t="s">
        <v>153</v>
      </c>
      <c r="E43" s="6">
        <v>2</v>
      </c>
      <c r="F43" s="7">
        <v>2.6</v>
      </c>
      <c r="G43" s="7">
        <v>0</v>
      </c>
      <c r="H43" s="7">
        <v>7.8</v>
      </c>
      <c r="I43" s="7">
        <v>0.6</v>
      </c>
      <c r="J43" s="7">
        <v>1.2</v>
      </c>
      <c r="K43" s="7">
        <v>2</v>
      </c>
      <c r="L43" s="6">
        <v>42</v>
      </c>
      <c r="M43" s="6">
        <v>20</v>
      </c>
      <c r="N43" s="7">
        <v>9.2</v>
      </c>
      <c r="O43" s="6" t="s">
        <v>201</v>
      </c>
      <c r="P43" s="6" t="s">
        <v>252</v>
      </c>
      <c r="Q43" s="6" t="s">
        <v>253</v>
      </c>
      <c r="R43" s="6" t="s">
        <v>254</v>
      </c>
      <c r="S43" s="6"/>
    </row>
    <row r="44" ht="15" customHeight="1" spans="1:19" x14ac:dyDescent="0.25">
      <c r="A44" s="6" t="s">
        <v>256</v>
      </c>
      <c r="B44" s="6" t="s">
        <v>61</v>
      </c>
      <c r="C44" s="6" t="s">
        <v>108</v>
      </c>
      <c r="D44" s="6" t="s">
        <v>153</v>
      </c>
      <c r="E44" s="6">
        <v>3</v>
      </c>
      <c r="F44" s="7">
        <v>3.2</v>
      </c>
      <c r="G44" s="7">
        <v>0</v>
      </c>
      <c r="H44" s="7">
        <v>7.8</v>
      </c>
      <c r="I44" s="7">
        <v>0.6</v>
      </c>
      <c r="J44" s="7">
        <v>1.2</v>
      </c>
      <c r="K44" s="7">
        <v>2</v>
      </c>
      <c r="L44" s="6">
        <v>42</v>
      </c>
      <c r="M44" s="6">
        <v>20</v>
      </c>
      <c r="N44" s="7">
        <v>9.2</v>
      </c>
      <c r="O44" s="6" t="s">
        <v>201</v>
      </c>
      <c r="P44" s="6" t="s">
        <v>252</v>
      </c>
      <c r="Q44" s="6" t="s">
        <v>253</v>
      </c>
      <c r="R44" s="6" t="s">
        <v>254</v>
      </c>
      <c r="S44" s="6"/>
    </row>
    <row r="45" ht="15" customHeight="1" spans="1:19" x14ac:dyDescent="0.25">
      <c r="A45" s="6" t="s">
        <v>257</v>
      </c>
      <c r="B45" s="6" t="s">
        <v>61</v>
      </c>
      <c r="C45" s="6" t="s">
        <v>108</v>
      </c>
      <c r="D45" s="6" t="s">
        <v>153</v>
      </c>
      <c r="E45" s="6">
        <v>4</v>
      </c>
      <c r="F45" s="7">
        <v>3.8</v>
      </c>
      <c r="G45" s="7">
        <v>0</v>
      </c>
      <c r="H45" s="7">
        <v>7.8</v>
      </c>
      <c r="I45" s="7">
        <v>0.6</v>
      </c>
      <c r="J45" s="7">
        <v>1.2</v>
      </c>
      <c r="K45" s="7">
        <v>2</v>
      </c>
      <c r="L45" s="6">
        <v>42</v>
      </c>
      <c r="M45" s="6">
        <v>20</v>
      </c>
      <c r="N45" s="7">
        <v>9.2</v>
      </c>
      <c r="O45" s="6" t="s">
        <v>201</v>
      </c>
      <c r="P45" s="6" t="s">
        <v>252</v>
      </c>
      <c r="Q45" s="6" t="s">
        <v>253</v>
      </c>
      <c r="R45" s="6" t="s">
        <v>254</v>
      </c>
      <c r="S45" s="6"/>
    </row>
    <row r="46" ht="15" customHeight="1" spans="1:19" x14ac:dyDescent="0.25">
      <c r="A46" s="6" t="s">
        <v>258</v>
      </c>
      <c r="B46" s="6" t="s">
        <v>61</v>
      </c>
      <c r="C46" s="6" t="s">
        <v>108</v>
      </c>
      <c r="D46" s="6" t="s">
        <v>153</v>
      </c>
      <c r="E46" s="6">
        <v>5</v>
      </c>
      <c r="F46" s="7">
        <v>4.4</v>
      </c>
      <c r="G46" s="7">
        <v>0</v>
      </c>
      <c r="H46" s="7">
        <v>7.8</v>
      </c>
      <c r="I46" s="7">
        <v>0.6</v>
      </c>
      <c r="J46" s="7">
        <v>1.2</v>
      </c>
      <c r="K46" s="7">
        <v>2</v>
      </c>
      <c r="L46" s="6">
        <v>42</v>
      </c>
      <c r="M46" s="6">
        <v>20</v>
      </c>
      <c r="N46" s="7">
        <v>9.2</v>
      </c>
      <c r="O46" s="6" t="s">
        <v>201</v>
      </c>
      <c r="P46" s="6" t="s">
        <v>252</v>
      </c>
      <c r="Q46" s="6" t="s">
        <v>253</v>
      </c>
      <c r="R46" s="6" t="s">
        <v>254</v>
      </c>
      <c r="S46" s="6"/>
    </row>
    <row r="47" ht="15" customHeight="1" spans="1:19" x14ac:dyDescent="0.25">
      <c r="A47" s="6" t="s">
        <v>259</v>
      </c>
      <c r="B47" s="6" t="s">
        <v>61</v>
      </c>
      <c r="C47" s="6" t="s">
        <v>108</v>
      </c>
      <c r="D47" s="6" t="s">
        <v>153</v>
      </c>
      <c r="E47" s="6">
        <v>6</v>
      </c>
      <c r="F47" s="7">
        <v>5</v>
      </c>
      <c r="G47" s="7">
        <v>0</v>
      </c>
      <c r="H47" s="7">
        <v>7.8</v>
      </c>
      <c r="I47" s="7">
        <v>0.6</v>
      </c>
      <c r="J47" s="7">
        <v>1.2</v>
      </c>
      <c r="K47" s="7">
        <v>2</v>
      </c>
      <c r="L47" s="6">
        <v>42</v>
      </c>
      <c r="M47" s="6">
        <v>20</v>
      </c>
      <c r="N47" s="7">
        <v>9.2</v>
      </c>
      <c r="O47" s="6" t="s">
        <v>201</v>
      </c>
      <c r="P47" s="6" t="s">
        <v>252</v>
      </c>
      <c r="Q47" s="6" t="s">
        <v>253</v>
      </c>
      <c r="R47" s="6" t="s">
        <v>254</v>
      </c>
      <c r="S47" s="6"/>
    </row>
    <row r="48" ht="15" customHeight="1" spans="1:19" x14ac:dyDescent="0.25">
      <c r="A48" s="6" t="s">
        <v>260</v>
      </c>
      <c r="B48" s="6" t="s">
        <v>61</v>
      </c>
      <c r="C48" s="6" t="s">
        <v>108</v>
      </c>
      <c r="D48" s="6" t="s">
        <v>153</v>
      </c>
      <c r="E48" s="6">
        <v>7</v>
      </c>
      <c r="F48" s="7">
        <v>5.6</v>
      </c>
      <c r="G48" s="7">
        <v>0</v>
      </c>
      <c r="H48" s="7">
        <v>7.8</v>
      </c>
      <c r="I48" s="7">
        <v>0.6</v>
      </c>
      <c r="J48" s="7">
        <v>1.2</v>
      </c>
      <c r="K48" s="7">
        <v>2</v>
      </c>
      <c r="L48" s="6">
        <v>42</v>
      </c>
      <c r="M48" s="6">
        <v>20</v>
      </c>
      <c r="N48" s="7">
        <v>9.2</v>
      </c>
      <c r="O48" s="6" t="s">
        <v>201</v>
      </c>
      <c r="P48" s="6" t="s">
        <v>252</v>
      </c>
      <c r="Q48" s="6" t="s">
        <v>253</v>
      </c>
      <c r="R48" s="6" t="s">
        <v>254</v>
      </c>
      <c r="S48" s="6"/>
    </row>
    <row r="49" ht="15" customHeight="1" spans="1:19" x14ac:dyDescent="0.25">
      <c r="A49" s="6" t="s">
        <v>261</v>
      </c>
      <c r="B49" s="6" t="s">
        <v>61</v>
      </c>
      <c r="C49" s="6" t="s">
        <v>108</v>
      </c>
      <c r="D49" s="6" t="s">
        <v>153</v>
      </c>
      <c r="E49" s="6">
        <v>8</v>
      </c>
      <c r="F49" s="7">
        <v>6.2</v>
      </c>
      <c r="G49" s="7">
        <v>0</v>
      </c>
      <c r="H49" s="7">
        <v>7.8</v>
      </c>
      <c r="I49" s="7">
        <v>0.6</v>
      </c>
      <c r="J49" s="7">
        <v>1.2</v>
      </c>
      <c r="K49" s="7">
        <v>2</v>
      </c>
      <c r="L49" s="6">
        <v>42</v>
      </c>
      <c r="M49" s="6">
        <v>20</v>
      </c>
      <c r="N49" s="7">
        <v>9.2</v>
      </c>
      <c r="O49" s="6" t="s">
        <v>201</v>
      </c>
      <c r="P49" s="6" t="s">
        <v>252</v>
      </c>
      <c r="Q49" s="6" t="s">
        <v>253</v>
      </c>
      <c r="R49" s="6" t="s">
        <v>254</v>
      </c>
      <c r="S49" s="6"/>
    </row>
    <row r="50" ht="15" customHeight="1" spans="1:19" x14ac:dyDescent="0.25">
      <c r="A50" s="6" t="s">
        <v>262</v>
      </c>
      <c r="B50" s="6" t="s">
        <v>61</v>
      </c>
      <c r="C50" s="6" t="s">
        <v>108</v>
      </c>
      <c r="D50" s="6" t="s">
        <v>153</v>
      </c>
      <c r="E50" s="6">
        <v>9</v>
      </c>
      <c r="F50" s="7">
        <v>6.8</v>
      </c>
      <c r="G50" s="7">
        <v>0</v>
      </c>
      <c r="H50" s="7">
        <v>7.8</v>
      </c>
      <c r="I50" s="7">
        <v>0.6</v>
      </c>
      <c r="J50" s="7">
        <v>1.2</v>
      </c>
      <c r="K50" s="7">
        <v>2</v>
      </c>
      <c r="L50" s="6">
        <v>42</v>
      </c>
      <c r="M50" s="6">
        <v>20</v>
      </c>
      <c r="N50" s="7">
        <v>9.2</v>
      </c>
      <c r="O50" s="6" t="s">
        <v>201</v>
      </c>
      <c r="P50" s="6" t="s">
        <v>252</v>
      </c>
      <c r="Q50" s="6" t="s">
        <v>253</v>
      </c>
      <c r="R50" s="6" t="s">
        <v>254</v>
      </c>
      <c r="S50" s="6"/>
    </row>
    <row r="51" ht="15" customHeight="1" spans="1:19" x14ac:dyDescent="0.25">
      <c r="A51" s="6" t="s">
        <v>263</v>
      </c>
      <c r="B51" s="6" t="s">
        <v>61</v>
      </c>
      <c r="C51" s="6" t="s">
        <v>108</v>
      </c>
      <c r="D51" s="6" t="s">
        <v>153</v>
      </c>
      <c r="E51" s="6">
        <v>10</v>
      </c>
      <c r="F51" s="7">
        <v>7.4</v>
      </c>
      <c r="G51" s="7">
        <v>0</v>
      </c>
      <c r="H51" s="7">
        <v>7.8</v>
      </c>
      <c r="I51" s="7">
        <v>0.6</v>
      </c>
      <c r="J51" s="7">
        <v>1.2</v>
      </c>
      <c r="K51" s="7">
        <v>2</v>
      </c>
      <c r="L51" s="6">
        <v>42</v>
      </c>
      <c r="M51" s="6">
        <v>20</v>
      </c>
      <c r="N51" s="7">
        <v>9.2</v>
      </c>
      <c r="O51" s="6" t="s">
        <v>201</v>
      </c>
      <c r="P51" s="6" t="s">
        <v>252</v>
      </c>
      <c r="Q51" s="6" t="s">
        <v>253</v>
      </c>
      <c r="R51" s="6" t="s">
        <v>254</v>
      </c>
      <c r="S51" s="6"/>
    </row>
    <row r="52" ht="15" customHeight="1" spans="1:19" x14ac:dyDescent="0.25">
      <c r="A52" s="6" t="s">
        <v>264</v>
      </c>
      <c r="B52" s="6" t="s">
        <v>61</v>
      </c>
      <c r="C52" s="6" t="s">
        <v>108</v>
      </c>
      <c r="D52" s="6" t="s">
        <v>153</v>
      </c>
      <c r="E52" s="6">
        <v>11</v>
      </c>
      <c r="F52" s="7">
        <v>8</v>
      </c>
      <c r="G52" s="7">
        <v>0</v>
      </c>
      <c r="H52" s="7">
        <v>7.8</v>
      </c>
      <c r="I52" s="7">
        <v>0.6</v>
      </c>
      <c r="J52" s="7">
        <v>1.2</v>
      </c>
      <c r="K52" s="7">
        <v>2</v>
      </c>
      <c r="L52" s="6">
        <v>42</v>
      </c>
      <c r="M52" s="6">
        <v>20</v>
      </c>
      <c r="N52" s="7">
        <v>9.2</v>
      </c>
      <c r="O52" s="6" t="s">
        <v>201</v>
      </c>
      <c r="P52" s="6" t="s">
        <v>252</v>
      </c>
      <c r="Q52" s="6" t="s">
        <v>265</v>
      </c>
      <c r="R52" s="6" t="s">
        <v>266</v>
      </c>
      <c r="S52" s="6"/>
    </row>
    <row r="53" ht="15" customHeight="1" spans="1:19" x14ac:dyDescent="0.25">
      <c r="A53" s="6" t="s">
        <v>267</v>
      </c>
      <c r="B53" s="6" t="s">
        <v>61</v>
      </c>
      <c r="C53" s="6" t="s">
        <v>108</v>
      </c>
      <c r="D53" s="6" t="s">
        <v>153</v>
      </c>
      <c r="E53" s="6">
        <v>12</v>
      </c>
      <c r="F53" s="7">
        <v>8.6</v>
      </c>
      <c r="G53" s="7">
        <v>0</v>
      </c>
      <c r="H53" s="7">
        <v>7.8</v>
      </c>
      <c r="I53" s="7">
        <v>0.6</v>
      </c>
      <c r="J53" s="7">
        <v>1.2</v>
      </c>
      <c r="K53" s="7">
        <v>2</v>
      </c>
      <c r="L53" s="6">
        <v>42</v>
      </c>
      <c r="M53" s="6">
        <v>20</v>
      </c>
      <c r="N53" s="7">
        <v>9.2</v>
      </c>
      <c r="O53" s="6" t="s">
        <v>201</v>
      </c>
      <c r="P53" s="6" t="s">
        <v>252</v>
      </c>
      <c r="Q53" s="6" t="s">
        <v>265</v>
      </c>
      <c r="R53" s="6" t="s">
        <v>266</v>
      </c>
      <c r="S53" s="6"/>
    </row>
    <row r="54" ht="15" customHeight="1" spans="1:19" x14ac:dyDescent="0.25">
      <c r="A54" s="6" t="s">
        <v>268</v>
      </c>
      <c r="B54" s="6" t="s">
        <v>61</v>
      </c>
      <c r="C54" s="6" t="s">
        <v>108</v>
      </c>
      <c r="D54" s="6" t="s">
        <v>153</v>
      </c>
      <c r="E54" s="6">
        <v>13</v>
      </c>
      <c r="F54" s="7">
        <v>9.2</v>
      </c>
      <c r="G54" s="7">
        <v>0</v>
      </c>
      <c r="H54" s="7">
        <v>7.8</v>
      </c>
      <c r="I54" s="7">
        <v>0.6</v>
      </c>
      <c r="J54" s="7">
        <v>1.2</v>
      </c>
      <c r="K54" s="7">
        <v>2</v>
      </c>
      <c r="L54" s="6">
        <v>42</v>
      </c>
      <c r="M54" s="6">
        <v>20</v>
      </c>
      <c r="N54" s="7">
        <v>0</v>
      </c>
      <c r="O54" s="6" t="s">
        <v>269</v>
      </c>
      <c r="P54" s="6"/>
      <c r="Q54" s="6" t="s">
        <v>265</v>
      </c>
      <c r="R54" s="6" t="s">
        <v>266</v>
      </c>
      <c r="S54" s="6" t="s">
        <v>270</v>
      </c>
    </row>
    <row r="55" ht="15" customHeight="1" spans="1:19" x14ac:dyDescent="0.25">
      <c r="A55" s="6" t="s">
        <v>271</v>
      </c>
      <c r="B55" s="6" t="s">
        <v>61</v>
      </c>
      <c r="C55" s="6" t="s">
        <v>108</v>
      </c>
      <c r="D55" s="6" t="s">
        <v>153</v>
      </c>
      <c r="E55" s="6">
        <v>14</v>
      </c>
      <c r="F55" s="7">
        <v>9.8</v>
      </c>
      <c r="G55" s="7">
        <v>0</v>
      </c>
      <c r="H55" s="7">
        <v>7.8</v>
      </c>
      <c r="I55" s="7">
        <v>0.6</v>
      </c>
      <c r="J55" s="7">
        <v>1.2</v>
      </c>
      <c r="K55" s="7">
        <v>2</v>
      </c>
      <c r="L55" s="6">
        <v>42</v>
      </c>
      <c r="M55" s="6">
        <v>20</v>
      </c>
      <c r="N55" s="7">
        <v>9.2</v>
      </c>
      <c r="O55" s="6" t="s">
        <v>201</v>
      </c>
      <c r="P55" s="6" t="s">
        <v>252</v>
      </c>
      <c r="Q55" s="6" t="s">
        <v>265</v>
      </c>
      <c r="R55" s="6" t="s">
        <v>266</v>
      </c>
      <c r="S55" s="6"/>
    </row>
    <row r="56" ht="15" customHeight="1" spans="1:19" x14ac:dyDescent="0.25">
      <c r="A56" s="6" t="s">
        <v>272</v>
      </c>
      <c r="B56" s="6" t="s">
        <v>61</v>
      </c>
      <c r="C56" s="6" t="s">
        <v>108</v>
      </c>
      <c r="D56" s="6" t="s">
        <v>153</v>
      </c>
      <c r="E56" s="6">
        <v>15</v>
      </c>
      <c r="F56" s="7">
        <v>10.4</v>
      </c>
      <c r="G56" s="7">
        <v>0</v>
      </c>
      <c r="H56" s="7">
        <v>7.8</v>
      </c>
      <c r="I56" s="7">
        <v>0.6</v>
      </c>
      <c r="J56" s="7">
        <v>1.2</v>
      </c>
      <c r="K56" s="7">
        <v>2</v>
      </c>
      <c r="L56" s="6">
        <v>42</v>
      </c>
      <c r="M56" s="6">
        <v>20</v>
      </c>
      <c r="N56" s="7">
        <v>9.2</v>
      </c>
      <c r="O56" s="6" t="s">
        <v>201</v>
      </c>
      <c r="P56" s="6" t="s">
        <v>252</v>
      </c>
      <c r="Q56" s="6" t="s">
        <v>265</v>
      </c>
      <c r="R56" s="6" t="s">
        <v>266</v>
      </c>
      <c r="S56" s="6"/>
    </row>
    <row r="57" ht="15" customHeight="1" spans="1:19" x14ac:dyDescent="0.25">
      <c r="A57" s="6" t="s">
        <v>273</v>
      </c>
      <c r="B57" s="6" t="s">
        <v>61</v>
      </c>
      <c r="C57" s="6" t="s">
        <v>108</v>
      </c>
      <c r="D57" s="6" t="s">
        <v>153</v>
      </c>
      <c r="E57" s="6">
        <v>16</v>
      </c>
      <c r="F57" s="7">
        <v>11</v>
      </c>
      <c r="G57" s="7">
        <v>0</v>
      </c>
      <c r="H57" s="7">
        <v>7.8</v>
      </c>
      <c r="I57" s="7">
        <v>0.6</v>
      </c>
      <c r="J57" s="7">
        <v>1.2</v>
      </c>
      <c r="K57" s="7">
        <v>2</v>
      </c>
      <c r="L57" s="6">
        <v>42</v>
      </c>
      <c r="M57" s="6">
        <v>20</v>
      </c>
      <c r="N57" s="7">
        <v>9.2</v>
      </c>
      <c r="O57" s="6" t="s">
        <v>201</v>
      </c>
      <c r="P57" s="6" t="s">
        <v>252</v>
      </c>
      <c r="Q57" s="6" t="s">
        <v>265</v>
      </c>
      <c r="R57" s="6" t="s">
        <v>266</v>
      </c>
      <c r="S57" s="6"/>
    </row>
    <row r="58" ht="15" customHeight="1" spans="1:19" x14ac:dyDescent="0.25">
      <c r="A58" s="6" t="s">
        <v>274</v>
      </c>
      <c r="B58" s="6" t="s">
        <v>61</v>
      </c>
      <c r="C58" s="6" t="s">
        <v>108</v>
      </c>
      <c r="D58" s="6" t="s">
        <v>153</v>
      </c>
      <c r="E58" s="6">
        <v>17</v>
      </c>
      <c r="F58" s="7">
        <v>11.6</v>
      </c>
      <c r="G58" s="7">
        <v>0</v>
      </c>
      <c r="H58" s="7">
        <v>7.8</v>
      </c>
      <c r="I58" s="7">
        <v>0.6</v>
      </c>
      <c r="J58" s="7">
        <v>1.2</v>
      </c>
      <c r="K58" s="7">
        <v>2</v>
      </c>
      <c r="L58" s="6">
        <v>42</v>
      </c>
      <c r="M58" s="6">
        <v>20</v>
      </c>
      <c r="N58" s="7">
        <v>10</v>
      </c>
      <c r="O58" s="6" t="s">
        <v>201</v>
      </c>
      <c r="P58" s="6" t="s">
        <v>252</v>
      </c>
      <c r="Q58" s="6" t="s">
        <v>265</v>
      </c>
      <c r="R58" s="6" t="s">
        <v>266</v>
      </c>
      <c r="S58" s="6"/>
    </row>
    <row r="59" ht="15" customHeight="1" spans="1:19" x14ac:dyDescent="0.25">
      <c r="A59" s="6" t="s">
        <v>275</v>
      </c>
      <c r="B59" s="6" t="s">
        <v>61</v>
      </c>
      <c r="C59" s="6" t="s">
        <v>108</v>
      </c>
      <c r="D59" s="6" t="s">
        <v>153</v>
      </c>
      <c r="E59" s="6">
        <v>18</v>
      </c>
      <c r="F59" s="7">
        <v>12.2</v>
      </c>
      <c r="G59" s="7">
        <v>0</v>
      </c>
      <c r="H59" s="7">
        <v>7.8</v>
      </c>
      <c r="I59" s="7">
        <v>0.6</v>
      </c>
      <c r="J59" s="7">
        <v>1.2</v>
      </c>
      <c r="K59" s="7">
        <v>2</v>
      </c>
      <c r="L59" s="6">
        <v>42</v>
      </c>
      <c r="M59" s="6">
        <v>20</v>
      </c>
      <c r="N59" s="7">
        <v>0</v>
      </c>
      <c r="O59" s="6" t="s">
        <v>225</v>
      </c>
      <c r="P59" s="6"/>
      <c r="Q59" s="6" t="s">
        <v>265</v>
      </c>
      <c r="R59" s="6" t="s">
        <v>266</v>
      </c>
      <c r="S59" s="6"/>
    </row>
    <row r="60" ht="15" customHeight="1" spans="1:19" x14ac:dyDescent="0.25">
      <c r="A60" s="6" t="s">
        <v>276</v>
      </c>
      <c r="B60" s="6" t="s">
        <v>61</v>
      </c>
      <c r="C60" s="6" t="s">
        <v>108</v>
      </c>
      <c r="D60" s="6" t="s">
        <v>153</v>
      </c>
      <c r="E60" s="6">
        <v>19</v>
      </c>
      <c r="F60" s="7">
        <v>12.8</v>
      </c>
      <c r="G60" s="7">
        <v>0</v>
      </c>
      <c r="H60" s="7">
        <v>7.8</v>
      </c>
      <c r="I60" s="7">
        <v>0.6</v>
      </c>
      <c r="J60" s="7">
        <v>1.2</v>
      </c>
      <c r="K60" s="7">
        <v>2</v>
      </c>
      <c r="L60" s="6">
        <v>42</v>
      </c>
      <c r="M60" s="6">
        <v>20</v>
      </c>
      <c r="N60" s="7">
        <v>0</v>
      </c>
      <c r="O60" s="6" t="s">
        <v>225</v>
      </c>
      <c r="P60" s="6"/>
      <c r="Q60" s="6" t="s">
        <v>265</v>
      </c>
      <c r="R60" s="6" t="s">
        <v>266</v>
      </c>
      <c r="S60" s="6"/>
    </row>
    <row r="61" ht="15" customHeight="1" spans="1:19" x14ac:dyDescent="0.25">
      <c r="A61" s="6" t="s">
        <v>277</v>
      </c>
      <c r="B61" s="6" t="s">
        <v>61</v>
      </c>
      <c r="C61" s="6" t="s">
        <v>108</v>
      </c>
      <c r="D61" s="6" t="s">
        <v>153</v>
      </c>
      <c r="E61" s="6">
        <v>20</v>
      </c>
      <c r="F61" s="7">
        <v>13.4</v>
      </c>
      <c r="G61" s="7">
        <v>0</v>
      </c>
      <c r="H61" s="7">
        <v>7.8</v>
      </c>
      <c r="I61" s="7">
        <v>0.6</v>
      </c>
      <c r="J61" s="7">
        <v>1.2</v>
      </c>
      <c r="K61" s="7">
        <v>2</v>
      </c>
      <c r="L61" s="6">
        <v>42</v>
      </c>
      <c r="M61" s="6">
        <v>20</v>
      </c>
      <c r="N61" s="7">
        <v>0</v>
      </c>
      <c r="O61" s="6" t="s">
        <v>225</v>
      </c>
      <c r="P61" s="6"/>
      <c r="Q61" s="6" t="s">
        <v>265</v>
      </c>
      <c r="R61" s="6" t="s">
        <v>266</v>
      </c>
      <c r="S61" s="6"/>
    </row>
    <row r="62" ht="15" customHeight="1" spans="1:19" x14ac:dyDescent="0.25">
      <c r="A62" s="6" t="s">
        <v>278</v>
      </c>
      <c r="B62" s="6" t="s">
        <v>61</v>
      </c>
      <c r="C62" s="6" t="s">
        <v>108</v>
      </c>
      <c r="D62" s="6" t="s">
        <v>157</v>
      </c>
      <c r="E62" s="6">
        <v>1</v>
      </c>
      <c r="F62" s="7">
        <v>2</v>
      </c>
      <c r="G62" s="7">
        <v>0</v>
      </c>
      <c r="H62" s="7">
        <v>10.2</v>
      </c>
      <c r="I62" s="7">
        <v>0.6</v>
      </c>
      <c r="J62" s="7">
        <v>1.2</v>
      </c>
      <c r="K62" s="7">
        <v>2</v>
      </c>
      <c r="L62" s="6">
        <v>42</v>
      </c>
      <c r="M62" s="6">
        <v>20</v>
      </c>
      <c r="N62" s="7">
        <v>8.8</v>
      </c>
      <c r="O62" s="6" t="s">
        <v>201</v>
      </c>
      <c r="P62" s="6" t="s">
        <v>252</v>
      </c>
      <c r="Q62" s="6" t="s">
        <v>279</v>
      </c>
      <c r="R62" s="6" t="s">
        <v>280</v>
      </c>
      <c r="S62" s="6"/>
    </row>
    <row r="63" ht="15" customHeight="1" spans="1:19" x14ac:dyDescent="0.25">
      <c r="A63" s="6" t="s">
        <v>281</v>
      </c>
      <c r="B63" s="6" t="s">
        <v>61</v>
      </c>
      <c r="C63" s="6" t="s">
        <v>108</v>
      </c>
      <c r="D63" s="6" t="s">
        <v>157</v>
      </c>
      <c r="E63" s="6">
        <v>2</v>
      </c>
      <c r="F63" s="7">
        <v>2.6</v>
      </c>
      <c r="G63" s="7">
        <v>0</v>
      </c>
      <c r="H63" s="7">
        <v>10.2</v>
      </c>
      <c r="I63" s="7">
        <v>0.6</v>
      </c>
      <c r="J63" s="7">
        <v>1.2</v>
      </c>
      <c r="K63" s="7">
        <v>2</v>
      </c>
      <c r="L63" s="6">
        <v>42</v>
      </c>
      <c r="M63" s="6">
        <v>20</v>
      </c>
      <c r="N63" s="7">
        <v>8.8</v>
      </c>
      <c r="O63" s="6" t="s">
        <v>201</v>
      </c>
      <c r="P63" s="6" t="s">
        <v>252</v>
      </c>
      <c r="Q63" s="6" t="s">
        <v>279</v>
      </c>
      <c r="R63" s="6" t="s">
        <v>280</v>
      </c>
      <c r="S63" s="6"/>
    </row>
    <row r="64" ht="15" customHeight="1" spans="1:19" x14ac:dyDescent="0.25">
      <c r="A64" s="6" t="s">
        <v>282</v>
      </c>
      <c r="B64" s="6" t="s">
        <v>61</v>
      </c>
      <c r="C64" s="6" t="s">
        <v>108</v>
      </c>
      <c r="D64" s="6" t="s">
        <v>157</v>
      </c>
      <c r="E64" s="6">
        <v>3</v>
      </c>
      <c r="F64" s="7">
        <v>3.2</v>
      </c>
      <c r="G64" s="7">
        <v>0</v>
      </c>
      <c r="H64" s="7">
        <v>10.2</v>
      </c>
      <c r="I64" s="7">
        <v>0.6</v>
      </c>
      <c r="J64" s="7">
        <v>1.2</v>
      </c>
      <c r="K64" s="7">
        <v>2</v>
      </c>
      <c r="L64" s="6">
        <v>42</v>
      </c>
      <c r="M64" s="6">
        <v>20</v>
      </c>
      <c r="N64" s="7">
        <v>8.8</v>
      </c>
      <c r="O64" s="6" t="s">
        <v>201</v>
      </c>
      <c r="P64" s="6" t="s">
        <v>252</v>
      </c>
      <c r="Q64" s="6" t="s">
        <v>279</v>
      </c>
      <c r="R64" s="6" t="s">
        <v>280</v>
      </c>
      <c r="S64" s="6"/>
    </row>
    <row r="65" ht="15" customHeight="1" spans="1:19" x14ac:dyDescent="0.25">
      <c r="A65" s="6" t="s">
        <v>283</v>
      </c>
      <c r="B65" s="6" t="s">
        <v>61</v>
      </c>
      <c r="C65" s="6" t="s">
        <v>108</v>
      </c>
      <c r="D65" s="6" t="s">
        <v>157</v>
      </c>
      <c r="E65" s="6">
        <v>4</v>
      </c>
      <c r="F65" s="7">
        <v>3.8</v>
      </c>
      <c r="G65" s="7">
        <v>0</v>
      </c>
      <c r="H65" s="7">
        <v>10.2</v>
      </c>
      <c r="I65" s="7">
        <v>0.6</v>
      </c>
      <c r="J65" s="7">
        <v>1.2</v>
      </c>
      <c r="K65" s="7">
        <v>2</v>
      </c>
      <c r="L65" s="6">
        <v>42</v>
      </c>
      <c r="M65" s="6">
        <v>20</v>
      </c>
      <c r="N65" s="7">
        <v>8.8</v>
      </c>
      <c r="O65" s="6" t="s">
        <v>201</v>
      </c>
      <c r="P65" s="6" t="s">
        <v>252</v>
      </c>
      <c r="Q65" s="6" t="s">
        <v>279</v>
      </c>
      <c r="R65" s="6" t="s">
        <v>280</v>
      </c>
      <c r="S65" s="6"/>
    </row>
    <row r="66" ht="15" customHeight="1" spans="1:19" x14ac:dyDescent="0.25">
      <c r="A66" s="6" t="s">
        <v>284</v>
      </c>
      <c r="B66" s="6" t="s">
        <v>61</v>
      </c>
      <c r="C66" s="6" t="s">
        <v>108</v>
      </c>
      <c r="D66" s="6" t="s">
        <v>157</v>
      </c>
      <c r="E66" s="6">
        <v>5</v>
      </c>
      <c r="F66" s="7">
        <v>4.4</v>
      </c>
      <c r="G66" s="7">
        <v>0</v>
      </c>
      <c r="H66" s="7">
        <v>10.2</v>
      </c>
      <c r="I66" s="7">
        <v>0.6</v>
      </c>
      <c r="J66" s="7">
        <v>1.2</v>
      </c>
      <c r="K66" s="7">
        <v>2</v>
      </c>
      <c r="L66" s="6">
        <v>42</v>
      </c>
      <c r="M66" s="6">
        <v>20</v>
      </c>
      <c r="N66" s="7">
        <v>8.8</v>
      </c>
      <c r="O66" s="6" t="s">
        <v>201</v>
      </c>
      <c r="P66" s="6" t="s">
        <v>252</v>
      </c>
      <c r="Q66" s="6" t="s">
        <v>279</v>
      </c>
      <c r="R66" s="6" t="s">
        <v>280</v>
      </c>
      <c r="S66" s="6"/>
    </row>
    <row r="67" ht="15" customHeight="1" spans="1:19" x14ac:dyDescent="0.25">
      <c r="A67" s="6" t="s">
        <v>285</v>
      </c>
      <c r="B67" s="6" t="s">
        <v>61</v>
      </c>
      <c r="C67" s="6" t="s">
        <v>108</v>
      </c>
      <c r="D67" s="6" t="s">
        <v>157</v>
      </c>
      <c r="E67" s="6">
        <v>6</v>
      </c>
      <c r="F67" s="7">
        <v>5</v>
      </c>
      <c r="G67" s="7">
        <v>0</v>
      </c>
      <c r="H67" s="7">
        <v>10.2</v>
      </c>
      <c r="I67" s="7">
        <v>0.6</v>
      </c>
      <c r="J67" s="7">
        <v>1.2</v>
      </c>
      <c r="K67" s="7">
        <v>2</v>
      </c>
      <c r="L67" s="6">
        <v>42</v>
      </c>
      <c r="M67" s="6">
        <v>20</v>
      </c>
      <c r="N67" s="7">
        <v>8.8</v>
      </c>
      <c r="O67" s="6" t="s">
        <v>201</v>
      </c>
      <c r="P67" s="6" t="s">
        <v>252</v>
      </c>
      <c r="Q67" s="6" t="s">
        <v>279</v>
      </c>
      <c r="R67" s="6" t="s">
        <v>280</v>
      </c>
      <c r="S67" s="6"/>
    </row>
    <row r="68" ht="15" customHeight="1" spans="1:19" x14ac:dyDescent="0.25">
      <c r="A68" s="6" t="s">
        <v>286</v>
      </c>
      <c r="B68" s="6" t="s">
        <v>61</v>
      </c>
      <c r="C68" s="6" t="s">
        <v>108</v>
      </c>
      <c r="D68" s="6" t="s">
        <v>157</v>
      </c>
      <c r="E68" s="6">
        <v>7</v>
      </c>
      <c r="F68" s="7">
        <v>5.6</v>
      </c>
      <c r="G68" s="7">
        <v>0</v>
      </c>
      <c r="H68" s="7">
        <v>10.2</v>
      </c>
      <c r="I68" s="7">
        <v>0.6</v>
      </c>
      <c r="J68" s="7">
        <v>1.2</v>
      </c>
      <c r="K68" s="7">
        <v>2</v>
      </c>
      <c r="L68" s="6">
        <v>42</v>
      </c>
      <c r="M68" s="6">
        <v>20</v>
      </c>
      <c r="N68" s="7">
        <v>8.8</v>
      </c>
      <c r="O68" s="6" t="s">
        <v>201</v>
      </c>
      <c r="P68" s="6" t="s">
        <v>252</v>
      </c>
      <c r="Q68" s="6" t="s">
        <v>279</v>
      </c>
      <c r="R68" s="6" t="s">
        <v>280</v>
      </c>
      <c r="S68" s="6"/>
    </row>
    <row r="69" ht="15" customHeight="1" spans="1:19" x14ac:dyDescent="0.25">
      <c r="A69" s="6" t="s">
        <v>287</v>
      </c>
      <c r="B69" s="6" t="s">
        <v>61</v>
      </c>
      <c r="C69" s="6" t="s">
        <v>108</v>
      </c>
      <c r="D69" s="6" t="s">
        <v>157</v>
      </c>
      <c r="E69" s="6">
        <v>8</v>
      </c>
      <c r="F69" s="7">
        <v>6.2</v>
      </c>
      <c r="G69" s="7">
        <v>0</v>
      </c>
      <c r="H69" s="7">
        <v>10.2</v>
      </c>
      <c r="I69" s="7">
        <v>0.6</v>
      </c>
      <c r="J69" s="7">
        <v>1.2</v>
      </c>
      <c r="K69" s="7">
        <v>2</v>
      </c>
      <c r="L69" s="6">
        <v>42</v>
      </c>
      <c r="M69" s="6">
        <v>20</v>
      </c>
      <c r="N69" s="7">
        <v>8.8</v>
      </c>
      <c r="O69" s="6" t="s">
        <v>201</v>
      </c>
      <c r="P69" s="6" t="s">
        <v>252</v>
      </c>
      <c r="Q69" s="6" t="s">
        <v>279</v>
      </c>
      <c r="R69" s="6" t="s">
        <v>280</v>
      </c>
      <c r="S69" s="6"/>
    </row>
    <row r="70" ht="15" customHeight="1" spans="1:19" x14ac:dyDescent="0.25">
      <c r="A70" s="6" t="s">
        <v>288</v>
      </c>
      <c r="B70" s="6" t="s">
        <v>61</v>
      </c>
      <c r="C70" s="6" t="s">
        <v>108</v>
      </c>
      <c r="D70" s="6" t="s">
        <v>157</v>
      </c>
      <c r="E70" s="6">
        <v>9</v>
      </c>
      <c r="F70" s="7">
        <v>6.8</v>
      </c>
      <c r="G70" s="7">
        <v>0</v>
      </c>
      <c r="H70" s="7">
        <v>10.2</v>
      </c>
      <c r="I70" s="7">
        <v>0.6</v>
      </c>
      <c r="J70" s="7">
        <v>1.2</v>
      </c>
      <c r="K70" s="7">
        <v>2</v>
      </c>
      <c r="L70" s="6">
        <v>42</v>
      </c>
      <c r="M70" s="6">
        <v>20</v>
      </c>
      <c r="N70" s="7">
        <v>8.8</v>
      </c>
      <c r="O70" s="6" t="s">
        <v>201</v>
      </c>
      <c r="P70" s="6" t="s">
        <v>252</v>
      </c>
      <c r="Q70" s="6" t="s">
        <v>279</v>
      </c>
      <c r="R70" s="6" t="s">
        <v>280</v>
      </c>
      <c r="S70" s="6"/>
    </row>
    <row r="71" ht="15" customHeight="1" spans="1:19" x14ac:dyDescent="0.25">
      <c r="A71" s="6" t="s">
        <v>289</v>
      </c>
      <c r="B71" s="6" t="s">
        <v>61</v>
      </c>
      <c r="C71" s="6" t="s">
        <v>108</v>
      </c>
      <c r="D71" s="6" t="s">
        <v>157</v>
      </c>
      <c r="E71" s="6">
        <v>10</v>
      </c>
      <c r="F71" s="7">
        <v>7.4</v>
      </c>
      <c r="G71" s="7">
        <v>0</v>
      </c>
      <c r="H71" s="7">
        <v>10.2</v>
      </c>
      <c r="I71" s="7">
        <v>0.6</v>
      </c>
      <c r="J71" s="7">
        <v>1.2</v>
      </c>
      <c r="K71" s="7">
        <v>2</v>
      </c>
      <c r="L71" s="6">
        <v>42</v>
      </c>
      <c r="M71" s="6">
        <v>20</v>
      </c>
      <c r="N71" s="7">
        <v>8.8</v>
      </c>
      <c r="O71" s="6" t="s">
        <v>201</v>
      </c>
      <c r="P71" s="6" t="s">
        <v>252</v>
      </c>
      <c r="Q71" s="6" t="s">
        <v>279</v>
      </c>
      <c r="R71" s="6" t="s">
        <v>280</v>
      </c>
      <c r="S71" s="6"/>
    </row>
    <row r="72" ht="15" customHeight="1" spans="1:19" x14ac:dyDescent="0.25">
      <c r="A72" s="6" t="s">
        <v>290</v>
      </c>
      <c r="B72" s="6" t="s">
        <v>61</v>
      </c>
      <c r="C72" s="6" t="s">
        <v>108</v>
      </c>
      <c r="D72" s="6" t="s">
        <v>157</v>
      </c>
      <c r="E72" s="6">
        <v>11</v>
      </c>
      <c r="F72" s="7">
        <v>8</v>
      </c>
      <c r="G72" s="7">
        <v>0</v>
      </c>
      <c r="H72" s="7">
        <v>10.2</v>
      </c>
      <c r="I72" s="7">
        <v>0.6</v>
      </c>
      <c r="J72" s="7">
        <v>1.2</v>
      </c>
      <c r="K72" s="7">
        <v>2</v>
      </c>
      <c r="L72" s="6">
        <v>42</v>
      </c>
      <c r="M72" s="6">
        <v>20</v>
      </c>
      <c r="N72" s="7">
        <v>8.8</v>
      </c>
      <c r="O72" s="6" t="s">
        <v>201</v>
      </c>
      <c r="P72" s="6" t="s">
        <v>252</v>
      </c>
      <c r="Q72" s="6" t="s">
        <v>291</v>
      </c>
      <c r="R72" s="6" t="s">
        <v>292</v>
      </c>
      <c r="S72" s="6"/>
    </row>
    <row r="73" ht="15" customHeight="1" spans="1:19" x14ac:dyDescent="0.25">
      <c r="A73" s="6" t="s">
        <v>293</v>
      </c>
      <c r="B73" s="6" t="s">
        <v>61</v>
      </c>
      <c r="C73" s="6" t="s">
        <v>108</v>
      </c>
      <c r="D73" s="6" t="s">
        <v>157</v>
      </c>
      <c r="E73" s="6">
        <v>12</v>
      </c>
      <c r="F73" s="7">
        <v>8.6</v>
      </c>
      <c r="G73" s="7">
        <v>0</v>
      </c>
      <c r="H73" s="7">
        <v>10.2</v>
      </c>
      <c r="I73" s="7">
        <v>0.6</v>
      </c>
      <c r="J73" s="7">
        <v>1.2</v>
      </c>
      <c r="K73" s="7">
        <v>2</v>
      </c>
      <c r="L73" s="6">
        <v>42</v>
      </c>
      <c r="M73" s="6">
        <v>20</v>
      </c>
      <c r="N73" s="7">
        <v>8.8</v>
      </c>
      <c r="O73" s="6" t="s">
        <v>201</v>
      </c>
      <c r="P73" s="6" t="s">
        <v>252</v>
      </c>
      <c r="Q73" s="6" t="s">
        <v>291</v>
      </c>
      <c r="R73" s="6" t="s">
        <v>292</v>
      </c>
      <c r="S73" s="6"/>
    </row>
    <row r="74" ht="15" customHeight="1" spans="1:19" x14ac:dyDescent="0.25">
      <c r="A74" s="6" t="s">
        <v>294</v>
      </c>
      <c r="B74" s="6" t="s">
        <v>61</v>
      </c>
      <c r="C74" s="6" t="s">
        <v>108</v>
      </c>
      <c r="D74" s="6" t="s">
        <v>157</v>
      </c>
      <c r="E74" s="6">
        <v>13</v>
      </c>
      <c r="F74" s="7">
        <v>9.2</v>
      </c>
      <c r="G74" s="7">
        <v>0</v>
      </c>
      <c r="H74" s="7">
        <v>10.2</v>
      </c>
      <c r="I74" s="7">
        <v>0.6</v>
      </c>
      <c r="J74" s="7">
        <v>1.2</v>
      </c>
      <c r="K74" s="7">
        <v>2</v>
      </c>
      <c r="L74" s="6">
        <v>42</v>
      </c>
      <c r="M74" s="6">
        <v>20</v>
      </c>
      <c r="N74" s="7">
        <v>8.8</v>
      </c>
      <c r="O74" s="6" t="s">
        <v>201</v>
      </c>
      <c r="P74" s="6" t="s">
        <v>252</v>
      </c>
      <c r="Q74" s="6" t="s">
        <v>291</v>
      </c>
      <c r="R74" s="6" t="s">
        <v>292</v>
      </c>
      <c r="S74" s="6"/>
    </row>
    <row r="75" ht="15" customHeight="1" spans="1:19" x14ac:dyDescent="0.25">
      <c r="A75" s="6" t="s">
        <v>295</v>
      </c>
      <c r="B75" s="6" t="s">
        <v>61</v>
      </c>
      <c r="C75" s="6" t="s">
        <v>108</v>
      </c>
      <c r="D75" s="6" t="s">
        <v>157</v>
      </c>
      <c r="E75" s="6">
        <v>14</v>
      </c>
      <c r="F75" s="7">
        <v>9.8</v>
      </c>
      <c r="G75" s="7">
        <v>0</v>
      </c>
      <c r="H75" s="7">
        <v>10.2</v>
      </c>
      <c r="I75" s="7">
        <v>0.6</v>
      </c>
      <c r="J75" s="7">
        <v>1.2</v>
      </c>
      <c r="K75" s="7">
        <v>2</v>
      </c>
      <c r="L75" s="6">
        <v>42</v>
      </c>
      <c r="M75" s="6">
        <v>20</v>
      </c>
      <c r="N75" s="7">
        <v>8.8</v>
      </c>
      <c r="O75" s="6" t="s">
        <v>201</v>
      </c>
      <c r="P75" s="6" t="s">
        <v>252</v>
      </c>
      <c r="Q75" s="6" t="s">
        <v>291</v>
      </c>
      <c r="R75" s="6" t="s">
        <v>292</v>
      </c>
      <c r="S75" s="6"/>
    </row>
    <row r="76" ht="15" customHeight="1" spans="1:19" x14ac:dyDescent="0.25">
      <c r="A76" s="6" t="s">
        <v>296</v>
      </c>
      <c r="B76" s="6" t="s">
        <v>61</v>
      </c>
      <c r="C76" s="6" t="s">
        <v>108</v>
      </c>
      <c r="D76" s="6" t="s">
        <v>157</v>
      </c>
      <c r="E76" s="6">
        <v>15</v>
      </c>
      <c r="F76" s="7">
        <v>10.4</v>
      </c>
      <c r="G76" s="7">
        <v>0</v>
      </c>
      <c r="H76" s="7">
        <v>10.2</v>
      </c>
      <c r="I76" s="7">
        <v>0.6</v>
      </c>
      <c r="J76" s="7">
        <v>1.2</v>
      </c>
      <c r="K76" s="7">
        <v>2</v>
      </c>
      <c r="L76" s="6">
        <v>42</v>
      </c>
      <c r="M76" s="6">
        <v>20</v>
      </c>
      <c r="N76" s="7">
        <v>8.8</v>
      </c>
      <c r="O76" s="6" t="s">
        <v>201</v>
      </c>
      <c r="P76" s="6" t="s">
        <v>252</v>
      </c>
      <c r="Q76" s="6" t="s">
        <v>291</v>
      </c>
      <c r="R76" s="6" t="s">
        <v>292</v>
      </c>
      <c r="S76" s="6"/>
    </row>
    <row r="77" ht="15" customHeight="1" spans="1:19" x14ac:dyDescent="0.25">
      <c r="A77" s="6" t="s">
        <v>297</v>
      </c>
      <c r="B77" s="6" t="s">
        <v>61</v>
      </c>
      <c r="C77" s="6" t="s">
        <v>108</v>
      </c>
      <c r="D77" s="6" t="s">
        <v>157</v>
      </c>
      <c r="E77" s="6">
        <v>16</v>
      </c>
      <c r="F77" s="7">
        <v>11</v>
      </c>
      <c r="G77" s="7">
        <v>0</v>
      </c>
      <c r="H77" s="7">
        <v>10.2</v>
      </c>
      <c r="I77" s="7">
        <v>0.6</v>
      </c>
      <c r="J77" s="7">
        <v>1.2</v>
      </c>
      <c r="K77" s="7">
        <v>2</v>
      </c>
      <c r="L77" s="6">
        <v>42</v>
      </c>
      <c r="M77" s="6">
        <v>20</v>
      </c>
      <c r="N77" s="7">
        <v>8.8</v>
      </c>
      <c r="O77" s="6" t="s">
        <v>201</v>
      </c>
      <c r="P77" s="6" t="s">
        <v>252</v>
      </c>
      <c r="Q77" s="6" t="s">
        <v>291</v>
      </c>
      <c r="R77" s="6" t="s">
        <v>292</v>
      </c>
      <c r="S77" s="6"/>
    </row>
    <row r="78" ht="15" customHeight="1" spans="1:19" x14ac:dyDescent="0.25">
      <c r="A78" s="6" t="s">
        <v>298</v>
      </c>
      <c r="B78" s="6" t="s">
        <v>61</v>
      </c>
      <c r="C78" s="6" t="s">
        <v>108</v>
      </c>
      <c r="D78" s="6" t="s">
        <v>157</v>
      </c>
      <c r="E78" s="6">
        <v>17</v>
      </c>
      <c r="F78" s="7">
        <v>11.6</v>
      </c>
      <c r="G78" s="7">
        <v>0</v>
      </c>
      <c r="H78" s="7">
        <v>10.2</v>
      </c>
      <c r="I78" s="7">
        <v>0.6</v>
      </c>
      <c r="J78" s="7">
        <v>1.2</v>
      </c>
      <c r="K78" s="7">
        <v>2</v>
      </c>
      <c r="L78" s="6">
        <v>42</v>
      </c>
      <c r="M78" s="6">
        <v>20</v>
      </c>
      <c r="N78" s="7">
        <v>8.8</v>
      </c>
      <c r="O78" s="6" t="s">
        <v>201</v>
      </c>
      <c r="P78" s="6" t="s">
        <v>252</v>
      </c>
      <c r="Q78" s="6" t="s">
        <v>291</v>
      </c>
      <c r="R78" s="6" t="s">
        <v>292</v>
      </c>
      <c r="S78" s="6"/>
    </row>
    <row r="79" ht="15" customHeight="1" spans="1:19" x14ac:dyDescent="0.25">
      <c r="A79" s="6" t="s">
        <v>299</v>
      </c>
      <c r="B79" s="6" t="s">
        <v>61</v>
      </c>
      <c r="C79" s="6" t="s">
        <v>108</v>
      </c>
      <c r="D79" s="6" t="s">
        <v>157</v>
      </c>
      <c r="E79" s="6">
        <v>18</v>
      </c>
      <c r="F79" s="7">
        <v>12.2</v>
      </c>
      <c r="G79" s="7">
        <v>0</v>
      </c>
      <c r="H79" s="7">
        <v>10.2</v>
      </c>
      <c r="I79" s="7">
        <v>0.6</v>
      </c>
      <c r="J79" s="7">
        <v>1.2</v>
      </c>
      <c r="K79" s="7">
        <v>2</v>
      </c>
      <c r="L79" s="6">
        <v>42</v>
      </c>
      <c r="M79" s="6">
        <v>20</v>
      </c>
      <c r="N79" s="7">
        <v>8.8</v>
      </c>
      <c r="O79" s="6" t="s">
        <v>201</v>
      </c>
      <c r="P79" s="6" t="s">
        <v>252</v>
      </c>
      <c r="Q79" s="6" t="s">
        <v>291</v>
      </c>
      <c r="R79" s="6" t="s">
        <v>292</v>
      </c>
      <c r="S79" s="6"/>
    </row>
    <row r="80" ht="15" customHeight="1" spans="1:19" x14ac:dyDescent="0.25">
      <c r="A80" s="6" t="s">
        <v>300</v>
      </c>
      <c r="B80" s="6" t="s">
        <v>61</v>
      </c>
      <c r="C80" s="6" t="s">
        <v>108</v>
      </c>
      <c r="D80" s="6" t="s">
        <v>157</v>
      </c>
      <c r="E80" s="6">
        <v>19</v>
      </c>
      <c r="F80" s="7">
        <v>12.8</v>
      </c>
      <c r="G80" s="7">
        <v>0</v>
      </c>
      <c r="H80" s="7">
        <v>10.2</v>
      </c>
      <c r="I80" s="7">
        <v>0.6</v>
      </c>
      <c r="J80" s="7">
        <v>1.2</v>
      </c>
      <c r="K80" s="7">
        <v>2</v>
      </c>
      <c r="L80" s="6">
        <v>42</v>
      </c>
      <c r="M80" s="6">
        <v>20</v>
      </c>
      <c r="N80" s="7">
        <v>9.6</v>
      </c>
      <c r="O80" s="6" t="s">
        <v>201</v>
      </c>
      <c r="P80" s="6" t="s">
        <v>252</v>
      </c>
      <c r="Q80" s="6" t="s">
        <v>291</v>
      </c>
      <c r="R80" s="6" t="s">
        <v>292</v>
      </c>
      <c r="S80" s="6"/>
    </row>
    <row r="81" ht="15" customHeight="1" spans="1:19" x14ac:dyDescent="0.25">
      <c r="A81" s="6" t="s">
        <v>301</v>
      </c>
      <c r="B81" s="6" t="s">
        <v>61</v>
      </c>
      <c r="C81" s="6" t="s">
        <v>108</v>
      </c>
      <c r="D81" s="6" t="s">
        <v>157</v>
      </c>
      <c r="E81" s="6">
        <v>20</v>
      </c>
      <c r="F81" s="7">
        <v>13.4</v>
      </c>
      <c r="G81" s="7">
        <v>0</v>
      </c>
      <c r="H81" s="7">
        <v>10.2</v>
      </c>
      <c r="I81" s="7">
        <v>0.6</v>
      </c>
      <c r="J81" s="7">
        <v>1.2</v>
      </c>
      <c r="K81" s="7">
        <v>2</v>
      </c>
      <c r="L81" s="6">
        <v>42</v>
      </c>
      <c r="M81" s="6">
        <v>20</v>
      </c>
      <c r="N81" s="7">
        <v>0</v>
      </c>
      <c r="O81" s="6" t="s">
        <v>225</v>
      </c>
      <c r="P81" s="6"/>
      <c r="Q81" s="6" t="s">
        <v>291</v>
      </c>
      <c r="R81" s="6" t="s">
        <v>292</v>
      </c>
      <c r="S81" s="6"/>
    </row>
    <row r="82" ht="15" customHeight="1" spans="1:19" x14ac:dyDescent="0.25">
      <c r="A82" s="6" t="s">
        <v>302</v>
      </c>
      <c r="B82" s="6" t="s">
        <v>61</v>
      </c>
      <c r="C82" s="6" t="s">
        <v>108</v>
      </c>
      <c r="D82" s="6" t="s">
        <v>158</v>
      </c>
      <c r="E82" s="6">
        <v>1</v>
      </c>
      <c r="F82" s="7">
        <v>2</v>
      </c>
      <c r="G82" s="7">
        <v>0</v>
      </c>
      <c r="H82" s="7">
        <v>12.6</v>
      </c>
      <c r="I82" s="7">
        <v>0.6</v>
      </c>
      <c r="J82" s="7">
        <v>1.2</v>
      </c>
      <c r="K82" s="7">
        <v>2</v>
      </c>
      <c r="L82" s="6">
        <v>42</v>
      </c>
      <c r="M82" s="6">
        <v>20</v>
      </c>
      <c r="N82" s="7">
        <v>9.4</v>
      </c>
      <c r="O82" s="6" t="s">
        <v>201</v>
      </c>
      <c r="P82" s="6" t="s">
        <v>303</v>
      </c>
      <c r="Q82" s="6" t="s">
        <v>304</v>
      </c>
      <c r="R82" s="6" t="s">
        <v>305</v>
      </c>
      <c r="S82" s="6"/>
    </row>
    <row r="83" ht="15" customHeight="1" spans="1:19" x14ac:dyDescent="0.25">
      <c r="A83" s="6" t="s">
        <v>306</v>
      </c>
      <c r="B83" s="6" t="s">
        <v>61</v>
      </c>
      <c r="C83" s="6" t="s">
        <v>108</v>
      </c>
      <c r="D83" s="6" t="s">
        <v>158</v>
      </c>
      <c r="E83" s="6">
        <v>2</v>
      </c>
      <c r="F83" s="7">
        <v>2.6</v>
      </c>
      <c r="G83" s="7">
        <v>0</v>
      </c>
      <c r="H83" s="7">
        <v>12.6</v>
      </c>
      <c r="I83" s="7">
        <v>0.6</v>
      </c>
      <c r="J83" s="7">
        <v>1.2</v>
      </c>
      <c r="K83" s="7">
        <v>2</v>
      </c>
      <c r="L83" s="6">
        <v>42</v>
      </c>
      <c r="M83" s="6">
        <v>20</v>
      </c>
      <c r="N83" s="7">
        <v>9.4</v>
      </c>
      <c r="O83" s="6" t="s">
        <v>201</v>
      </c>
      <c r="P83" s="6" t="s">
        <v>303</v>
      </c>
      <c r="Q83" s="6" t="s">
        <v>304</v>
      </c>
      <c r="R83" s="6" t="s">
        <v>305</v>
      </c>
      <c r="S83" s="6"/>
    </row>
    <row r="84" ht="15" customHeight="1" spans="1:19" x14ac:dyDescent="0.25">
      <c r="A84" s="6" t="s">
        <v>307</v>
      </c>
      <c r="B84" s="6" t="s">
        <v>61</v>
      </c>
      <c r="C84" s="6" t="s">
        <v>108</v>
      </c>
      <c r="D84" s="6" t="s">
        <v>158</v>
      </c>
      <c r="E84" s="6">
        <v>3</v>
      </c>
      <c r="F84" s="7">
        <v>3.2</v>
      </c>
      <c r="G84" s="7">
        <v>0</v>
      </c>
      <c r="H84" s="7">
        <v>12.6</v>
      </c>
      <c r="I84" s="7">
        <v>0.6</v>
      </c>
      <c r="J84" s="7">
        <v>1.2</v>
      </c>
      <c r="K84" s="7">
        <v>2</v>
      </c>
      <c r="L84" s="6">
        <v>42</v>
      </c>
      <c r="M84" s="6">
        <v>20</v>
      </c>
      <c r="N84" s="7">
        <v>9.4</v>
      </c>
      <c r="O84" s="6" t="s">
        <v>201</v>
      </c>
      <c r="P84" s="6" t="s">
        <v>303</v>
      </c>
      <c r="Q84" s="6" t="s">
        <v>304</v>
      </c>
      <c r="R84" s="6" t="s">
        <v>305</v>
      </c>
      <c r="S84" s="6"/>
    </row>
    <row r="85" ht="15" customHeight="1" spans="1:19" x14ac:dyDescent="0.25">
      <c r="A85" s="6" t="s">
        <v>308</v>
      </c>
      <c r="B85" s="6" t="s">
        <v>61</v>
      </c>
      <c r="C85" s="6" t="s">
        <v>108</v>
      </c>
      <c r="D85" s="6" t="s">
        <v>158</v>
      </c>
      <c r="E85" s="6">
        <v>4</v>
      </c>
      <c r="F85" s="7">
        <v>3.8</v>
      </c>
      <c r="G85" s="7">
        <v>0</v>
      </c>
      <c r="H85" s="7">
        <v>12.6</v>
      </c>
      <c r="I85" s="7">
        <v>0.6</v>
      </c>
      <c r="J85" s="7">
        <v>1.2</v>
      </c>
      <c r="K85" s="7">
        <v>2</v>
      </c>
      <c r="L85" s="6">
        <v>42</v>
      </c>
      <c r="M85" s="6">
        <v>20</v>
      </c>
      <c r="N85" s="7">
        <v>9.4</v>
      </c>
      <c r="O85" s="6" t="s">
        <v>201</v>
      </c>
      <c r="P85" s="6" t="s">
        <v>303</v>
      </c>
      <c r="Q85" s="6" t="s">
        <v>304</v>
      </c>
      <c r="R85" s="6" t="s">
        <v>305</v>
      </c>
      <c r="S85" s="6"/>
    </row>
    <row r="86" ht="15" customHeight="1" spans="1:19" x14ac:dyDescent="0.25">
      <c r="A86" s="6" t="s">
        <v>309</v>
      </c>
      <c r="B86" s="6" t="s">
        <v>61</v>
      </c>
      <c r="C86" s="6" t="s">
        <v>108</v>
      </c>
      <c r="D86" s="6" t="s">
        <v>158</v>
      </c>
      <c r="E86" s="6">
        <v>5</v>
      </c>
      <c r="F86" s="7">
        <v>4.4</v>
      </c>
      <c r="G86" s="7">
        <v>0</v>
      </c>
      <c r="H86" s="7">
        <v>12.6</v>
      </c>
      <c r="I86" s="7">
        <v>0.6</v>
      </c>
      <c r="J86" s="7">
        <v>1.2</v>
      </c>
      <c r="K86" s="7">
        <v>2</v>
      </c>
      <c r="L86" s="6">
        <v>42</v>
      </c>
      <c r="M86" s="6">
        <v>20</v>
      </c>
      <c r="N86" s="7">
        <v>9.4</v>
      </c>
      <c r="O86" s="6" t="s">
        <v>201</v>
      </c>
      <c r="P86" s="6" t="s">
        <v>303</v>
      </c>
      <c r="Q86" s="6" t="s">
        <v>304</v>
      </c>
      <c r="R86" s="6" t="s">
        <v>305</v>
      </c>
      <c r="S86" s="6"/>
    </row>
    <row r="87" ht="15" customHeight="1" spans="1:19" x14ac:dyDescent="0.25">
      <c r="A87" s="6" t="s">
        <v>310</v>
      </c>
      <c r="B87" s="6" t="s">
        <v>61</v>
      </c>
      <c r="C87" s="6" t="s">
        <v>108</v>
      </c>
      <c r="D87" s="6" t="s">
        <v>158</v>
      </c>
      <c r="E87" s="6">
        <v>6</v>
      </c>
      <c r="F87" s="7">
        <v>5</v>
      </c>
      <c r="G87" s="7">
        <v>0</v>
      </c>
      <c r="H87" s="7">
        <v>12.6</v>
      </c>
      <c r="I87" s="7">
        <v>0.6</v>
      </c>
      <c r="J87" s="7">
        <v>1.2</v>
      </c>
      <c r="K87" s="7">
        <v>2</v>
      </c>
      <c r="L87" s="6">
        <v>42</v>
      </c>
      <c r="M87" s="6">
        <v>20</v>
      </c>
      <c r="N87" s="7">
        <v>9.4</v>
      </c>
      <c r="O87" s="6" t="s">
        <v>201</v>
      </c>
      <c r="P87" s="6" t="s">
        <v>303</v>
      </c>
      <c r="Q87" s="6" t="s">
        <v>304</v>
      </c>
      <c r="R87" s="6" t="s">
        <v>305</v>
      </c>
      <c r="S87" s="6"/>
    </row>
    <row r="88" ht="15" customHeight="1" spans="1:19" x14ac:dyDescent="0.25">
      <c r="A88" s="6" t="s">
        <v>311</v>
      </c>
      <c r="B88" s="6" t="s">
        <v>61</v>
      </c>
      <c r="C88" s="6" t="s">
        <v>108</v>
      </c>
      <c r="D88" s="6" t="s">
        <v>158</v>
      </c>
      <c r="E88" s="6">
        <v>7</v>
      </c>
      <c r="F88" s="7">
        <v>5.6</v>
      </c>
      <c r="G88" s="7">
        <v>0</v>
      </c>
      <c r="H88" s="7">
        <v>12.6</v>
      </c>
      <c r="I88" s="7">
        <v>0.6</v>
      </c>
      <c r="J88" s="7">
        <v>1.2</v>
      </c>
      <c r="K88" s="7">
        <v>2</v>
      </c>
      <c r="L88" s="6">
        <v>42</v>
      </c>
      <c r="M88" s="6">
        <v>20</v>
      </c>
      <c r="N88" s="7">
        <v>9.4</v>
      </c>
      <c r="O88" s="6" t="s">
        <v>201</v>
      </c>
      <c r="P88" s="6" t="s">
        <v>303</v>
      </c>
      <c r="Q88" s="6" t="s">
        <v>304</v>
      </c>
      <c r="R88" s="6" t="s">
        <v>305</v>
      </c>
      <c r="S88" s="6"/>
    </row>
    <row r="89" ht="15" customHeight="1" spans="1:19" x14ac:dyDescent="0.25">
      <c r="A89" s="6" t="s">
        <v>312</v>
      </c>
      <c r="B89" s="6" t="s">
        <v>61</v>
      </c>
      <c r="C89" s="6" t="s">
        <v>108</v>
      </c>
      <c r="D89" s="6" t="s">
        <v>158</v>
      </c>
      <c r="E89" s="6">
        <v>8</v>
      </c>
      <c r="F89" s="7">
        <v>6.2</v>
      </c>
      <c r="G89" s="7">
        <v>0</v>
      </c>
      <c r="H89" s="7">
        <v>12.6</v>
      </c>
      <c r="I89" s="7">
        <v>0.6</v>
      </c>
      <c r="J89" s="7">
        <v>1.2</v>
      </c>
      <c r="K89" s="7">
        <v>2</v>
      </c>
      <c r="L89" s="6">
        <v>42</v>
      </c>
      <c r="M89" s="6">
        <v>20</v>
      </c>
      <c r="N89" s="7">
        <v>9.4</v>
      </c>
      <c r="O89" s="6" t="s">
        <v>201</v>
      </c>
      <c r="P89" s="6" t="s">
        <v>303</v>
      </c>
      <c r="Q89" s="6" t="s">
        <v>304</v>
      </c>
      <c r="R89" s="6" t="s">
        <v>305</v>
      </c>
      <c r="S89" s="6"/>
    </row>
    <row r="90" ht="15" customHeight="1" spans="1:19" x14ac:dyDescent="0.25">
      <c r="A90" s="6" t="s">
        <v>313</v>
      </c>
      <c r="B90" s="6" t="s">
        <v>61</v>
      </c>
      <c r="C90" s="6" t="s">
        <v>108</v>
      </c>
      <c r="D90" s="6" t="s">
        <v>158</v>
      </c>
      <c r="E90" s="6">
        <v>9</v>
      </c>
      <c r="F90" s="7">
        <v>6.8</v>
      </c>
      <c r="G90" s="7">
        <v>0</v>
      </c>
      <c r="H90" s="7">
        <v>12.6</v>
      </c>
      <c r="I90" s="7">
        <v>0.6</v>
      </c>
      <c r="J90" s="7">
        <v>1.2</v>
      </c>
      <c r="K90" s="7">
        <v>2</v>
      </c>
      <c r="L90" s="6">
        <v>42</v>
      </c>
      <c r="M90" s="6">
        <v>20</v>
      </c>
      <c r="N90" s="7">
        <v>9.4</v>
      </c>
      <c r="O90" s="6" t="s">
        <v>201</v>
      </c>
      <c r="P90" s="6" t="s">
        <v>303</v>
      </c>
      <c r="Q90" s="6" t="s">
        <v>304</v>
      </c>
      <c r="R90" s="6" t="s">
        <v>305</v>
      </c>
      <c r="S90" s="6"/>
    </row>
    <row r="91" ht="15" customHeight="1" spans="1:19" x14ac:dyDescent="0.25">
      <c r="A91" s="6" t="s">
        <v>314</v>
      </c>
      <c r="B91" s="6" t="s">
        <v>61</v>
      </c>
      <c r="C91" s="6" t="s">
        <v>108</v>
      </c>
      <c r="D91" s="6" t="s">
        <v>158</v>
      </c>
      <c r="E91" s="6">
        <v>10</v>
      </c>
      <c r="F91" s="7">
        <v>7.4</v>
      </c>
      <c r="G91" s="7">
        <v>0</v>
      </c>
      <c r="H91" s="7">
        <v>12.6</v>
      </c>
      <c r="I91" s="7">
        <v>0.6</v>
      </c>
      <c r="J91" s="7">
        <v>1.2</v>
      </c>
      <c r="K91" s="7">
        <v>2</v>
      </c>
      <c r="L91" s="6">
        <v>42</v>
      </c>
      <c r="M91" s="6">
        <v>20</v>
      </c>
      <c r="N91" s="7">
        <v>9.4</v>
      </c>
      <c r="O91" s="6" t="s">
        <v>201</v>
      </c>
      <c r="P91" s="6" t="s">
        <v>303</v>
      </c>
      <c r="Q91" s="6" t="s">
        <v>304</v>
      </c>
      <c r="R91" s="6" t="s">
        <v>305</v>
      </c>
      <c r="S91" s="6"/>
    </row>
    <row r="92" ht="15" customHeight="1" spans="1:19" x14ac:dyDescent="0.25">
      <c r="A92" s="6" t="s">
        <v>315</v>
      </c>
      <c r="B92" s="6" t="s">
        <v>61</v>
      </c>
      <c r="C92" s="6" t="s">
        <v>108</v>
      </c>
      <c r="D92" s="6" t="s">
        <v>158</v>
      </c>
      <c r="E92" s="6">
        <v>11</v>
      </c>
      <c r="F92" s="7">
        <v>8</v>
      </c>
      <c r="G92" s="7">
        <v>0</v>
      </c>
      <c r="H92" s="7">
        <v>12.6</v>
      </c>
      <c r="I92" s="7">
        <v>0.6</v>
      </c>
      <c r="J92" s="7">
        <v>1.2</v>
      </c>
      <c r="K92" s="7">
        <v>2</v>
      </c>
      <c r="L92" s="6">
        <v>42</v>
      </c>
      <c r="M92" s="6">
        <v>20</v>
      </c>
      <c r="N92" s="7">
        <v>9.4</v>
      </c>
      <c r="O92" s="6" t="s">
        <v>201</v>
      </c>
      <c r="P92" s="6" t="s">
        <v>303</v>
      </c>
      <c r="Q92" s="6" t="s">
        <v>316</v>
      </c>
      <c r="R92" s="6" t="s">
        <v>317</v>
      </c>
      <c r="S92" s="6"/>
    </row>
    <row r="93" ht="15" customHeight="1" spans="1:19" x14ac:dyDescent="0.25">
      <c r="A93" s="6" t="s">
        <v>318</v>
      </c>
      <c r="B93" s="6" t="s">
        <v>61</v>
      </c>
      <c r="C93" s="6" t="s">
        <v>108</v>
      </c>
      <c r="D93" s="6" t="s">
        <v>158</v>
      </c>
      <c r="E93" s="6">
        <v>12</v>
      </c>
      <c r="F93" s="7">
        <v>8.6</v>
      </c>
      <c r="G93" s="7">
        <v>0</v>
      </c>
      <c r="H93" s="7">
        <v>12.6</v>
      </c>
      <c r="I93" s="7">
        <v>0.6</v>
      </c>
      <c r="J93" s="7">
        <v>1.2</v>
      </c>
      <c r="K93" s="7">
        <v>2</v>
      </c>
      <c r="L93" s="6">
        <v>42</v>
      </c>
      <c r="M93" s="6">
        <v>20</v>
      </c>
      <c r="N93" s="7">
        <v>9.4</v>
      </c>
      <c r="O93" s="6" t="s">
        <v>201</v>
      </c>
      <c r="P93" s="6" t="s">
        <v>303</v>
      </c>
      <c r="Q93" s="6" t="s">
        <v>316</v>
      </c>
      <c r="R93" s="6" t="s">
        <v>317</v>
      </c>
      <c r="S93" s="6"/>
    </row>
    <row r="94" ht="15" customHeight="1" spans="1:19" x14ac:dyDescent="0.25">
      <c r="A94" s="6" t="s">
        <v>319</v>
      </c>
      <c r="B94" s="6" t="s">
        <v>61</v>
      </c>
      <c r="C94" s="6" t="s">
        <v>108</v>
      </c>
      <c r="D94" s="6" t="s">
        <v>158</v>
      </c>
      <c r="E94" s="6">
        <v>13</v>
      </c>
      <c r="F94" s="7">
        <v>9.2</v>
      </c>
      <c r="G94" s="7">
        <v>0</v>
      </c>
      <c r="H94" s="7">
        <v>12.6</v>
      </c>
      <c r="I94" s="7">
        <v>0.6</v>
      </c>
      <c r="J94" s="7">
        <v>1.2</v>
      </c>
      <c r="K94" s="7">
        <v>2</v>
      </c>
      <c r="L94" s="6">
        <v>42</v>
      </c>
      <c r="M94" s="6">
        <v>20</v>
      </c>
      <c r="N94" s="7">
        <v>9.4</v>
      </c>
      <c r="O94" s="6" t="s">
        <v>201</v>
      </c>
      <c r="P94" s="6" t="s">
        <v>303</v>
      </c>
      <c r="Q94" s="6" t="s">
        <v>316</v>
      </c>
      <c r="R94" s="6" t="s">
        <v>317</v>
      </c>
      <c r="S94" s="6"/>
    </row>
    <row r="95" ht="15" customHeight="1" spans="1:19" x14ac:dyDescent="0.25">
      <c r="A95" s="6" t="s">
        <v>320</v>
      </c>
      <c r="B95" s="6" t="s">
        <v>61</v>
      </c>
      <c r="C95" s="6" t="s">
        <v>108</v>
      </c>
      <c r="D95" s="6" t="s">
        <v>158</v>
      </c>
      <c r="E95" s="6">
        <v>14</v>
      </c>
      <c r="F95" s="7">
        <v>9.8</v>
      </c>
      <c r="G95" s="7">
        <v>0</v>
      </c>
      <c r="H95" s="7">
        <v>12.6</v>
      </c>
      <c r="I95" s="7">
        <v>0.6</v>
      </c>
      <c r="J95" s="7">
        <v>1.2</v>
      </c>
      <c r="K95" s="7">
        <v>2</v>
      </c>
      <c r="L95" s="6">
        <v>42</v>
      </c>
      <c r="M95" s="6">
        <v>20</v>
      </c>
      <c r="N95" s="7">
        <v>9.4</v>
      </c>
      <c r="O95" s="6" t="s">
        <v>201</v>
      </c>
      <c r="P95" s="6" t="s">
        <v>303</v>
      </c>
      <c r="Q95" s="6" t="s">
        <v>316</v>
      </c>
      <c r="R95" s="6" t="s">
        <v>317</v>
      </c>
      <c r="S95" s="6"/>
    </row>
    <row r="96" ht="15" customHeight="1" spans="1:19" x14ac:dyDescent="0.25">
      <c r="A96" s="6" t="s">
        <v>321</v>
      </c>
      <c r="B96" s="6" t="s">
        <v>61</v>
      </c>
      <c r="C96" s="6" t="s">
        <v>108</v>
      </c>
      <c r="D96" s="6" t="s">
        <v>158</v>
      </c>
      <c r="E96" s="6">
        <v>15</v>
      </c>
      <c r="F96" s="7">
        <v>10.4</v>
      </c>
      <c r="G96" s="7">
        <v>0</v>
      </c>
      <c r="H96" s="7">
        <v>12.6</v>
      </c>
      <c r="I96" s="7">
        <v>0.6</v>
      </c>
      <c r="J96" s="7">
        <v>1.2</v>
      </c>
      <c r="K96" s="7">
        <v>2</v>
      </c>
      <c r="L96" s="6">
        <v>42</v>
      </c>
      <c r="M96" s="6">
        <v>20</v>
      </c>
      <c r="N96" s="7">
        <v>9.4</v>
      </c>
      <c r="O96" s="6" t="s">
        <v>201</v>
      </c>
      <c r="P96" s="6" t="s">
        <v>303</v>
      </c>
      <c r="Q96" s="6" t="s">
        <v>316</v>
      </c>
      <c r="R96" s="6" t="s">
        <v>317</v>
      </c>
      <c r="S96" s="6"/>
    </row>
    <row r="97" ht="15" customHeight="1" spans="1:19" x14ac:dyDescent="0.25">
      <c r="A97" s="6" t="s">
        <v>322</v>
      </c>
      <c r="B97" s="6" t="s">
        <v>61</v>
      </c>
      <c r="C97" s="6" t="s">
        <v>108</v>
      </c>
      <c r="D97" s="6" t="s">
        <v>158</v>
      </c>
      <c r="E97" s="6">
        <v>16</v>
      </c>
      <c r="F97" s="7">
        <v>11</v>
      </c>
      <c r="G97" s="7">
        <v>0</v>
      </c>
      <c r="H97" s="7">
        <v>12.6</v>
      </c>
      <c r="I97" s="7">
        <v>0.6</v>
      </c>
      <c r="J97" s="7">
        <v>1.2</v>
      </c>
      <c r="K97" s="7">
        <v>2</v>
      </c>
      <c r="L97" s="6">
        <v>42</v>
      </c>
      <c r="M97" s="6">
        <v>20</v>
      </c>
      <c r="N97" s="7">
        <v>10</v>
      </c>
      <c r="O97" s="6" t="s">
        <v>201</v>
      </c>
      <c r="P97" s="6" t="s">
        <v>303</v>
      </c>
      <c r="Q97" s="6" t="s">
        <v>316</v>
      </c>
      <c r="R97" s="6" t="s">
        <v>317</v>
      </c>
      <c r="S97" s="6"/>
    </row>
    <row r="98" ht="15" customHeight="1" spans="1:19" x14ac:dyDescent="0.25">
      <c r="A98" s="6" t="s">
        <v>323</v>
      </c>
      <c r="B98" s="6" t="s">
        <v>61</v>
      </c>
      <c r="C98" s="6" t="s">
        <v>108</v>
      </c>
      <c r="D98" s="6" t="s">
        <v>158</v>
      </c>
      <c r="E98" s="6">
        <v>17</v>
      </c>
      <c r="F98" s="7">
        <v>11.6</v>
      </c>
      <c r="G98" s="7">
        <v>0</v>
      </c>
      <c r="H98" s="7">
        <v>12.6</v>
      </c>
      <c r="I98" s="7">
        <v>0.6</v>
      </c>
      <c r="J98" s="7">
        <v>1.2</v>
      </c>
      <c r="K98" s="7">
        <v>2</v>
      </c>
      <c r="L98" s="6">
        <v>42</v>
      </c>
      <c r="M98" s="6">
        <v>20</v>
      </c>
      <c r="N98" s="7">
        <v>0</v>
      </c>
      <c r="O98" s="6" t="s">
        <v>225</v>
      </c>
      <c r="P98" s="6"/>
      <c r="Q98" s="6" t="s">
        <v>316</v>
      </c>
      <c r="R98" s="6" t="s">
        <v>317</v>
      </c>
      <c r="S98" s="6"/>
    </row>
    <row r="99" ht="15" customHeight="1" spans="1:19" x14ac:dyDescent="0.25">
      <c r="A99" s="6" t="s">
        <v>324</v>
      </c>
      <c r="B99" s="6" t="s">
        <v>61</v>
      </c>
      <c r="C99" s="6" t="s">
        <v>108</v>
      </c>
      <c r="D99" s="6" t="s">
        <v>158</v>
      </c>
      <c r="E99" s="6">
        <v>18</v>
      </c>
      <c r="F99" s="7">
        <v>12.2</v>
      </c>
      <c r="G99" s="7">
        <v>0</v>
      </c>
      <c r="H99" s="7">
        <v>12.6</v>
      </c>
      <c r="I99" s="7">
        <v>0.6</v>
      </c>
      <c r="J99" s="7">
        <v>1.2</v>
      </c>
      <c r="K99" s="7">
        <v>2</v>
      </c>
      <c r="L99" s="6">
        <v>42</v>
      </c>
      <c r="M99" s="6">
        <v>20</v>
      </c>
      <c r="N99" s="7">
        <v>0</v>
      </c>
      <c r="O99" s="6" t="s">
        <v>225</v>
      </c>
      <c r="P99" s="6"/>
      <c r="Q99" s="6" t="s">
        <v>316</v>
      </c>
      <c r="R99" s="6" t="s">
        <v>317</v>
      </c>
      <c r="S99" s="6"/>
    </row>
    <row r="100" ht="15" customHeight="1" spans="1:19" x14ac:dyDescent="0.25">
      <c r="A100" s="6" t="s">
        <v>325</v>
      </c>
      <c r="B100" s="6" t="s">
        <v>61</v>
      </c>
      <c r="C100" s="6" t="s">
        <v>108</v>
      </c>
      <c r="D100" s="6" t="s">
        <v>158</v>
      </c>
      <c r="E100" s="6">
        <v>19</v>
      </c>
      <c r="F100" s="7">
        <v>12.8</v>
      </c>
      <c r="G100" s="7">
        <v>0</v>
      </c>
      <c r="H100" s="7">
        <v>12.6</v>
      </c>
      <c r="I100" s="7">
        <v>0.6</v>
      </c>
      <c r="J100" s="7">
        <v>1.2</v>
      </c>
      <c r="K100" s="7">
        <v>2</v>
      </c>
      <c r="L100" s="6">
        <v>42</v>
      </c>
      <c r="M100" s="6">
        <v>20</v>
      </c>
      <c r="N100" s="7">
        <v>0</v>
      </c>
      <c r="O100" s="6" t="s">
        <v>225</v>
      </c>
      <c r="P100" s="6"/>
      <c r="Q100" s="6" t="s">
        <v>316</v>
      </c>
      <c r="R100" s="6" t="s">
        <v>317</v>
      </c>
      <c r="S100" s="6"/>
    </row>
    <row r="101" ht="15" customHeight="1" spans="1:19" x14ac:dyDescent="0.25">
      <c r="A101" s="6" t="s">
        <v>326</v>
      </c>
      <c r="B101" s="6" t="s">
        <v>61</v>
      </c>
      <c r="C101" s="6" t="s">
        <v>108</v>
      </c>
      <c r="D101" s="6" t="s">
        <v>158</v>
      </c>
      <c r="E101" s="6">
        <v>20</v>
      </c>
      <c r="F101" s="7">
        <v>13.4</v>
      </c>
      <c r="G101" s="7">
        <v>0</v>
      </c>
      <c r="H101" s="7">
        <v>12.6</v>
      </c>
      <c r="I101" s="7">
        <v>0.6</v>
      </c>
      <c r="J101" s="7">
        <v>1.2</v>
      </c>
      <c r="K101" s="7">
        <v>2</v>
      </c>
      <c r="L101" s="6">
        <v>42</v>
      </c>
      <c r="M101" s="6">
        <v>20</v>
      </c>
      <c r="N101" s="7">
        <v>0</v>
      </c>
      <c r="O101" s="6" t="s">
        <v>225</v>
      </c>
      <c r="P101" s="6"/>
      <c r="Q101" s="6" t="s">
        <v>316</v>
      </c>
      <c r="R101" s="6" t="s">
        <v>317</v>
      </c>
      <c r="S101" s="6"/>
    </row>
    <row r="102" ht="15" customHeight="1" spans="1:19" x14ac:dyDescent="0.25">
      <c r="A102" s="6" t="s">
        <v>327</v>
      </c>
      <c r="B102" s="6" t="s">
        <v>61</v>
      </c>
      <c r="C102" s="6" t="s">
        <v>108</v>
      </c>
      <c r="D102" s="6" t="s">
        <v>159</v>
      </c>
      <c r="E102" s="6">
        <v>1</v>
      </c>
      <c r="F102" s="7">
        <v>2</v>
      </c>
      <c r="G102" s="7">
        <v>0</v>
      </c>
      <c r="H102" s="7">
        <v>15</v>
      </c>
      <c r="I102" s="7">
        <v>0.6</v>
      </c>
      <c r="J102" s="7">
        <v>1.2</v>
      </c>
      <c r="K102" s="7">
        <v>2</v>
      </c>
      <c r="L102" s="6">
        <v>42</v>
      </c>
      <c r="M102" s="6">
        <v>20</v>
      </c>
      <c r="N102" s="7">
        <v>8.8</v>
      </c>
      <c r="O102" s="6" t="s">
        <v>201</v>
      </c>
      <c r="P102" s="6" t="s">
        <v>328</v>
      </c>
      <c r="Q102" s="6" t="s">
        <v>329</v>
      </c>
      <c r="R102" s="6" t="s">
        <v>330</v>
      </c>
      <c r="S102" s="6"/>
    </row>
    <row r="103" ht="15" customHeight="1" spans="1:19" x14ac:dyDescent="0.25">
      <c r="A103" s="6" t="s">
        <v>331</v>
      </c>
      <c r="B103" s="6" t="s">
        <v>61</v>
      </c>
      <c r="C103" s="6" t="s">
        <v>108</v>
      </c>
      <c r="D103" s="6" t="s">
        <v>159</v>
      </c>
      <c r="E103" s="6">
        <v>2</v>
      </c>
      <c r="F103" s="7">
        <v>2.6</v>
      </c>
      <c r="G103" s="7">
        <v>0</v>
      </c>
      <c r="H103" s="7">
        <v>15</v>
      </c>
      <c r="I103" s="7">
        <v>0.6</v>
      </c>
      <c r="J103" s="7">
        <v>1.2</v>
      </c>
      <c r="K103" s="7">
        <v>2</v>
      </c>
      <c r="L103" s="6">
        <v>42</v>
      </c>
      <c r="M103" s="6">
        <v>20</v>
      </c>
      <c r="N103" s="7">
        <v>8.8</v>
      </c>
      <c r="O103" s="6" t="s">
        <v>201</v>
      </c>
      <c r="P103" s="6" t="s">
        <v>328</v>
      </c>
      <c r="Q103" s="6" t="s">
        <v>329</v>
      </c>
      <c r="R103" s="6" t="s">
        <v>330</v>
      </c>
      <c r="S103" s="6"/>
    </row>
    <row r="104" ht="15" customHeight="1" spans="1:19" x14ac:dyDescent="0.25">
      <c r="A104" s="6" t="s">
        <v>332</v>
      </c>
      <c r="B104" s="6" t="s">
        <v>61</v>
      </c>
      <c r="C104" s="6" t="s">
        <v>108</v>
      </c>
      <c r="D104" s="6" t="s">
        <v>159</v>
      </c>
      <c r="E104" s="6">
        <v>3</v>
      </c>
      <c r="F104" s="7">
        <v>3.2</v>
      </c>
      <c r="G104" s="7">
        <v>0</v>
      </c>
      <c r="H104" s="7">
        <v>15</v>
      </c>
      <c r="I104" s="7">
        <v>0.6</v>
      </c>
      <c r="J104" s="7">
        <v>1.2</v>
      </c>
      <c r="K104" s="7">
        <v>2</v>
      </c>
      <c r="L104" s="6">
        <v>42</v>
      </c>
      <c r="M104" s="6">
        <v>20</v>
      </c>
      <c r="N104" s="7">
        <v>8.8</v>
      </c>
      <c r="O104" s="6" t="s">
        <v>201</v>
      </c>
      <c r="P104" s="6" t="s">
        <v>328</v>
      </c>
      <c r="Q104" s="6" t="s">
        <v>329</v>
      </c>
      <c r="R104" s="6" t="s">
        <v>330</v>
      </c>
      <c r="S104" s="6"/>
    </row>
    <row r="105" ht="15" customHeight="1" spans="1:19" x14ac:dyDescent="0.25">
      <c r="A105" s="6" t="s">
        <v>333</v>
      </c>
      <c r="B105" s="6" t="s">
        <v>61</v>
      </c>
      <c r="C105" s="6" t="s">
        <v>108</v>
      </c>
      <c r="D105" s="6" t="s">
        <v>159</v>
      </c>
      <c r="E105" s="6">
        <v>4</v>
      </c>
      <c r="F105" s="7">
        <v>3.8</v>
      </c>
      <c r="G105" s="7">
        <v>0</v>
      </c>
      <c r="H105" s="7">
        <v>15</v>
      </c>
      <c r="I105" s="7">
        <v>0.6</v>
      </c>
      <c r="J105" s="7">
        <v>1.2</v>
      </c>
      <c r="K105" s="7">
        <v>2</v>
      </c>
      <c r="L105" s="6">
        <v>42</v>
      </c>
      <c r="M105" s="6">
        <v>20</v>
      </c>
      <c r="N105" s="7">
        <v>8.8</v>
      </c>
      <c r="O105" s="6" t="s">
        <v>201</v>
      </c>
      <c r="P105" s="6" t="s">
        <v>328</v>
      </c>
      <c r="Q105" s="6" t="s">
        <v>329</v>
      </c>
      <c r="R105" s="6" t="s">
        <v>330</v>
      </c>
      <c r="S105" s="6"/>
    </row>
    <row r="106" ht="15" customHeight="1" spans="1:19" x14ac:dyDescent="0.25">
      <c r="A106" s="6" t="s">
        <v>334</v>
      </c>
      <c r="B106" s="6" t="s">
        <v>61</v>
      </c>
      <c r="C106" s="6" t="s">
        <v>108</v>
      </c>
      <c r="D106" s="6" t="s">
        <v>159</v>
      </c>
      <c r="E106" s="6">
        <v>5</v>
      </c>
      <c r="F106" s="7">
        <v>4.4</v>
      </c>
      <c r="G106" s="7">
        <v>0</v>
      </c>
      <c r="H106" s="7">
        <v>15</v>
      </c>
      <c r="I106" s="7">
        <v>0.6</v>
      </c>
      <c r="J106" s="7">
        <v>1.2</v>
      </c>
      <c r="K106" s="7">
        <v>2</v>
      </c>
      <c r="L106" s="6">
        <v>42</v>
      </c>
      <c r="M106" s="6">
        <v>20</v>
      </c>
      <c r="N106" s="7">
        <v>8.8</v>
      </c>
      <c r="O106" s="6" t="s">
        <v>201</v>
      </c>
      <c r="P106" s="6" t="s">
        <v>328</v>
      </c>
      <c r="Q106" s="6" t="s">
        <v>329</v>
      </c>
      <c r="R106" s="6" t="s">
        <v>330</v>
      </c>
      <c r="S106" s="6"/>
    </row>
    <row r="107" ht="15" customHeight="1" spans="1:19" x14ac:dyDescent="0.25">
      <c r="A107" s="6" t="s">
        <v>335</v>
      </c>
      <c r="B107" s="6" t="s">
        <v>61</v>
      </c>
      <c r="C107" s="6" t="s">
        <v>108</v>
      </c>
      <c r="D107" s="6" t="s">
        <v>159</v>
      </c>
      <c r="E107" s="6">
        <v>6</v>
      </c>
      <c r="F107" s="7">
        <v>5</v>
      </c>
      <c r="G107" s="7">
        <v>0</v>
      </c>
      <c r="H107" s="7">
        <v>15</v>
      </c>
      <c r="I107" s="7">
        <v>0.6</v>
      </c>
      <c r="J107" s="7">
        <v>1.2</v>
      </c>
      <c r="K107" s="7">
        <v>2</v>
      </c>
      <c r="L107" s="6">
        <v>42</v>
      </c>
      <c r="M107" s="6">
        <v>20</v>
      </c>
      <c r="N107" s="7">
        <v>8.8</v>
      </c>
      <c r="O107" s="6" t="s">
        <v>201</v>
      </c>
      <c r="P107" s="6" t="s">
        <v>328</v>
      </c>
      <c r="Q107" s="6" t="s">
        <v>329</v>
      </c>
      <c r="R107" s="6" t="s">
        <v>330</v>
      </c>
      <c r="S107" s="6"/>
    </row>
    <row r="108" ht="15" customHeight="1" spans="1:19" x14ac:dyDescent="0.25">
      <c r="A108" s="6" t="s">
        <v>336</v>
      </c>
      <c r="B108" s="6" t="s">
        <v>61</v>
      </c>
      <c r="C108" s="6" t="s">
        <v>108</v>
      </c>
      <c r="D108" s="6" t="s">
        <v>159</v>
      </c>
      <c r="E108" s="6">
        <v>7</v>
      </c>
      <c r="F108" s="7">
        <v>5.6</v>
      </c>
      <c r="G108" s="7">
        <v>0</v>
      </c>
      <c r="H108" s="7">
        <v>15</v>
      </c>
      <c r="I108" s="7">
        <v>0.6</v>
      </c>
      <c r="J108" s="7">
        <v>1.2</v>
      </c>
      <c r="K108" s="7">
        <v>2</v>
      </c>
      <c r="L108" s="6">
        <v>42</v>
      </c>
      <c r="M108" s="6">
        <v>20</v>
      </c>
      <c r="N108" s="7">
        <v>8.8</v>
      </c>
      <c r="O108" s="6" t="s">
        <v>201</v>
      </c>
      <c r="P108" s="6" t="s">
        <v>328</v>
      </c>
      <c r="Q108" s="6" t="s">
        <v>329</v>
      </c>
      <c r="R108" s="6" t="s">
        <v>330</v>
      </c>
      <c r="S108" s="6"/>
    </row>
    <row r="109" ht="15" customHeight="1" spans="1:19" x14ac:dyDescent="0.25">
      <c r="A109" s="6" t="s">
        <v>337</v>
      </c>
      <c r="B109" s="6" t="s">
        <v>61</v>
      </c>
      <c r="C109" s="6" t="s">
        <v>108</v>
      </c>
      <c r="D109" s="6" t="s">
        <v>159</v>
      </c>
      <c r="E109" s="6">
        <v>8</v>
      </c>
      <c r="F109" s="7">
        <v>6.2</v>
      </c>
      <c r="G109" s="7">
        <v>0</v>
      </c>
      <c r="H109" s="7">
        <v>15</v>
      </c>
      <c r="I109" s="7">
        <v>0.6</v>
      </c>
      <c r="J109" s="7">
        <v>1.2</v>
      </c>
      <c r="K109" s="7">
        <v>2</v>
      </c>
      <c r="L109" s="6">
        <v>42</v>
      </c>
      <c r="M109" s="6">
        <v>20</v>
      </c>
      <c r="N109" s="7">
        <v>8.8</v>
      </c>
      <c r="O109" s="6" t="s">
        <v>201</v>
      </c>
      <c r="P109" s="6" t="s">
        <v>328</v>
      </c>
      <c r="Q109" s="6" t="s">
        <v>329</v>
      </c>
      <c r="R109" s="6" t="s">
        <v>330</v>
      </c>
      <c r="S109" s="6"/>
    </row>
    <row r="110" ht="15" customHeight="1" spans="1:19" x14ac:dyDescent="0.25">
      <c r="A110" s="6" t="s">
        <v>338</v>
      </c>
      <c r="B110" s="6" t="s">
        <v>61</v>
      </c>
      <c r="C110" s="6" t="s">
        <v>108</v>
      </c>
      <c r="D110" s="6" t="s">
        <v>159</v>
      </c>
      <c r="E110" s="6">
        <v>9</v>
      </c>
      <c r="F110" s="7">
        <v>6.8</v>
      </c>
      <c r="G110" s="7">
        <v>0</v>
      </c>
      <c r="H110" s="7">
        <v>15</v>
      </c>
      <c r="I110" s="7">
        <v>0.6</v>
      </c>
      <c r="J110" s="7">
        <v>1.2</v>
      </c>
      <c r="K110" s="7">
        <v>2</v>
      </c>
      <c r="L110" s="6">
        <v>42</v>
      </c>
      <c r="M110" s="6">
        <v>20</v>
      </c>
      <c r="N110" s="7">
        <v>8.8</v>
      </c>
      <c r="O110" s="6" t="s">
        <v>201</v>
      </c>
      <c r="P110" s="6" t="s">
        <v>328</v>
      </c>
      <c r="Q110" s="6" t="s">
        <v>329</v>
      </c>
      <c r="R110" s="6" t="s">
        <v>330</v>
      </c>
      <c r="S110" s="6"/>
    </row>
    <row r="111" ht="15" customHeight="1" spans="1:19" x14ac:dyDescent="0.25">
      <c r="A111" s="6" t="s">
        <v>339</v>
      </c>
      <c r="B111" s="6" t="s">
        <v>61</v>
      </c>
      <c r="C111" s="6" t="s">
        <v>108</v>
      </c>
      <c r="D111" s="6" t="s">
        <v>159</v>
      </c>
      <c r="E111" s="6">
        <v>10</v>
      </c>
      <c r="F111" s="7">
        <v>7.4</v>
      </c>
      <c r="G111" s="7">
        <v>0</v>
      </c>
      <c r="H111" s="7">
        <v>15</v>
      </c>
      <c r="I111" s="7">
        <v>0.6</v>
      </c>
      <c r="J111" s="7">
        <v>1.2</v>
      </c>
      <c r="K111" s="7">
        <v>2</v>
      </c>
      <c r="L111" s="6">
        <v>42</v>
      </c>
      <c r="M111" s="6">
        <v>20</v>
      </c>
      <c r="N111" s="7">
        <v>8.8</v>
      </c>
      <c r="O111" s="6" t="s">
        <v>201</v>
      </c>
      <c r="P111" s="6" t="s">
        <v>328</v>
      </c>
      <c r="Q111" s="6" t="s">
        <v>329</v>
      </c>
      <c r="R111" s="6" t="s">
        <v>330</v>
      </c>
      <c r="S111" s="6"/>
    </row>
    <row r="112" ht="15" customHeight="1" spans="1:19" x14ac:dyDescent="0.25">
      <c r="A112" s="6" t="s">
        <v>340</v>
      </c>
      <c r="B112" s="6" t="s">
        <v>61</v>
      </c>
      <c r="C112" s="6" t="s">
        <v>108</v>
      </c>
      <c r="D112" s="6" t="s">
        <v>159</v>
      </c>
      <c r="E112" s="6">
        <v>11</v>
      </c>
      <c r="F112" s="7">
        <v>8</v>
      </c>
      <c r="G112" s="7">
        <v>0</v>
      </c>
      <c r="H112" s="7">
        <v>15</v>
      </c>
      <c r="I112" s="7">
        <v>0.6</v>
      </c>
      <c r="J112" s="7">
        <v>1.2</v>
      </c>
      <c r="K112" s="7">
        <v>2</v>
      </c>
      <c r="L112" s="6">
        <v>42</v>
      </c>
      <c r="M112" s="6">
        <v>20</v>
      </c>
      <c r="N112" s="7">
        <v>8.8</v>
      </c>
      <c r="O112" s="6" t="s">
        <v>201</v>
      </c>
      <c r="P112" s="6" t="s">
        <v>328</v>
      </c>
      <c r="Q112" s="6" t="s">
        <v>341</v>
      </c>
      <c r="R112" s="6" t="s">
        <v>342</v>
      </c>
      <c r="S112" s="6"/>
    </row>
    <row r="113" ht="15" customHeight="1" spans="1:19" x14ac:dyDescent="0.25">
      <c r="A113" s="6" t="s">
        <v>343</v>
      </c>
      <c r="B113" s="6" t="s">
        <v>61</v>
      </c>
      <c r="C113" s="6" t="s">
        <v>108</v>
      </c>
      <c r="D113" s="6" t="s">
        <v>159</v>
      </c>
      <c r="E113" s="6">
        <v>12</v>
      </c>
      <c r="F113" s="7">
        <v>8.6</v>
      </c>
      <c r="G113" s="7">
        <v>0</v>
      </c>
      <c r="H113" s="7">
        <v>15</v>
      </c>
      <c r="I113" s="7">
        <v>0.6</v>
      </c>
      <c r="J113" s="7">
        <v>1.2</v>
      </c>
      <c r="K113" s="7">
        <v>2</v>
      </c>
      <c r="L113" s="6">
        <v>42</v>
      </c>
      <c r="M113" s="6">
        <v>20</v>
      </c>
      <c r="N113" s="7">
        <v>8.8</v>
      </c>
      <c r="O113" s="6" t="s">
        <v>201</v>
      </c>
      <c r="P113" s="6" t="s">
        <v>328</v>
      </c>
      <c r="Q113" s="6" t="s">
        <v>341</v>
      </c>
      <c r="R113" s="6" t="s">
        <v>342</v>
      </c>
      <c r="S113" s="6"/>
    </row>
    <row r="114" ht="15" customHeight="1" spans="1:19" x14ac:dyDescent="0.25">
      <c r="A114" s="6" t="s">
        <v>344</v>
      </c>
      <c r="B114" s="6" t="s">
        <v>61</v>
      </c>
      <c r="C114" s="6" t="s">
        <v>108</v>
      </c>
      <c r="D114" s="6" t="s">
        <v>159</v>
      </c>
      <c r="E114" s="6">
        <v>13</v>
      </c>
      <c r="F114" s="7">
        <v>9.2</v>
      </c>
      <c r="G114" s="7">
        <v>0</v>
      </c>
      <c r="H114" s="7">
        <v>15</v>
      </c>
      <c r="I114" s="7">
        <v>0.6</v>
      </c>
      <c r="J114" s="7">
        <v>1.2</v>
      </c>
      <c r="K114" s="7">
        <v>2</v>
      </c>
      <c r="L114" s="6">
        <v>42</v>
      </c>
      <c r="M114" s="6">
        <v>20</v>
      </c>
      <c r="N114" s="7">
        <v>8.8</v>
      </c>
      <c r="O114" s="6" t="s">
        <v>201</v>
      </c>
      <c r="P114" s="6" t="s">
        <v>328</v>
      </c>
      <c r="Q114" s="6" t="s">
        <v>341</v>
      </c>
      <c r="R114" s="6" t="s">
        <v>342</v>
      </c>
      <c r="S114" s="6"/>
    </row>
    <row r="115" ht="15" customHeight="1" spans="1:19" x14ac:dyDescent="0.25">
      <c r="A115" s="6" t="s">
        <v>345</v>
      </c>
      <c r="B115" s="6" t="s">
        <v>61</v>
      </c>
      <c r="C115" s="6" t="s">
        <v>108</v>
      </c>
      <c r="D115" s="6" t="s">
        <v>159</v>
      </c>
      <c r="E115" s="6">
        <v>14</v>
      </c>
      <c r="F115" s="7">
        <v>9.8</v>
      </c>
      <c r="G115" s="7">
        <v>0</v>
      </c>
      <c r="H115" s="7">
        <v>15</v>
      </c>
      <c r="I115" s="7">
        <v>0.6</v>
      </c>
      <c r="J115" s="7">
        <v>1.2</v>
      </c>
      <c r="K115" s="7">
        <v>2</v>
      </c>
      <c r="L115" s="6">
        <v>42</v>
      </c>
      <c r="M115" s="6">
        <v>20</v>
      </c>
      <c r="N115" s="7">
        <v>8.8</v>
      </c>
      <c r="O115" s="6" t="s">
        <v>201</v>
      </c>
      <c r="P115" s="6" t="s">
        <v>328</v>
      </c>
      <c r="Q115" s="6" t="s">
        <v>341</v>
      </c>
      <c r="R115" s="6" t="s">
        <v>342</v>
      </c>
      <c r="S115" s="6"/>
    </row>
    <row r="116" ht="15" customHeight="1" spans="1:19" x14ac:dyDescent="0.25">
      <c r="A116" s="6" t="s">
        <v>346</v>
      </c>
      <c r="B116" s="6" t="s">
        <v>61</v>
      </c>
      <c r="C116" s="6" t="s">
        <v>108</v>
      </c>
      <c r="D116" s="6" t="s">
        <v>159</v>
      </c>
      <c r="E116" s="6">
        <v>15</v>
      </c>
      <c r="F116" s="7">
        <v>10.4</v>
      </c>
      <c r="G116" s="7">
        <v>0</v>
      </c>
      <c r="H116" s="7">
        <v>15</v>
      </c>
      <c r="I116" s="7">
        <v>0.6</v>
      </c>
      <c r="J116" s="7">
        <v>1.2</v>
      </c>
      <c r="K116" s="7">
        <v>2</v>
      </c>
      <c r="L116" s="6">
        <v>42</v>
      </c>
      <c r="M116" s="6">
        <v>20</v>
      </c>
      <c r="N116" s="7">
        <v>8.8</v>
      </c>
      <c r="O116" s="6" t="s">
        <v>201</v>
      </c>
      <c r="P116" s="6" t="s">
        <v>328</v>
      </c>
      <c r="Q116" s="6" t="s">
        <v>341</v>
      </c>
      <c r="R116" s="6" t="s">
        <v>342</v>
      </c>
      <c r="S116" s="6"/>
    </row>
    <row r="117" ht="15" customHeight="1" spans="1:19" x14ac:dyDescent="0.25">
      <c r="A117" s="6" t="s">
        <v>347</v>
      </c>
      <c r="B117" s="6" t="s">
        <v>61</v>
      </c>
      <c r="C117" s="6" t="s">
        <v>108</v>
      </c>
      <c r="D117" s="6" t="s">
        <v>159</v>
      </c>
      <c r="E117" s="6">
        <v>16</v>
      </c>
      <c r="F117" s="7">
        <v>11</v>
      </c>
      <c r="G117" s="7">
        <v>0</v>
      </c>
      <c r="H117" s="7">
        <v>15</v>
      </c>
      <c r="I117" s="7">
        <v>0.6</v>
      </c>
      <c r="J117" s="7">
        <v>1.2</v>
      </c>
      <c r="K117" s="7">
        <v>2</v>
      </c>
      <c r="L117" s="6">
        <v>42</v>
      </c>
      <c r="M117" s="6">
        <v>20</v>
      </c>
      <c r="N117" s="7">
        <v>8.8</v>
      </c>
      <c r="O117" s="6" t="s">
        <v>201</v>
      </c>
      <c r="P117" s="6" t="s">
        <v>328</v>
      </c>
      <c r="Q117" s="6" t="s">
        <v>341</v>
      </c>
      <c r="R117" s="6" t="s">
        <v>342</v>
      </c>
      <c r="S117" s="6"/>
    </row>
    <row r="118" ht="15" customHeight="1" spans="1:19" x14ac:dyDescent="0.25">
      <c r="A118" s="6" t="s">
        <v>348</v>
      </c>
      <c r="B118" s="6" t="s">
        <v>61</v>
      </c>
      <c r="C118" s="6" t="s">
        <v>108</v>
      </c>
      <c r="D118" s="6" t="s">
        <v>159</v>
      </c>
      <c r="E118" s="6">
        <v>17</v>
      </c>
      <c r="F118" s="7">
        <v>11.6</v>
      </c>
      <c r="G118" s="7">
        <v>0</v>
      </c>
      <c r="H118" s="7">
        <v>15</v>
      </c>
      <c r="I118" s="7">
        <v>0.6</v>
      </c>
      <c r="J118" s="7">
        <v>1.2</v>
      </c>
      <c r="K118" s="7">
        <v>2</v>
      </c>
      <c r="L118" s="6">
        <v>42</v>
      </c>
      <c r="M118" s="6">
        <v>20</v>
      </c>
      <c r="N118" s="7">
        <v>8.8</v>
      </c>
      <c r="O118" s="6" t="s">
        <v>201</v>
      </c>
      <c r="P118" s="6" t="s">
        <v>328</v>
      </c>
      <c r="Q118" s="6" t="s">
        <v>341</v>
      </c>
      <c r="R118" s="6" t="s">
        <v>342</v>
      </c>
      <c r="S118" s="6"/>
    </row>
    <row r="119" ht="15" customHeight="1" spans="1:19" x14ac:dyDescent="0.25">
      <c r="A119" s="6" t="s">
        <v>349</v>
      </c>
      <c r="B119" s="6" t="s">
        <v>61</v>
      </c>
      <c r="C119" s="6" t="s">
        <v>108</v>
      </c>
      <c r="D119" s="6" t="s">
        <v>159</v>
      </c>
      <c r="E119" s="6">
        <v>18</v>
      </c>
      <c r="F119" s="7">
        <v>12.2</v>
      </c>
      <c r="G119" s="7">
        <v>0</v>
      </c>
      <c r="H119" s="7">
        <v>15</v>
      </c>
      <c r="I119" s="7">
        <v>0.6</v>
      </c>
      <c r="J119" s="7">
        <v>1.2</v>
      </c>
      <c r="K119" s="7">
        <v>2</v>
      </c>
      <c r="L119" s="6">
        <v>42</v>
      </c>
      <c r="M119" s="6">
        <v>20</v>
      </c>
      <c r="N119" s="7">
        <v>9.4</v>
      </c>
      <c r="O119" s="6" t="s">
        <v>201</v>
      </c>
      <c r="P119" s="6" t="s">
        <v>328</v>
      </c>
      <c r="Q119" s="6" t="s">
        <v>341</v>
      </c>
      <c r="R119" s="6" t="s">
        <v>342</v>
      </c>
      <c r="S119" s="6"/>
    </row>
    <row r="120" ht="15" customHeight="1" spans="1:19" x14ac:dyDescent="0.25">
      <c r="A120" s="6" t="s">
        <v>350</v>
      </c>
      <c r="B120" s="6" t="s">
        <v>61</v>
      </c>
      <c r="C120" s="6" t="s">
        <v>108</v>
      </c>
      <c r="D120" s="6" t="s">
        <v>159</v>
      </c>
      <c r="E120" s="6">
        <v>19</v>
      </c>
      <c r="F120" s="7">
        <v>12.8</v>
      </c>
      <c r="G120" s="7">
        <v>0</v>
      </c>
      <c r="H120" s="7">
        <v>15</v>
      </c>
      <c r="I120" s="7">
        <v>0.6</v>
      </c>
      <c r="J120" s="7">
        <v>1.2</v>
      </c>
      <c r="K120" s="7">
        <v>2</v>
      </c>
      <c r="L120" s="6">
        <v>42</v>
      </c>
      <c r="M120" s="6">
        <v>20</v>
      </c>
      <c r="N120" s="7">
        <v>0</v>
      </c>
      <c r="O120" s="6" t="s">
        <v>225</v>
      </c>
      <c r="P120" s="6"/>
      <c r="Q120" s="6" t="s">
        <v>341</v>
      </c>
      <c r="R120" s="6" t="s">
        <v>342</v>
      </c>
      <c r="S120" s="6"/>
    </row>
    <row r="121" ht="15" customHeight="1" spans="1:19" x14ac:dyDescent="0.25">
      <c r="A121" s="6" t="s">
        <v>351</v>
      </c>
      <c r="B121" s="6" t="s">
        <v>61</v>
      </c>
      <c r="C121" s="6" t="s">
        <v>108</v>
      </c>
      <c r="D121" s="6" t="s">
        <v>159</v>
      </c>
      <c r="E121" s="6">
        <v>20</v>
      </c>
      <c r="F121" s="7">
        <v>13.4</v>
      </c>
      <c r="G121" s="7">
        <v>0</v>
      </c>
      <c r="H121" s="7">
        <v>15</v>
      </c>
      <c r="I121" s="7">
        <v>0.6</v>
      </c>
      <c r="J121" s="7">
        <v>1.2</v>
      </c>
      <c r="K121" s="7">
        <v>2</v>
      </c>
      <c r="L121" s="6">
        <v>42</v>
      </c>
      <c r="M121" s="6">
        <v>20</v>
      </c>
      <c r="N121" s="7">
        <v>0</v>
      </c>
      <c r="O121" s="6" t="s">
        <v>225</v>
      </c>
      <c r="P121" s="6"/>
      <c r="Q121" s="6" t="s">
        <v>341</v>
      </c>
      <c r="R121" s="6" t="s">
        <v>342</v>
      </c>
      <c r="S121" s="6"/>
    </row>
    <row r="122" ht="15" customHeight="1" spans="1:19" x14ac:dyDescent="0.25">
      <c r="A122" s="6" t="s">
        <v>352</v>
      </c>
      <c r="B122" s="6" t="s">
        <v>61</v>
      </c>
      <c r="C122" s="6" t="s">
        <v>112</v>
      </c>
      <c r="D122" s="6" t="s">
        <v>160</v>
      </c>
      <c r="E122" s="6">
        <v>1</v>
      </c>
      <c r="F122" s="7">
        <v>22</v>
      </c>
      <c r="G122" s="7">
        <v>0</v>
      </c>
      <c r="H122" s="7">
        <v>3</v>
      </c>
      <c r="I122" s="7">
        <v>0.6</v>
      </c>
      <c r="J122" s="7">
        <v>1.2</v>
      </c>
      <c r="K122" s="7">
        <v>2</v>
      </c>
      <c r="L122" s="6">
        <v>42</v>
      </c>
      <c r="M122" s="6">
        <v>20</v>
      </c>
      <c r="N122" s="7">
        <v>10</v>
      </c>
      <c r="O122" s="6" t="s">
        <v>201</v>
      </c>
      <c r="P122" s="6" t="s">
        <v>328</v>
      </c>
      <c r="Q122" s="6" t="s">
        <v>353</v>
      </c>
      <c r="R122" s="6" t="s">
        <v>354</v>
      </c>
      <c r="S122" s="6"/>
    </row>
    <row r="123" ht="15" customHeight="1" spans="1:19" x14ac:dyDescent="0.25">
      <c r="A123" s="6" t="s">
        <v>355</v>
      </c>
      <c r="B123" s="6" t="s">
        <v>61</v>
      </c>
      <c r="C123" s="6" t="s">
        <v>112</v>
      </c>
      <c r="D123" s="6" t="s">
        <v>160</v>
      </c>
      <c r="E123" s="6">
        <v>2</v>
      </c>
      <c r="F123" s="7">
        <v>22.6</v>
      </c>
      <c r="G123" s="7">
        <v>0</v>
      </c>
      <c r="H123" s="7">
        <v>3</v>
      </c>
      <c r="I123" s="7">
        <v>0.6</v>
      </c>
      <c r="J123" s="7">
        <v>1.2</v>
      </c>
      <c r="K123" s="7">
        <v>2</v>
      </c>
      <c r="L123" s="6">
        <v>42</v>
      </c>
      <c r="M123" s="6">
        <v>20</v>
      </c>
      <c r="N123" s="7">
        <v>10</v>
      </c>
      <c r="O123" s="6" t="s">
        <v>201</v>
      </c>
      <c r="P123" s="6" t="s">
        <v>328</v>
      </c>
      <c r="Q123" s="6" t="s">
        <v>353</v>
      </c>
      <c r="R123" s="6" t="s">
        <v>354</v>
      </c>
      <c r="S123" s="6"/>
    </row>
    <row r="124" ht="15" customHeight="1" spans="1:19" x14ac:dyDescent="0.25">
      <c r="A124" s="6" t="s">
        <v>356</v>
      </c>
      <c r="B124" s="6" t="s">
        <v>61</v>
      </c>
      <c r="C124" s="6" t="s">
        <v>112</v>
      </c>
      <c r="D124" s="6" t="s">
        <v>160</v>
      </c>
      <c r="E124" s="6">
        <v>3</v>
      </c>
      <c r="F124" s="7">
        <v>23.2</v>
      </c>
      <c r="G124" s="7">
        <v>0</v>
      </c>
      <c r="H124" s="7">
        <v>3</v>
      </c>
      <c r="I124" s="7">
        <v>0.6</v>
      </c>
      <c r="J124" s="7">
        <v>1.2</v>
      </c>
      <c r="K124" s="7">
        <v>2</v>
      </c>
      <c r="L124" s="6">
        <v>42</v>
      </c>
      <c r="M124" s="6">
        <v>20</v>
      </c>
      <c r="N124" s="7">
        <v>10</v>
      </c>
      <c r="O124" s="6" t="s">
        <v>201</v>
      </c>
      <c r="P124" s="6" t="s">
        <v>328</v>
      </c>
      <c r="Q124" s="6" t="s">
        <v>353</v>
      </c>
      <c r="R124" s="6" t="s">
        <v>354</v>
      </c>
      <c r="S124" s="6"/>
    </row>
    <row r="125" ht="15" customHeight="1" spans="1:19" x14ac:dyDescent="0.25">
      <c r="A125" s="6" t="s">
        <v>357</v>
      </c>
      <c r="B125" s="6" t="s">
        <v>61</v>
      </c>
      <c r="C125" s="6" t="s">
        <v>112</v>
      </c>
      <c r="D125" s="6" t="s">
        <v>160</v>
      </c>
      <c r="E125" s="6">
        <v>4</v>
      </c>
      <c r="F125" s="7">
        <v>23.8</v>
      </c>
      <c r="G125" s="7">
        <v>0</v>
      </c>
      <c r="H125" s="7">
        <v>3</v>
      </c>
      <c r="I125" s="7">
        <v>0.6</v>
      </c>
      <c r="J125" s="7">
        <v>1.2</v>
      </c>
      <c r="K125" s="7">
        <v>2</v>
      </c>
      <c r="L125" s="6">
        <v>42</v>
      </c>
      <c r="M125" s="6">
        <v>20</v>
      </c>
      <c r="N125" s="7">
        <v>10</v>
      </c>
      <c r="O125" s="6" t="s">
        <v>201</v>
      </c>
      <c r="P125" s="6" t="s">
        <v>328</v>
      </c>
      <c r="Q125" s="6" t="s">
        <v>353</v>
      </c>
      <c r="R125" s="6" t="s">
        <v>354</v>
      </c>
      <c r="S125" s="6"/>
    </row>
    <row r="126" ht="15" customHeight="1" spans="1:19" x14ac:dyDescent="0.25">
      <c r="A126" s="6" t="s">
        <v>358</v>
      </c>
      <c r="B126" s="6" t="s">
        <v>61</v>
      </c>
      <c r="C126" s="6" t="s">
        <v>112</v>
      </c>
      <c r="D126" s="6" t="s">
        <v>160</v>
      </c>
      <c r="E126" s="6">
        <v>5</v>
      </c>
      <c r="F126" s="7">
        <v>24.4</v>
      </c>
      <c r="G126" s="7">
        <v>0</v>
      </c>
      <c r="H126" s="7">
        <v>3</v>
      </c>
      <c r="I126" s="7">
        <v>0.6</v>
      </c>
      <c r="J126" s="7">
        <v>1.2</v>
      </c>
      <c r="K126" s="7">
        <v>2</v>
      </c>
      <c r="L126" s="6">
        <v>42</v>
      </c>
      <c r="M126" s="6">
        <v>20</v>
      </c>
      <c r="N126" s="7">
        <v>10</v>
      </c>
      <c r="O126" s="6" t="s">
        <v>201</v>
      </c>
      <c r="P126" s="6" t="s">
        <v>328</v>
      </c>
      <c r="Q126" s="6" t="s">
        <v>353</v>
      </c>
      <c r="R126" s="6" t="s">
        <v>354</v>
      </c>
      <c r="S126" s="6"/>
    </row>
    <row r="127" ht="15" customHeight="1" spans="1:19" x14ac:dyDescent="0.25">
      <c r="A127" s="6" t="s">
        <v>359</v>
      </c>
      <c r="B127" s="6" t="s">
        <v>61</v>
      </c>
      <c r="C127" s="6" t="s">
        <v>112</v>
      </c>
      <c r="D127" s="6" t="s">
        <v>160</v>
      </c>
      <c r="E127" s="6">
        <v>6</v>
      </c>
      <c r="F127" s="7">
        <v>25</v>
      </c>
      <c r="G127" s="7">
        <v>0</v>
      </c>
      <c r="H127" s="7">
        <v>3</v>
      </c>
      <c r="I127" s="7">
        <v>0.6</v>
      </c>
      <c r="J127" s="7">
        <v>1.2</v>
      </c>
      <c r="K127" s="7">
        <v>2</v>
      </c>
      <c r="L127" s="6">
        <v>42</v>
      </c>
      <c r="M127" s="6">
        <v>20</v>
      </c>
      <c r="N127" s="7">
        <v>10</v>
      </c>
      <c r="O127" s="6" t="s">
        <v>201</v>
      </c>
      <c r="P127" s="6" t="s">
        <v>328</v>
      </c>
      <c r="Q127" s="6" t="s">
        <v>353</v>
      </c>
      <c r="R127" s="6" t="s">
        <v>354</v>
      </c>
      <c r="S127" s="6"/>
    </row>
    <row r="128" ht="15" customHeight="1" spans="1:19" x14ac:dyDescent="0.25">
      <c r="A128" s="6" t="s">
        <v>360</v>
      </c>
      <c r="B128" s="6" t="s">
        <v>61</v>
      </c>
      <c r="C128" s="6" t="s">
        <v>112</v>
      </c>
      <c r="D128" s="6" t="s">
        <v>160</v>
      </c>
      <c r="E128" s="6">
        <v>7</v>
      </c>
      <c r="F128" s="7">
        <v>25.6</v>
      </c>
      <c r="G128" s="7">
        <v>0</v>
      </c>
      <c r="H128" s="7">
        <v>3</v>
      </c>
      <c r="I128" s="7">
        <v>0.6</v>
      </c>
      <c r="J128" s="7">
        <v>1.2</v>
      </c>
      <c r="K128" s="7">
        <v>2</v>
      </c>
      <c r="L128" s="6">
        <v>42</v>
      </c>
      <c r="M128" s="6">
        <v>20</v>
      </c>
      <c r="N128" s="7">
        <v>10</v>
      </c>
      <c r="O128" s="6" t="s">
        <v>201</v>
      </c>
      <c r="P128" s="6" t="s">
        <v>328</v>
      </c>
      <c r="Q128" s="6" t="s">
        <v>353</v>
      </c>
      <c r="R128" s="6" t="s">
        <v>354</v>
      </c>
      <c r="S128" s="6"/>
    </row>
    <row r="129" ht="15" customHeight="1" spans="1:19" x14ac:dyDescent="0.25">
      <c r="A129" s="6" t="s">
        <v>361</v>
      </c>
      <c r="B129" s="6" t="s">
        <v>61</v>
      </c>
      <c r="C129" s="6" t="s">
        <v>112</v>
      </c>
      <c r="D129" s="6" t="s">
        <v>160</v>
      </c>
      <c r="E129" s="6">
        <v>8</v>
      </c>
      <c r="F129" s="7">
        <v>26.2</v>
      </c>
      <c r="G129" s="7">
        <v>0</v>
      </c>
      <c r="H129" s="7">
        <v>3</v>
      </c>
      <c r="I129" s="7">
        <v>0.6</v>
      </c>
      <c r="J129" s="7">
        <v>1.2</v>
      </c>
      <c r="K129" s="7">
        <v>2</v>
      </c>
      <c r="L129" s="6">
        <v>42</v>
      </c>
      <c r="M129" s="6">
        <v>20</v>
      </c>
      <c r="N129" s="7">
        <v>10</v>
      </c>
      <c r="O129" s="6" t="s">
        <v>201</v>
      </c>
      <c r="P129" s="6" t="s">
        <v>328</v>
      </c>
      <c r="Q129" s="6" t="s">
        <v>353</v>
      </c>
      <c r="R129" s="6" t="s">
        <v>354</v>
      </c>
      <c r="S129" s="6"/>
    </row>
    <row r="130" ht="15" customHeight="1" spans="1:19" x14ac:dyDescent="0.25">
      <c r="A130" s="6" t="s">
        <v>362</v>
      </c>
      <c r="B130" s="6" t="s">
        <v>61</v>
      </c>
      <c r="C130" s="6" t="s">
        <v>112</v>
      </c>
      <c r="D130" s="6" t="s">
        <v>160</v>
      </c>
      <c r="E130" s="6">
        <v>9</v>
      </c>
      <c r="F130" s="7">
        <v>26.8</v>
      </c>
      <c r="G130" s="7">
        <v>0</v>
      </c>
      <c r="H130" s="7">
        <v>3</v>
      </c>
      <c r="I130" s="7">
        <v>0.6</v>
      </c>
      <c r="J130" s="7">
        <v>1.2</v>
      </c>
      <c r="K130" s="7">
        <v>2</v>
      </c>
      <c r="L130" s="6">
        <v>42</v>
      </c>
      <c r="M130" s="6">
        <v>20</v>
      </c>
      <c r="N130" s="7">
        <v>10</v>
      </c>
      <c r="O130" s="6" t="s">
        <v>201</v>
      </c>
      <c r="P130" s="6" t="s">
        <v>328</v>
      </c>
      <c r="Q130" s="6" t="s">
        <v>353</v>
      </c>
      <c r="R130" s="6" t="s">
        <v>354</v>
      </c>
      <c r="S130" s="6"/>
    </row>
    <row r="131" ht="15" customHeight="1" spans="1:19" x14ac:dyDescent="0.25">
      <c r="A131" s="6" t="s">
        <v>363</v>
      </c>
      <c r="B131" s="6" t="s">
        <v>61</v>
      </c>
      <c r="C131" s="6" t="s">
        <v>112</v>
      </c>
      <c r="D131" s="6" t="s">
        <v>160</v>
      </c>
      <c r="E131" s="6">
        <v>10</v>
      </c>
      <c r="F131" s="7">
        <v>27.4</v>
      </c>
      <c r="G131" s="7">
        <v>0</v>
      </c>
      <c r="H131" s="7">
        <v>3</v>
      </c>
      <c r="I131" s="7">
        <v>0.6</v>
      </c>
      <c r="J131" s="7">
        <v>1.2</v>
      </c>
      <c r="K131" s="7">
        <v>2</v>
      </c>
      <c r="L131" s="6">
        <v>42</v>
      </c>
      <c r="M131" s="6">
        <v>20</v>
      </c>
      <c r="N131" s="7">
        <v>10</v>
      </c>
      <c r="O131" s="6" t="s">
        <v>201</v>
      </c>
      <c r="P131" s="6" t="s">
        <v>328</v>
      </c>
      <c r="Q131" s="6" t="s">
        <v>353</v>
      </c>
      <c r="R131" s="6" t="s">
        <v>354</v>
      </c>
      <c r="S131" s="6"/>
    </row>
    <row r="132" ht="15" customHeight="1" spans="1:19" x14ac:dyDescent="0.25">
      <c r="A132" s="6" t="s">
        <v>364</v>
      </c>
      <c r="B132" s="6" t="s">
        <v>61</v>
      </c>
      <c r="C132" s="6" t="s">
        <v>112</v>
      </c>
      <c r="D132" s="6" t="s">
        <v>160</v>
      </c>
      <c r="E132" s="6">
        <v>11</v>
      </c>
      <c r="F132" s="7">
        <v>28</v>
      </c>
      <c r="G132" s="7">
        <v>0</v>
      </c>
      <c r="H132" s="7">
        <v>3</v>
      </c>
      <c r="I132" s="7">
        <v>0.6</v>
      </c>
      <c r="J132" s="7">
        <v>1.2</v>
      </c>
      <c r="K132" s="7">
        <v>2</v>
      </c>
      <c r="L132" s="6">
        <v>42</v>
      </c>
      <c r="M132" s="6">
        <v>20</v>
      </c>
      <c r="N132" s="7">
        <v>10</v>
      </c>
      <c r="O132" s="6" t="s">
        <v>201</v>
      </c>
      <c r="P132" s="6" t="s">
        <v>328</v>
      </c>
      <c r="Q132" s="6" t="s">
        <v>365</v>
      </c>
      <c r="R132" s="6" t="s">
        <v>366</v>
      </c>
      <c r="S132" s="6"/>
    </row>
    <row r="133" ht="15" customHeight="1" spans="1:19" x14ac:dyDescent="0.25">
      <c r="A133" s="6" t="s">
        <v>367</v>
      </c>
      <c r="B133" s="6" t="s">
        <v>61</v>
      </c>
      <c r="C133" s="6" t="s">
        <v>112</v>
      </c>
      <c r="D133" s="6" t="s">
        <v>160</v>
      </c>
      <c r="E133" s="6">
        <v>12</v>
      </c>
      <c r="F133" s="7">
        <v>28.6</v>
      </c>
      <c r="G133" s="7">
        <v>0</v>
      </c>
      <c r="H133" s="7">
        <v>3</v>
      </c>
      <c r="I133" s="7">
        <v>0.6</v>
      </c>
      <c r="J133" s="7">
        <v>1.2</v>
      </c>
      <c r="K133" s="7">
        <v>2</v>
      </c>
      <c r="L133" s="6">
        <v>42</v>
      </c>
      <c r="M133" s="6">
        <v>20</v>
      </c>
      <c r="N133" s="7">
        <v>10</v>
      </c>
      <c r="O133" s="6" t="s">
        <v>201</v>
      </c>
      <c r="P133" s="6" t="s">
        <v>328</v>
      </c>
      <c r="Q133" s="6" t="s">
        <v>365</v>
      </c>
      <c r="R133" s="6" t="s">
        <v>366</v>
      </c>
      <c r="S133" s="6"/>
    </row>
    <row r="134" ht="15" customHeight="1" spans="1:19" x14ac:dyDescent="0.25">
      <c r="A134" s="6" t="s">
        <v>368</v>
      </c>
      <c r="B134" s="6" t="s">
        <v>61</v>
      </c>
      <c r="C134" s="6" t="s">
        <v>112</v>
      </c>
      <c r="D134" s="6" t="s">
        <v>160</v>
      </c>
      <c r="E134" s="6">
        <v>13</v>
      </c>
      <c r="F134" s="7">
        <v>29.2</v>
      </c>
      <c r="G134" s="7">
        <v>0</v>
      </c>
      <c r="H134" s="7">
        <v>3</v>
      </c>
      <c r="I134" s="7">
        <v>0.6</v>
      </c>
      <c r="J134" s="7">
        <v>1.2</v>
      </c>
      <c r="K134" s="7">
        <v>2</v>
      </c>
      <c r="L134" s="6">
        <v>42</v>
      </c>
      <c r="M134" s="6">
        <v>20</v>
      </c>
      <c r="N134" s="7">
        <v>10</v>
      </c>
      <c r="O134" s="6" t="s">
        <v>201</v>
      </c>
      <c r="P134" s="6" t="s">
        <v>328</v>
      </c>
      <c r="Q134" s="6" t="s">
        <v>365</v>
      </c>
      <c r="R134" s="6" t="s">
        <v>366</v>
      </c>
      <c r="S134" s="6"/>
    </row>
    <row r="135" ht="15" customHeight="1" spans="1:19" x14ac:dyDescent="0.25">
      <c r="A135" s="6" t="s">
        <v>369</v>
      </c>
      <c r="B135" s="6" t="s">
        <v>61</v>
      </c>
      <c r="C135" s="6" t="s">
        <v>112</v>
      </c>
      <c r="D135" s="6" t="s">
        <v>160</v>
      </c>
      <c r="E135" s="6">
        <v>14</v>
      </c>
      <c r="F135" s="7">
        <v>29.8</v>
      </c>
      <c r="G135" s="7">
        <v>0</v>
      </c>
      <c r="H135" s="7">
        <v>3</v>
      </c>
      <c r="I135" s="7">
        <v>0.6</v>
      </c>
      <c r="J135" s="7">
        <v>1.2</v>
      </c>
      <c r="K135" s="7">
        <v>2</v>
      </c>
      <c r="L135" s="6">
        <v>42</v>
      </c>
      <c r="M135" s="6">
        <v>20</v>
      </c>
      <c r="N135" s="7">
        <v>10</v>
      </c>
      <c r="O135" s="6" t="s">
        <v>201</v>
      </c>
      <c r="P135" s="6" t="s">
        <v>328</v>
      </c>
      <c r="Q135" s="6" t="s">
        <v>365</v>
      </c>
      <c r="R135" s="6" t="s">
        <v>366</v>
      </c>
      <c r="S135" s="6"/>
    </row>
    <row r="136" ht="15" customHeight="1" spans="1:19" x14ac:dyDescent="0.25">
      <c r="A136" s="6" t="s">
        <v>370</v>
      </c>
      <c r="B136" s="6" t="s">
        <v>61</v>
      </c>
      <c r="C136" s="6" t="s">
        <v>112</v>
      </c>
      <c r="D136" s="6" t="s">
        <v>160</v>
      </c>
      <c r="E136" s="6">
        <v>15</v>
      </c>
      <c r="F136" s="7">
        <v>30.4</v>
      </c>
      <c r="G136" s="7">
        <v>0</v>
      </c>
      <c r="H136" s="7">
        <v>3</v>
      </c>
      <c r="I136" s="7">
        <v>0.6</v>
      </c>
      <c r="J136" s="7">
        <v>1.2</v>
      </c>
      <c r="K136" s="7">
        <v>2</v>
      </c>
      <c r="L136" s="6">
        <v>42</v>
      </c>
      <c r="M136" s="6">
        <v>20</v>
      </c>
      <c r="N136" s="7">
        <v>10</v>
      </c>
      <c r="O136" s="6" t="s">
        <v>201</v>
      </c>
      <c r="P136" s="6" t="s">
        <v>328</v>
      </c>
      <c r="Q136" s="6" t="s">
        <v>365</v>
      </c>
      <c r="R136" s="6" t="s">
        <v>366</v>
      </c>
      <c r="S136" s="6"/>
    </row>
    <row r="137" ht="15" customHeight="1" spans="1:19" x14ac:dyDescent="0.25">
      <c r="A137" s="6" t="s">
        <v>371</v>
      </c>
      <c r="B137" s="6" t="s">
        <v>61</v>
      </c>
      <c r="C137" s="6" t="s">
        <v>112</v>
      </c>
      <c r="D137" s="6" t="s">
        <v>160</v>
      </c>
      <c r="E137" s="6">
        <v>16</v>
      </c>
      <c r="F137" s="7">
        <v>31</v>
      </c>
      <c r="G137" s="7">
        <v>0</v>
      </c>
      <c r="H137" s="7">
        <v>3</v>
      </c>
      <c r="I137" s="7">
        <v>0.6</v>
      </c>
      <c r="J137" s="7">
        <v>1.2</v>
      </c>
      <c r="K137" s="7">
        <v>2</v>
      </c>
      <c r="L137" s="6">
        <v>42</v>
      </c>
      <c r="M137" s="6">
        <v>20</v>
      </c>
      <c r="N137" s="7">
        <v>10</v>
      </c>
      <c r="O137" s="6" t="s">
        <v>201</v>
      </c>
      <c r="P137" s="6" t="s">
        <v>328</v>
      </c>
      <c r="Q137" s="6" t="s">
        <v>365</v>
      </c>
      <c r="R137" s="6" t="s">
        <v>366</v>
      </c>
      <c r="S137" s="6"/>
    </row>
    <row r="138" ht="15" customHeight="1" spans="1:19" x14ac:dyDescent="0.25">
      <c r="A138" s="6" t="s">
        <v>372</v>
      </c>
      <c r="B138" s="6" t="s">
        <v>61</v>
      </c>
      <c r="C138" s="6" t="s">
        <v>112</v>
      </c>
      <c r="D138" s="6" t="s">
        <v>160</v>
      </c>
      <c r="E138" s="6">
        <v>17</v>
      </c>
      <c r="F138" s="7">
        <v>31.6</v>
      </c>
      <c r="G138" s="7">
        <v>0</v>
      </c>
      <c r="H138" s="7">
        <v>3</v>
      </c>
      <c r="I138" s="7">
        <v>0.6</v>
      </c>
      <c r="J138" s="7">
        <v>1.2</v>
      </c>
      <c r="K138" s="7">
        <v>2</v>
      </c>
      <c r="L138" s="6">
        <v>42</v>
      </c>
      <c r="M138" s="6">
        <v>20</v>
      </c>
      <c r="N138" s="7">
        <v>10</v>
      </c>
      <c r="O138" s="6" t="s">
        <v>201</v>
      </c>
      <c r="P138" s="6" t="s">
        <v>328</v>
      </c>
      <c r="Q138" s="6" t="s">
        <v>365</v>
      </c>
      <c r="R138" s="6" t="s">
        <v>366</v>
      </c>
      <c r="S138" s="6"/>
    </row>
    <row r="139" ht="15" customHeight="1" spans="1:19" x14ac:dyDescent="0.25">
      <c r="A139" s="6" t="s">
        <v>373</v>
      </c>
      <c r="B139" s="6" t="s">
        <v>61</v>
      </c>
      <c r="C139" s="6" t="s">
        <v>112</v>
      </c>
      <c r="D139" s="6" t="s">
        <v>160</v>
      </c>
      <c r="E139" s="6">
        <v>18</v>
      </c>
      <c r="F139" s="7">
        <v>32.2</v>
      </c>
      <c r="G139" s="7">
        <v>0</v>
      </c>
      <c r="H139" s="7">
        <v>3</v>
      </c>
      <c r="I139" s="7">
        <v>0.6</v>
      </c>
      <c r="J139" s="7">
        <v>1.2</v>
      </c>
      <c r="K139" s="7">
        <v>2</v>
      </c>
      <c r="L139" s="6">
        <v>42</v>
      </c>
      <c r="M139" s="6">
        <v>20</v>
      </c>
      <c r="N139" s="7">
        <v>10</v>
      </c>
      <c r="O139" s="6" t="s">
        <v>201</v>
      </c>
      <c r="P139" s="6" t="s">
        <v>328</v>
      </c>
      <c r="Q139" s="6" t="s">
        <v>365</v>
      </c>
      <c r="R139" s="6" t="s">
        <v>366</v>
      </c>
      <c r="S139" s="6"/>
    </row>
    <row r="140" ht="15" customHeight="1" spans="1:19" x14ac:dyDescent="0.25">
      <c r="A140" s="6" t="s">
        <v>374</v>
      </c>
      <c r="B140" s="6" t="s">
        <v>61</v>
      </c>
      <c r="C140" s="6" t="s">
        <v>112</v>
      </c>
      <c r="D140" s="6" t="s">
        <v>160</v>
      </c>
      <c r="E140" s="6">
        <v>19</v>
      </c>
      <c r="F140" s="7">
        <v>32.8</v>
      </c>
      <c r="G140" s="7">
        <v>0</v>
      </c>
      <c r="H140" s="7">
        <v>3</v>
      </c>
      <c r="I140" s="7">
        <v>0.6</v>
      </c>
      <c r="J140" s="7">
        <v>1.2</v>
      </c>
      <c r="K140" s="7">
        <v>2</v>
      </c>
      <c r="L140" s="6">
        <v>42</v>
      </c>
      <c r="M140" s="6">
        <v>20</v>
      </c>
      <c r="N140" s="7">
        <v>10</v>
      </c>
      <c r="O140" s="6" t="s">
        <v>201</v>
      </c>
      <c r="P140" s="6" t="s">
        <v>328</v>
      </c>
      <c r="Q140" s="6" t="s">
        <v>365</v>
      </c>
      <c r="R140" s="6" t="s">
        <v>366</v>
      </c>
      <c r="S140" s="6"/>
    </row>
    <row r="141" ht="15" customHeight="1" spans="1:19" x14ac:dyDescent="0.25">
      <c r="A141" s="6" t="s">
        <v>375</v>
      </c>
      <c r="B141" s="6" t="s">
        <v>61</v>
      </c>
      <c r="C141" s="6" t="s">
        <v>112</v>
      </c>
      <c r="D141" s="6" t="s">
        <v>160</v>
      </c>
      <c r="E141" s="6">
        <v>20</v>
      </c>
      <c r="F141" s="7">
        <v>33.4</v>
      </c>
      <c r="G141" s="7">
        <v>0</v>
      </c>
      <c r="H141" s="7">
        <v>3</v>
      </c>
      <c r="I141" s="7">
        <v>0.6</v>
      </c>
      <c r="J141" s="7">
        <v>1.2</v>
      </c>
      <c r="K141" s="7">
        <v>2</v>
      </c>
      <c r="L141" s="6">
        <v>42</v>
      </c>
      <c r="M141" s="6">
        <v>20</v>
      </c>
      <c r="N141" s="7">
        <v>10</v>
      </c>
      <c r="O141" s="6" t="s">
        <v>201</v>
      </c>
      <c r="P141" s="6" t="s">
        <v>328</v>
      </c>
      <c r="Q141" s="6" t="s">
        <v>365</v>
      </c>
      <c r="R141" s="6" t="s">
        <v>366</v>
      </c>
      <c r="S141" s="6"/>
    </row>
    <row r="142" ht="15" customHeight="1" spans="1:19" x14ac:dyDescent="0.25">
      <c r="A142" s="6" t="s">
        <v>376</v>
      </c>
      <c r="B142" s="6" t="s">
        <v>61</v>
      </c>
      <c r="C142" s="6" t="s">
        <v>112</v>
      </c>
      <c r="D142" s="6" t="s">
        <v>162</v>
      </c>
      <c r="E142" s="6">
        <v>1</v>
      </c>
      <c r="F142" s="7">
        <v>22</v>
      </c>
      <c r="G142" s="7">
        <v>0</v>
      </c>
      <c r="H142" s="7">
        <v>5.4</v>
      </c>
      <c r="I142" s="7">
        <v>0.6</v>
      </c>
      <c r="J142" s="7">
        <v>1.2</v>
      </c>
      <c r="K142" s="7">
        <v>2</v>
      </c>
      <c r="L142" s="6">
        <v>42</v>
      </c>
      <c r="M142" s="6">
        <v>20</v>
      </c>
      <c r="N142" s="7">
        <v>9.7</v>
      </c>
      <c r="O142" s="6" t="s">
        <v>201</v>
      </c>
      <c r="P142" s="6" t="s">
        <v>202</v>
      </c>
      <c r="Q142" s="6" t="s">
        <v>377</v>
      </c>
      <c r="R142" s="6" t="s">
        <v>378</v>
      </c>
      <c r="S142" s="6"/>
    </row>
    <row r="143" ht="15" customHeight="1" spans="1:19" x14ac:dyDescent="0.25">
      <c r="A143" s="6" t="s">
        <v>379</v>
      </c>
      <c r="B143" s="6" t="s">
        <v>61</v>
      </c>
      <c r="C143" s="6" t="s">
        <v>112</v>
      </c>
      <c r="D143" s="6" t="s">
        <v>162</v>
      </c>
      <c r="E143" s="6">
        <v>2</v>
      </c>
      <c r="F143" s="7">
        <v>22.6</v>
      </c>
      <c r="G143" s="7">
        <v>0</v>
      </c>
      <c r="H143" s="7">
        <v>5.4</v>
      </c>
      <c r="I143" s="7">
        <v>0.6</v>
      </c>
      <c r="J143" s="7">
        <v>1.2</v>
      </c>
      <c r="K143" s="7">
        <v>2</v>
      </c>
      <c r="L143" s="6">
        <v>42</v>
      </c>
      <c r="M143" s="6">
        <v>20</v>
      </c>
      <c r="N143" s="7">
        <v>9.7</v>
      </c>
      <c r="O143" s="6" t="s">
        <v>201</v>
      </c>
      <c r="P143" s="6" t="s">
        <v>202</v>
      </c>
      <c r="Q143" s="6" t="s">
        <v>377</v>
      </c>
      <c r="R143" s="6" t="s">
        <v>378</v>
      </c>
      <c r="S143" s="6"/>
    </row>
    <row r="144" ht="15" customHeight="1" spans="1:19" x14ac:dyDescent="0.25">
      <c r="A144" s="6" t="s">
        <v>380</v>
      </c>
      <c r="B144" s="6" t="s">
        <v>61</v>
      </c>
      <c r="C144" s="6" t="s">
        <v>112</v>
      </c>
      <c r="D144" s="6" t="s">
        <v>162</v>
      </c>
      <c r="E144" s="6">
        <v>3</v>
      </c>
      <c r="F144" s="7">
        <v>23.2</v>
      </c>
      <c r="G144" s="7">
        <v>0</v>
      </c>
      <c r="H144" s="7">
        <v>5.4</v>
      </c>
      <c r="I144" s="7">
        <v>0.6</v>
      </c>
      <c r="J144" s="7">
        <v>1.2</v>
      </c>
      <c r="K144" s="7">
        <v>2</v>
      </c>
      <c r="L144" s="6">
        <v>42</v>
      </c>
      <c r="M144" s="6">
        <v>20</v>
      </c>
      <c r="N144" s="7">
        <v>9.7</v>
      </c>
      <c r="O144" s="6" t="s">
        <v>201</v>
      </c>
      <c r="P144" s="6" t="s">
        <v>202</v>
      </c>
      <c r="Q144" s="6" t="s">
        <v>377</v>
      </c>
      <c r="R144" s="6" t="s">
        <v>378</v>
      </c>
      <c r="S144" s="6"/>
    </row>
    <row r="145" ht="15" customHeight="1" spans="1:19" x14ac:dyDescent="0.25">
      <c r="A145" s="6" t="s">
        <v>381</v>
      </c>
      <c r="B145" s="6" t="s">
        <v>61</v>
      </c>
      <c r="C145" s="6" t="s">
        <v>112</v>
      </c>
      <c r="D145" s="6" t="s">
        <v>162</v>
      </c>
      <c r="E145" s="6">
        <v>4</v>
      </c>
      <c r="F145" s="7">
        <v>23.8</v>
      </c>
      <c r="G145" s="7">
        <v>0</v>
      </c>
      <c r="H145" s="7">
        <v>5.4</v>
      </c>
      <c r="I145" s="7">
        <v>0.6</v>
      </c>
      <c r="J145" s="7">
        <v>1.2</v>
      </c>
      <c r="K145" s="7">
        <v>2</v>
      </c>
      <c r="L145" s="6">
        <v>42</v>
      </c>
      <c r="M145" s="6">
        <v>20</v>
      </c>
      <c r="N145" s="7">
        <v>9.7</v>
      </c>
      <c r="O145" s="6" t="s">
        <v>201</v>
      </c>
      <c r="P145" s="6" t="s">
        <v>202</v>
      </c>
      <c r="Q145" s="6" t="s">
        <v>377</v>
      </c>
      <c r="R145" s="6" t="s">
        <v>378</v>
      </c>
      <c r="S145" s="6"/>
    </row>
    <row r="146" ht="15" customHeight="1" spans="1:19" x14ac:dyDescent="0.25">
      <c r="A146" s="6" t="s">
        <v>382</v>
      </c>
      <c r="B146" s="6" t="s">
        <v>61</v>
      </c>
      <c r="C146" s="6" t="s">
        <v>112</v>
      </c>
      <c r="D146" s="6" t="s">
        <v>162</v>
      </c>
      <c r="E146" s="6">
        <v>5</v>
      </c>
      <c r="F146" s="7">
        <v>24.4</v>
      </c>
      <c r="G146" s="7">
        <v>0</v>
      </c>
      <c r="H146" s="7">
        <v>5.4</v>
      </c>
      <c r="I146" s="7">
        <v>0.6</v>
      </c>
      <c r="J146" s="7">
        <v>1.2</v>
      </c>
      <c r="K146" s="7">
        <v>2</v>
      </c>
      <c r="L146" s="6">
        <v>42</v>
      </c>
      <c r="M146" s="6">
        <v>20</v>
      </c>
      <c r="N146" s="7">
        <v>9.7</v>
      </c>
      <c r="O146" s="6" t="s">
        <v>201</v>
      </c>
      <c r="P146" s="6" t="s">
        <v>202</v>
      </c>
      <c r="Q146" s="6" t="s">
        <v>377</v>
      </c>
      <c r="R146" s="6" t="s">
        <v>378</v>
      </c>
      <c r="S146" s="6"/>
    </row>
    <row r="147" ht="15" customHeight="1" spans="1:19" x14ac:dyDescent="0.25">
      <c r="A147" s="6" t="s">
        <v>383</v>
      </c>
      <c r="B147" s="6" t="s">
        <v>61</v>
      </c>
      <c r="C147" s="6" t="s">
        <v>112</v>
      </c>
      <c r="D147" s="6" t="s">
        <v>162</v>
      </c>
      <c r="E147" s="6">
        <v>6</v>
      </c>
      <c r="F147" s="7">
        <v>25</v>
      </c>
      <c r="G147" s="7">
        <v>0</v>
      </c>
      <c r="H147" s="7">
        <v>5.4</v>
      </c>
      <c r="I147" s="7">
        <v>0.6</v>
      </c>
      <c r="J147" s="7">
        <v>1.2</v>
      </c>
      <c r="K147" s="7">
        <v>2</v>
      </c>
      <c r="L147" s="6">
        <v>42</v>
      </c>
      <c r="M147" s="6">
        <v>20</v>
      </c>
      <c r="N147" s="7">
        <v>9.7</v>
      </c>
      <c r="O147" s="6" t="s">
        <v>201</v>
      </c>
      <c r="P147" s="6" t="s">
        <v>202</v>
      </c>
      <c r="Q147" s="6" t="s">
        <v>377</v>
      </c>
      <c r="R147" s="6" t="s">
        <v>378</v>
      </c>
      <c r="S147" s="6"/>
    </row>
    <row r="148" ht="15" customHeight="1" spans="1:19" x14ac:dyDescent="0.25">
      <c r="A148" s="6" t="s">
        <v>384</v>
      </c>
      <c r="B148" s="6" t="s">
        <v>61</v>
      </c>
      <c r="C148" s="6" t="s">
        <v>112</v>
      </c>
      <c r="D148" s="6" t="s">
        <v>162</v>
      </c>
      <c r="E148" s="6">
        <v>7</v>
      </c>
      <c r="F148" s="7">
        <v>25.6</v>
      </c>
      <c r="G148" s="7">
        <v>0</v>
      </c>
      <c r="H148" s="7">
        <v>5.4</v>
      </c>
      <c r="I148" s="7">
        <v>0.6</v>
      </c>
      <c r="J148" s="7">
        <v>1.2</v>
      </c>
      <c r="K148" s="7">
        <v>2</v>
      </c>
      <c r="L148" s="6">
        <v>42</v>
      </c>
      <c r="M148" s="6">
        <v>20</v>
      </c>
      <c r="N148" s="7">
        <v>9.7</v>
      </c>
      <c r="O148" s="6" t="s">
        <v>201</v>
      </c>
      <c r="P148" s="6" t="s">
        <v>202</v>
      </c>
      <c r="Q148" s="6" t="s">
        <v>377</v>
      </c>
      <c r="R148" s="6" t="s">
        <v>378</v>
      </c>
      <c r="S148" s="6"/>
    </row>
    <row r="149" ht="15" customHeight="1" spans="1:19" x14ac:dyDescent="0.25">
      <c r="A149" s="6" t="s">
        <v>385</v>
      </c>
      <c r="B149" s="6" t="s">
        <v>61</v>
      </c>
      <c r="C149" s="6" t="s">
        <v>112</v>
      </c>
      <c r="D149" s="6" t="s">
        <v>162</v>
      </c>
      <c r="E149" s="6">
        <v>8</v>
      </c>
      <c r="F149" s="7">
        <v>26.2</v>
      </c>
      <c r="G149" s="7">
        <v>0</v>
      </c>
      <c r="H149" s="7">
        <v>5.4</v>
      </c>
      <c r="I149" s="7">
        <v>0.6</v>
      </c>
      <c r="J149" s="7">
        <v>1.2</v>
      </c>
      <c r="K149" s="7">
        <v>2</v>
      </c>
      <c r="L149" s="6">
        <v>42</v>
      </c>
      <c r="M149" s="6">
        <v>20</v>
      </c>
      <c r="N149" s="7">
        <v>9.7</v>
      </c>
      <c r="O149" s="6" t="s">
        <v>201</v>
      </c>
      <c r="P149" s="6" t="s">
        <v>202</v>
      </c>
      <c r="Q149" s="6" t="s">
        <v>377</v>
      </c>
      <c r="R149" s="6" t="s">
        <v>378</v>
      </c>
      <c r="S149" s="6"/>
    </row>
    <row r="150" ht="15" customHeight="1" spans="1:19" x14ac:dyDescent="0.25">
      <c r="A150" s="6" t="s">
        <v>386</v>
      </c>
      <c r="B150" s="6" t="s">
        <v>61</v>
      </c>
      <c r="C150" s="6" t="s">
        <v>112</v>
      </c>
      <c r="D150" s="6" t="s">
        <v>162</v>
      </c>
      <c r="E150" s="6">
        <v>9</v>
      </c>
      <c r="F150" s="7">
        <v>26.8</v>
      </c>
      <c r="G150" s="7">
        <v>0</v>
      </c>
      <c r="H150" s="7">
        <v>5.4</v>
      </c>
      <c r="I150" s="7">
        <v>0.6</v>
      </c>
      <c r="J150" s="7">
        <v>1.2</v>
      </c>
      <c r="K150" s="7">
        <v>2</v>
      </c>
      <c r="L150" s="6">
        <v>42</v>
      </c>
      <c r="M150" s="6">
        <v>20</v>
      </c>
      <c r="N150" s="7">
        <v>9.7</v>
      </c>
      <c r="O150" s="6" t="s">
        <v>201</v>
      </c>
      <c r="P150" s="6" t="s">
        <v>202</v>
      </c>
      <c r="Q150" s="6" t="s">
        <v>377</v>
      </c>
      <c r="R150" s="6" t="s">
        <v>378</v>
      </c>
      <c r="S150" s="6"/>
    </row>
    <row r="151" ht="15" customHeight="1" spans="1:19" x14ac:dyDescent="0.25">
      <c r="A151" s="6" t="s">
        <v>387</v>
      </c>
      <c r="B151" s="6" t="s">
        <v>61</v>
      </c>
      <c r="C151" s="6" t="s">
        <v>112</v>
      </c>
      <c r="D151" s="6" t="s">
        <v>162</v>
      </c>
      <c r="E151" s="6">
        <v>10</v>
      </c>
      <c r="F151" s="7">
        <v>27.4</v>
      </c>
      <c r="G151" s="7">
        <v>0</v>
      </c>
      <c r="H151" s="7">
        <v>5.4</v>
      </c>
      <c r="I151" s="7">
        <v>0.6</v>
      </c>
      <c r="J151" s="7">
        <v>1.2</v>
      </c>
      <c r="K151" s="7">
        <v>2</v>
      </c>
      <c r="L151" s="6">
        <v>42</v>
      </c>
      <c r="M151" s="6">
        <v>20</v>
      </c>
      <c r="N151" s="7">
        <v>9.7</v>
      </c>
      <c r="O151" s="6" t="s">
        <v>201</v>
      </c>
      <c r="P151" s="6" t="s">
        <v>202</v>
      </c>
      <c r="Q151" s="6" t="s">
        <v>377</v>
      </c>
      <c r="R151" s="6" t="s">
        <v>378</v>
      </c>
      <c r="S151" s="6"/>
    </row>
    <row r="152" ht="15" customHeight="1" spans="1:19" x14ac:dyDescent="0.25">
      <c r="A152" s="6" t="s">
        <v>388</v>
      </c>
      <c r="B152" s="6" t="s">
        <v>61</v>
      </c>
      <c r="C152" s="6" t="s">
        <v>112</v>
      </c>
      <c r="D152" s="6" t="s">
        <v>162</v>
      </c>
      <c r="E152" s="6">
        <v>11</v>
      </c>
      <c r="F152" s="7">
        <v>28</v>
      </c>
      <c r="G152" s="7">
        <v>0</v>
      </c>
      <c r="H152" s="7">
        <v>5.4</v>
      </c>
      <c r="I152" s="7">
        <v>0.6</v>
      </c>
      <c r="J152" s="7">
        <v>1.2</v>
      </c>
      <c r="K152" s="7">
        <v>2</v>
      </c>
      <c r="L152" s="6">
        <v>42</v>
      </c>
      <c r="M152" s="6">
        <v>20</v>
      </c>
      <c r="N152" s="7">
        <v>9.7</v>
      </c>
      <c r="O152" s="6" t="s">
        <v>201</v>
      </c>
      <c r="P152" s="6" t="s">
        <v>202</v>
      </c>
      <c r="Q152" s="6" t="s">
        <v>389</v>
      </c>
      <c r="R152" s="6" t="s">
        <v>390</v>
      </c>
      <c r="S152" s="6"/>
    </row>
    <row r="153" ht="15" customHeight="1" spans="1:19" x14ac:dyDescent="0.25">
      <c r="A153" s="6" t="s">
        <v>391</v>
      </c>
      <c r="B153" s="6" t="s">
        <v>61</v>
      </c>
      <c r="C153" s="6" t="s">
        <v>112</v>
      </c>
      <c r="D153" s="6" t="s">
        <v>162</v>
      </c>
      <c r="E153" s="6">
        <v>12</v>
      </c>
      <c r="F153" s="7">
        <v>28.6</v>
      </c>
      <c r="G153" s="7">
        <v>0</v>
      </c>
      <c r="H153" s="7">
        <v>5.4</v>
      </c>
      <c r="I153" s="7">
        <v>0.6</v>
      </c>
      <c r="J153" s="7">
        <v>1.2</v>
      </c>
      <c r="K153" s="7">
        <v>2</v>
      </c>
      <c r="L153" s="6">
        <v>42</v>
      </c>
      <c r="M153" s="6">
        <v>20</v>
      </c>
      <c r="N153" s="7">
        <v>9.7</v>
      </c>
      <c r="O153" s="6" t="s">
        <v>201</v>
      </c>
      <c r="P153" s="6" t="s">
        <v>202</v>
      </c>
      <c r="Q153" s="6" t="s">
        <v>389</v>
      </c>
      <c r="R153" s="6" t="s">
        <v>390</v>
      </c>
      <c r="S153" s="6"/>
    </row>
    <row r="154" ht="15" customHeight="1" spans="1:19" x14ac:dyDescent="0.25">
      <c r="A154" s="6" t="s">
        <v>392</v>
      </c>
      <c r="B154" s="6" t="s">
        <v>61</v>
      </c>
      <c r="C154" s="6" t="s">
        <v>112</v>
      </c>
      <c r="D154" s="6" t="s">
        <v>162</v>
      </c>
      <c r="E154" s="6">
        <v>13</v>
      </c>
      <c r="F154" s="7">
        <v>29.2</v>
      </c>
      <c r="G154" s="7">
        <v>0</v>
      </c>
      <c r="H154" s="7">
        <v>5.4</v>
      </c>
      <c r="I154" s="7">
        <v>0.6</v>
      </c>
      <c r="J154" s="7">
        <v>1.2</v>
      </c>
      <c r="K154" s="7">
        <v>2</v>
      </c>
      <c r="L154" s="6">
        <v>42</v>
      </c>
      <c r="M154" s="6">
        <v>20</v>
      </c>
      <c r="N154" s="7">
        <v>9.7</v>
      </c>
      <c r="O154" s="6" t="s">
        <v>201</v>
      </c>
      <c r="P154" s="6" t="s">
        <v>202</v>
      </c>
      <c r="Q154" s="6" t="s">
        <v>389</v>
      </c>
      <c r="R154" s="6" t="s">
        <v>390</v>
      </c>
      <c r="S154" s="6"/>
    </row>
    <row r="155" ht="15" customHeight="1" spans="1:19" x14ac:dyDescent="0.25">
      <c r="A155" s="6" t="s">
        <v>393</v>
      </c>
      <c r="B155" s="6" t="s">
        <v>61</v>
      </c>
      <c r="C155" s="6" t="s">
        <v>112</v>
      </c>
      <c r="D155" s="6" t="s">
        <v>162</v>
      </c>
      <c r="E155" s="6">
        <v>14</v>
      </c>
      <c r="F155" s="7">
        <v>29.8</v>
      </c>
      <c r="G155" s="7">
        <v>0</v>
      </c>
      <c r="H155" s="7">
        <v>5.4</v>
      </c>
      <c r="I155" s="7">
        <v>0.6</v>
      </c>
      <c r="J155" s="7">
        <v>1.2</v>
      </c>
      <c r="K155" s="7">
        <v>2</v>
      </c>
      <c r="L155" s="6">
        <v>42</v>
      </c>
      <c r="M155" s="6">
        <v>20</v>
      </c>
      <c r="N155" s="7">
        <v>9.7</v>
      </c>
      <c r="O155" s="6" t="s">
        <v>201</v>
      </c>
      <c r="P155" s="6" t="s">
        <v>202</v>
      </c>
      <c r="Q155" s="6" t="s">
        <v>389</v>
      </c>
      <c r="R155" s="6" t="s">
        <v>390</v>
      </c>
      <c r="S155" s="6"/>
    </row>
    <row r="156" ht="15" customHeight="1" spans="1:19" x14ac:dyDescent="0.25">
      <c r="A156" s="6" t="s">
        <v>394</v>
      </c>
      <c r="B156" s="6" t="s">
        <v>61</v>
      </c>
      <c r="C156" s="6" t="s">
        <v>112</v>
      </c>
      <c r="D156" s="6" t="s">
        <v>162</v>
      </c>
      <c r="E156" s="6">
        <v>15</v>
      </c>
      <c r="F156" s="7">
        <v>30.4</v>
      </c>
      <c r="G156" s="7">
        <v>0</v>
      </c>
      <c r="H156" s="7">
        <v>5.4</v>
      </c>
      <c r="I156" s="7">
        <v>0.6</v>
      </c>
      <c r="J156" s="7">
        <v>1.2</v>
      </c>
      <c r="K156" s="7">
        <v>2</v>
      </c>
      <c r="L156" s="6">
        <v>42</v>
      </c>
      <c r="M156" s="6">
        <v>20</v>
      </c>
      <c r="N156" s="7">
        <v>9.2</v>
      </c>
      <c r="O156" s="6" t="s">
        <v>201</v>
      </c>
      <c r="P156" s="6" t="s">
        <v>202</v>
      </c>
      <c r="Q156" s="6" t="s">
        <v>389</v>
      </c>
      <c r="R156" s="6" t="s">
        <v>390</v>
      </c>
      <c r="S156" s="6"/>
    </row>
    <row r="157" ht="15" customHeight="1" spans="1:19" x14ac:dyDescent="0.25">
      <c r="A157" s="6" t="s">
        <v>395</v>
      </c>
      <c r="B157" s="6" t="s">
        <v>61</v>
      </c>
      <c r="C157" s="6" t="s">
        <v>112</v>
      </c>
      <c r="D157" s="6" t="s">
        <v>162</v>
      </c>
      <c r="E157" s="6">
        <v>16</v>
      </c>
      <c r="F157" s="7">
        <v>31</v>
      </c>
      <c r="G157" s="7">
        <v>0</v>
      </c>
      <c r="H157" s="7">
        <v>5.4</v>
      </c>
      <c r="I157" s="7">
        <v>0.6</v>
      </c>
      <c r="J157" s="7">
        <v>1.2</v>
      </c>
      <c r="K157" s="7">
        <v>2</v>
      </c>
      <c r="L157" s="6">
        <v>42</v>
      </c>
      <c r="M157" s="6">
        <v>20</v>
      </c>
      <c r="N157" s="7">
        <v>0</v>
      </c>
      <c r="O157" s="6" t="s">
        <v>225</v>
      </c>
      <c r="P157" s="6"/>
      <c r="Q157" s="6" t="s">
        <v>389</v>
      </c>
      <c r="R157" s="6" t="s">
        <v>390</v>
      </c>
      <c r="S157" s="6"/>
    </row>
    <row r="158" ht="15" customHeight="1" spans="1:19" x14ac:dyDescent="0.25">
      <c r="A158" s="6" t="s">
        <v>396</v>
      </c>
      <c r="B158" s="6" t="s">
        <v>61</v>
      </c>
      <c r="C158" s="6" t="s">
        <v>112</v>
      </c>
      <c r="D158" s="6" t="s">
        <v>162</v>
      </c>
      <c r="E158" s="6">
        <v>17</v>
      </c>
      <c r="F158" s="7">
        <v>31.6</v>
      </c>
      <c r="G158" s="7">
        <v>0</v>
      </c>
      <c r="H158" s="7">
        <v>5.4</v>
      </c>
      <c r="I158" s="7">
        <v>0.6</v>
      </c>
      <c r="J158" s="7">
        <v>1.2</v>
      </c>
      <c r="K158" s="7">
        <v>2</v>
      </c>
      <c r="L158" s="6">
        <v>42</v>
      </c>
      <c r="M158" s="6">
        <v>20</v>
      </c>
      <c r="N158" s="7">
        <v>0</v>
      </c>
      <c r="O158" s="6" t="s">
        <v>225</v>
      </c>
      <c r="P158" s="6"/>
      <c r="Q158" s="6" t="s">
        <v>389</v>
      </c>
      <c r="R158" s="6" t="s">
        <v>390</v>
      </c>
      <c r="S158" s="6"/>
    </row>
    <row r="159" ht="15" customHeight="1" spans="1:19" x14ac:dyDescent="0.25">
      <c r="A159" s="6" t="s">
        <v>397</v>
      </c>
      <c r="B159" s="6" t="s">
        <v>61</v>
      </c>
      <c r="C159" s="6" t="s">
        <v>112</v>
      </c>
      <c r="D159" s="6" t="s">
        <v>162</v>
      </c>
      <c r="E159" s="6">
        <v>18</v>
      </c>
      <c r="F159" s="7">
        <v>32.2</v>
      </c>
      <c r="G159" s="7">
        <v>0</v>
      </c>
      <c r="H159" s="7">
        <v>5.4</v>
      </c>
      <c r="I159" s="7">
        <v>0.6</v>
      </c>
      <c r="J159" s="7">
        <v>1.2</v>
      </c>
      <c r="K159" s="7">
        <v>2</v>
      </c>
      <c r="L159" s="6">
        <v>42</v>
      </c>
      <c r="M159" s="6">
        <v>20</v>
      </c>
      <c r="N159" s="7">
        <v>0</v>
      </c>
      <c r="O159" s="6" t="s">
        <v>225</v>
      </c>
      <c r="P159" s="6"/>
      <c r="Q159" s="6" t="s">
        <v>389</v>
      </c>
      <c r="R159" s="6" t="s">
        <v>390</v>
      </c>
      <c r="S159" s="6"/>
    </row>
    <row r="160" ht="15" customHeight="1" spans="1:19" x14ac:dyDescent="0.25">
      <c r="A160" s="6" t="s">
        <v>398</v>
      </c>
      <c r="B160" s="6" t="s">
        <v>61</v>
      </c>
      <c r="C160" s="6" t="s">
        <v>112</v>
      </c>
      <c r="D160" s="6" t="s">
        <v>162</v>
      </c>
      <c r="E160" s="6">
        <v>19</v>
      </c>
      <c r="F160" s="7">
        <v>32.8</v>
      </c>
      <c r="G160" s="7">
        <v>0</v>
      </c>
      <c r="H160" s="7">
        <v>5.4</v>
      </c>
      <c r="I160" s="7">
        <v>0.6</v>
      </c>
      <c r="J160" s="7">
        <v>1.2</v>
      </c>
      <c r="K160" s="7">
        <v>2</v>
      </c>
      <c r="L160" s="6">
        <v>42</v>
      </c>
      <c r="M160" s="6">
        <v>20</v>
      </c>
      <c r="N160" s="7">
        <v>0</v>
      </c>
      <c r="O160" s="6" t="s">
        <v>225</v>
      </c>
      <c r="P160" s="6"/>
      <c r="Q160" s="6" t="s">
        <v>389</v>
      </c>
      <c r="R160" s="6" t="s">
        <v>390</v>
      </c>
      <c r="S160" s="6"/>
    </row>
    <row r="161" ht="15" customHeight="1" spans="1:19" x14ac:dyDescent="0.25">
      <c r="A161" s="6" t="s">
        <v>399</v>
      </c>
      <c r="B161" s="6" t="s">
        <v>61</v>
      </c>
      <c r="C161" s="6" t="s">
        <v>112</v>
      </c>
      <c r="D161" s="6" t="s">
        <v>162</v>
      </c>
      <c r="E161" s="6">
        <v>20</v>
      </c>
      <c r="F161" s="7">
        <v>33.4</v>
      </c>
      <c r="G161" s="7">
        <v>0</v>
      </c>
      <c r="H161" s="7">
        <v>5.4</v>
      </c>
      <c r="I161" s="7">
        <v>0.6</v>
      </c>
      <c r="J161" s="7">
        <v>1.2</v>
      </c>
      <c r="K161" s="7">
        <v>2</v>
      </c>
      <c r="L161" s="6">
        <v>42</v>
      </c>
      <c r="M161" s="6">
        <v>20</v>
      </c>
      <c r="N161" s="7">
        <v>0</v>
      </c>
      <c r="O161" s="6" t="s">
        <v>225</v>
      </c>
      <c r="P161" s="6"/>
      <c r="Q161" s="6" t="s">
        <v>389</v>
      </c>
      <c r="R161" s="6" t="s">
        <v>390</v>
      </c>
      <c r="S161" s="6"/>
    </row>
    <row r="162" ht="15" customHeight="1" spans="1:19" x14ac:dyDescent="0.25">
      <c r="A162" s="6" t="s">
        <v>400</v>
      </c>
      <c r="B162" s="6" t="s">
        <v>61</v>
      </c>
      <c r="C162" s="6" t="s">
        <v>112</v>
      </c>
      <c r="D162" s="6" t="s">
        <v>163</v>
      </c>
      <c r="E162" s="6">
        <v>1</v>
      </c>
      <c r="F162" s="7">
        <v>22</v>
      </c>
      <c r="G162" s="7">
        <v>0</v>
      </c>
      <c r="H162" s="7">
        <v>7.8</v>
      </c>
      <c r="I162" s="7">
        <v>0.6</v>
      </c>
      <c r="J162" s="7">
        <v>1.2</v>
      </c>
      <c r="K162" s="7">
        <v>2</v>
      </c>
      <c r="L162" s="6">
        <v>42</v>
      </c>
      <c r="M162" s="6">
        <v>20</v>
      </c>
      <c r="N162" s="7">
        <v>9.5</v>
      </c>
      <c r="O162" s="6" t="s">
        <v>201</v>
      </c>
      <c r="P162" s="6" t="s">
        <v>252</v>
      </c>
      <c r="Q162" s="6" t="s">
        <v>401</v>
      </c>
      <c r="R162" s="6" t="s">
        <v>402</v>
      </c>
      <c r="S162" s="6"/>
    </row>
    <row r="163" ht="15" customHeight="1" spans="1:19" x14ac:dyDescent="0.25">
      <c r="A163" s="6" t="s">
        <v>403</v>
      </c>
      <c r="B163" s="6" t="s">
        <v>61</v>
      </c>
      <c r="C163" s="6" t="s">
        <v>112</v>
      </c>
      <c r="D163" s="6" t="s">
        <v>163</v>
      </c>
      <c r="E163" s="6">
        <v>2</v>
      </c>
      <c r="F163" s="7">
        <v>22.6</v>
      </c>
      <c r="G163" s="7">
        <v>0</v>
      </c>
      <c r="H163" s="7">
        <v>7.8</v>
      </c>
      <c r="I163" s="7">
        <v>0.6</v>
      </c>
      <c r="J163" s="7">
        <v>1.2</v>
      </c>
      <c r="K163" s="7">
        <v>2</v>
      </c>
      <c r="L163" s="6">
        <v>42</v>
      </c>
      <c r="M163" s="6">
        <v>20</v>
      </c>
      <c r="N163" s="7">
        <v>9.5</v>
      </c>
      <c r="O163" s="6" t="s">
        <v>201</v>
      </c>
      <c r="P163" s="6" t="s">
        <v>252</v>
      </c>
      <c r="Q163" s="6" t="s">
        <v>401</v>
      </c>
      <c r="R163" s="6" t="s">
        <v>402</v>
      </c>
      <c r="S163" s="6"/>
    </row>
    <row r="164" ht="15" customHeight="1" spans="1:19" x14ac:dyDescent="0.25">
      <c r="A164" s="6" t="s">
        <v>404</v>
      </c>
      <c r="B164" s="6" t="s">
        <v>61</v>
      </c>
      <c r="C164" s="6" t="s">
        <v>112</v>
      </c>
      <c r="D164" s="6" t="s">
        <v>163</v>
      </c>
      <c r="E164" s="6">
        <v>3</v>
      </c>
      <c r="F164" s="7">
        <v>23.2</v>
      </c>
      <c r="G164" s="7">
        <v>0</v>
      </c>
      <c r="H164" s="7">
        <v>7.8</v>
      </c>
      <c r="I164" s="7">
        <v>0.6</v>
      </c>
      <c r="J164" s="7">
        <v>1.2</v>
      </c>
      <c r="K164" s="7">
        <v>2</v>
      </c>
      <c r="L164" s="6">
        <v>42</v>
      </c>
      <c r="M164" s="6">
        <v>20</v>
      </c>
      <c r="N164" s="7">
        <v>9.5</v>
      </c>
      <c r="O164" s="6" t="s">
        <v>201</v>
      </c>
      <c r="P164" s="6" t="s">
        <v>252</v>
      </c>
      <c r="Q164" s="6" t="s">
        <v>401</v>
      </c>
      <c r="R164" s="6" t="s">
        <v>402</v>
      </c>
      <c r="S164" s="6"/>
    </row>
    <row r="165" ht="15" customHeight="1" spans="1:19" x14ac:dyDescent="0.25">
      <c r="A165" s="6" t="s">
        <v>405</v>
      </c>
      <c r="B165" s="6" t="s">
        <v>61</v>
      </c>
      <c r="C165" s="6" t="s">
        <v>112</v>
      </c>
      <c r="D165" s="6" t="s">
        <v>163</v>
      </c>
      <c r="E165" s="6">
        <v>4</v>
      </c>
      <c r="F165" s="7">
        <v>23.8</v>
      </c>
      <c r="G165" s="7">
        <v>0</v>
      </c>
      <c r="H165" s="7">
        <v>7.8</v>
      </c>
      <c r="I165" s="7">
        <v>0.6</v>
      </c>
      <c r="J165" s="7">
        <v>1.2</v>
      </c>
      <c r="K165" s="7">
        <v>2</v>
      </c>
      <c r="L165" s="6">
        <v>42</v>
      </c>
      <c r="M165" s="6">
        <v>20</v>
      </c>
      <c r="N165" s="7">
        <v>9.5</v>
      </c>
      <c r="O165" s="6" t="s">
        <v>201</v>
      </c>
      <c r="P165" s="6" t="s">
        <v>252</v>
      </c>
      <c r="Q165" s="6" t="s">
        <v>401</v>
      </c>
      <c r="R165" s="6" t="s">
        <v>402</v>
      </c>
      <c r="S165" s="6"/>
    </row>
    <row r="166" ht="15" customHeight="1" spans="1:19" x14ac:dyDescent="0.25">
      <c r="A166" s="6" t="s">
        <v>406</v>
      </c>
      <c r="B166" s="6" t="s">
        <v>61</v>
      </c>
      <c r="C166" s="6" t="s">
        <v>112</v>
      </c>
      <c r="D166" s="6" t="s">
        <v>163</v>
      </c>
      <c r="E166" s="6">
        <v>5</v>
      </c>
      <c r="F166" s="7">
        <v>24.4</v>
      </c>
      <c r="G166" s="7">
        <v>0</v>
      </c>
      <c r="H166" s="7">
        <v>7.8</v>
      </c>
      <c r="I166" s="7">
        <v>0.6</v>
      </c>
      <c r="J166" s="7">
        <v>1.2</v>
      </c>
      <c r="K166" s="7">
        <v>2</v>
      </c>
      <c r="L166" s="6">
        <v>42</v>
      </c>
      <c r="M166" s="6">
        <v>20</v>
      </c>
      <c r="N166" s="7">
        <v>9.5</v>
      </c>
      <c r="O166" s="6" t="s">
        <v>201</v>
      </c>
      <c r="P166" s="6" t="s">
        <v>252</v>
      </c>
      <c r="Q166" s="6" t="s">
        <v>401</v>
      </c>
      <c r="R166" s="6" t="s">
        <v>402</v>
      </c>
      <c r="S166" s="6"/>
    </row>
    <row r="167" ht="15" customHeight="1" spans="1:19" x14ac:dyDescent="0.25">
      <c r="A167" s="6" t="s">
        <v>407</v>
      </c>
      <c r="B167" s="6" t="s">
        <v>61</v>
      </c>
      <c r="C167" s="6" t="s">
        <v>112</v>
      </c>
      <c r="D167" s="6" t="s">
        <v>163</v>
      </c>
      <c r="E167" s="6">
        <v>6</v>
      </c>
      <c r="F167" s="7">
        <v>25</v>
      </c>
      <c r="G167" s="7">
        <v>0</v>
      </c>
      <c r="H167" s="7">
        <v>7.8</v>
      </c>
      <c r="I167" s="7">
        <v>0.6</v>
      </c>
      <c r="J167" s="7">
        <v>1.2</v>
      </c>
      <c r="K167" s="7">
        <v>2</v>
      </c>
      <c r="L167" s="6">
        <v>42</v>
      </c>
      <c r="M167" s="6">
        <v>20</v>
      </c>
      <c r="N167" s="7">
        <v>9.5</v>
      </c>
      <c r="O167" s="6" t="s">
        <v>201</v>
      </c>
      <c r="P167" s="6" t="s">
        <v>252</v>
      </c>
      <c r="Q167" s="6" t="s">
        <v>401</v>
      </c>
      <c r="R167" s="6" t="s">
        <v>402</v>
      </c>
      <c r="S167" s="6"/>
    </row>
    <row r="168" ht="15" customHeight="1" spans="1:19" x14ac:dyDescent="0.25">
      <c r="A168" s="6" t="s">
        <v>408</v>
      </c>
      <c r="B168" s="6" t="s">
        <v>61</v>
      </c>
      <c r="C168" s="6" t="s">
        <v>112</v>
      </c>
      <c r="D168" s="6" t="s">
        <v>163</v>
      </c>
      <c r="E168" s="6">
        <v>7</v>
      </c>
      <c r="F168" s="7">
        <v>25.6</v>
      </c>
      <c r="G168" s="7">
        <v>0</v>
      </c>
      <c r="H168" s="7">
        <v>7.8</v>
      </c>
      <c r="I168" s="7">
        <v>0.6</v>
      </c>
      <c r="J168" s="7">
        <v>1.2</v>
      </c>
      <c r="K168" s="7">
        <v>2</v>
      </c>
      <c r="L168" s="6">
        <v>42</v>
      </c>
      <c r="M168" s="6">
        <v>20</v>
      </c>
      <c r="N168" s="7">
        <v>9.5</v>
      </c>
      <c r="O168" s="6" t="s">
        <v>201</v>
      </c>
      <c r="P168" s="6" t="s">
        <v>252</v>
      </c>
      <c r="Q168" s="6" t="s">
        <v>401</v>
      </c>
      <c r="R168" s="6" t="s">
        <v>402</v>
      </c>
      <c r="S168" s="6"/>
    </row>
    <row r="169" ht="15" customHeight="1" spans="1:19" x14ac:dyDescent="0.25">
      <c r="A169" s="6" t="s">
        <v>409</v>
      </c>
      <c r="B169" s="6" t="s">
        <v>61</v>
      </c>
      <c r="C169" s="6" t="s">
        <v>112</v>
      </c>
      <c r="D169" s="6" t="s">
        <v>163</v>
      </c>
      <c r="E169" s="6">
        <v>8</v>
      </c>
      <c r="F169" s="7">
        <v>26.2</v>
      </c>
      <c r="G169" s="7">
        <v>0</v>
      </c>
      <c r="H169" s="7">
        <v>7.8</v>
      </c>
      <c r="I169" s="7">
        <v>0.6</v>
      </c>
      <c r="J169" s="7">
        <v>1.2</v>
      </c>
      <c r="K169" s="7">
        <v>2</v>
      </c>
      <c r="L169" s="6">
        <v>42</v>
      </c>
      <c r="M169" s="6">
        <v>20</v>
      </c>
      <c r="N169" s="7">
        <v>9.5</v>
      </c>
      <c r="O169" s="6" t="s">
        <v>201</v>
      </c>
      <c r="P169" s="6" t="s">
        <v>252</v>
      </c>
      <c r="Q169" s="6" t="s">
        <v>401</v>
      </c>
      <c r="R169" s="6" t="s">
        <v>402</v>
      </c>
      <c r="S169" s="6"/>
    </row>
    <row r="170" ht="15" customHeight="1" spans="1:19" x14ac:dyDescent="0.25">
      <c r="A170" s="6" t="s">
        <v>410</v>
      </c>
      <c r="B170" s="6" t="s">
        <v>61</v>
      </c>
      <c r="C170" s="6" t="s">
        <v>112</v>
      </c>
      <c r="D170" s="6" t="s">
        <v>163</v>
      </c>
      <c r="E170" s="6">
        <v>9</v>
      </c>
      <c r="F170" s="7">
        <v>26.8</v>
      </c>
      <c r="G170" s="7">
        <v>0</v>
      </c>
      <c r="H170" s="7">
        <v>7.8</v>
      </c>
      <c r="I170" s="7">
        <v>0.6</v>
      </c>
      <c r="J170" s="7">
        <v>1.2</v>
      </c>
      <c r="K170" s="7">
        <v>2</v>
      </c>
      <c r="L170" s="6">
        <v>42</v>
      </c>
      <c r="M170" s="6">
        <v>20</v>
      </c>
      <c r="N170" s="7">
        <v>9.5</v>
      </c>
      <c r="O170" s="6" t="s">
        <v>201</v>
      </c>
      <c r="P170" s="6" t="s">
        <v>252</v>
      </c>
      <c r="Q170" s="6" t="s">
        <v>401</v>
      </c>
      <c r="R170" s="6" t="s">
        <v>402</v>
      </c>
      <c r="S170" s="6"/>
    </row>
    <row r="171" ht="15" customHeight="1" spans="1:19" x14ac:dyDescent="0.25">
      <c r="A171" s="6" t="s">
        <v>411</v>
      </c>
      <c r="B171" s="6" t="s">
        <v>61</v>
      </c>
      <c r="C171" s="6" t="s">
        <v>112</v>
      </c>
      <c r="D171" s="6" t="s">
        <v>163</v>
      </c>
      <c r="E171" s="6">
        <v>10</v>
      </c>
      <c r="F171" s="7">
        <v>27.4</v>
      </c>
      <c r="G171" s="7">
        <v>0</v>
      </c>
      <c r="H171" s="7">
        <v>7.8</v>
      </c>
      <c r="I171" s="7">
        <v>0.6</v>
      </c>
      <c r="J171" s="7">
        <v>1.2</v>
      </c>
      <c r="K171" s="7">
        <v>2</v>
      </c>
      <c r="L171" s="6">
        <v>42</v>
      </c>
      <c r="M171" s="6">
        <v>20</v>
      </c>
      <c r="N171" s="7">
        <v>9.5</v>
      </c>
      <c r="O171" s="6" t="s">
        <v>201</v>
      </c>
      <c r="P171" s="6" t="s">
        <v>252</v>
      </c>
      <c r="Q171" s="6" t="s">
        <v>401</v>
      </c>
      <c r="R171" s="6" t="s">
        <v>402</v>
      </c>
      <c r="S171" s="6"/>
    </row>
    <row r="172" ht="15" customHeight="1" spans="1:19" x14ac:dyDescent="0.25">
      <c r="A172" s="6" t="s">
        <v>412</v>
      </c>
      <c r="B172" s="6" t="s">
        <v>61</v>
      </c>
      <c r="C172" s="6" t="s">
        <v>112</v>
      </c>
      <c r="D172" s="6" t="s">
        <v>163</v>
      </c>
      <c r="E172" s="6">
        <v>11</v>
      </c>
      <c r="F172" s="7">
        <v>28</v>
      </c>
      <c r="G172" s="7">
        <v>0</v>
      </c>
      <c r="H172" s="7">
        <v>7.8</v>
      </c>
      <c r="I172" s="7">
        <v>0.6</v>
      </c>
      <c r="J172" s="7">
        <v>1.2</v>
      </c>
      <c r="K172" s="7">
        <v>2</v>
      </c>
      <c r="L172" s="6">
        <v>42</v>
      </c>
      <c r="M172" s="6">
        <v>20</v>
      </c>
      <c r="N172" s="7">
        <v>9.5</v>
      </c>
      <c r="O172" s="6" t="s">
        <v>201</v>
      </c>
      <c r="P172" s="6" t="s">
        <v>252</v>
      </c>
      <c r="Q172" s="6" t="s">
        <v>413</v>
      </c>
      <c r="R172" s="6" t="s">
        <v>414</v>
      </c>
      <c r="S172" s="6"/>
    </row>
    <row r="173" ht="15" customHeight="1" spans="1:19" x14ac:dyDescent="0.25">
      <c r="A173" s="6" t="s">
        <v>415</v>
      </c>
      <c r="B173" s="6" t="s">
        <v>61</v>
      </c>
      <c r="C173" s="6" t="s">
        <v>112</v>
      </c>
      <c r="D173" s="6" t="s">
        <v>163</v>
      </c>
      <c r="E173" s="6">
        <v>12</v>
      </c>
      <c r="F173" s="7">
        <v>28.6</v>
      </c>
      <c r="G173" s="7">
        <v>0</v>
      </c>
      <c r="H173" s="7">
        <v>7.8</v>
      </c>
      <c r="I173" s="7">
        <v>0.6</v>
      </c>
      <c r="J173" s="7">
        <v>1.2</v>
      </c>
      <c r="K173" s="7">
        <v>2</v>
      </c>
      <c r="L173" s="6">
        <v>42</v>
      </c>
      <c r="M173" s="6">
        <v>20</v>
      </c>
      <c r="N173" s="7">
        <v>9.5</v>
      </c>
      <c r="O173" s="6" t="s">
        <v>201</v>
      </c>
      <c r="P173" s="6" t="s">
        <v>252</v>
      </c>
      <c r="Q173" s="6" t="s">
        <v>413</v>
      </c>
      <c r="R173" s="6" t="s">
        <v>414</v>
      </c>
      <c r="S173" s="6"/>
    </row>
    <row r="174" ht="15" customHeight="1" spans="1:19" x14ac:dyDescent="0.25">
      <c r="A174" s="6" t="s">
        <v>416</v>
      </c>
      <c r="B174" s="6" t="s">
        <v>61</v>
      </c>
      <c r="C174" s="6" t="s">
        <v>112</v>
      </c>
      <c r="D174" s="6" t="s">
        <v>163</v>
      </c>
      <c r="E174" s="6">
        <v>13</v>
      </c>
      <c r="F174" s="7">
        <v>29.2</v>
      </c>
      <c r="G174" s="7">
        <v>0</v>
      </c>
      <c r="H174" s="7">
        <v>7.8</v>
      </c>
      <c r="I174" s="7">
        <v>0.6</v>
      </c>
      <c r="J174" s="7">
        <v>1.2</v>
      </c>
      <c r="K174" s="7">
        <v>2</v>
      </c>
      <c r="L174" s="6">
        <v>42</v>
      </c>
      <c r="M174" s="6">
        <v>20</v>
      </c>
      <c r="N174" s="7">
        <v>9.5</v>
      </c>
      <c r="O174" s="6" t="s">
        <v>201</v>
      </c>
      <c r="P174" s="6" t="s">
        <v>252</v>
      </c>
      <c r="Q174" s="6" t="s">
        <v>413</v>
      </c>
      <c r="R174" s="6" t="s">
        <v>414</v>
      </c>
      <c r="S174" s="6"/>
    </row>
    <row r="175" ht="15" customHeight="1" spans="1:19" x14ac:dyDescent="0.25">
      <c r="A175" s="6" t="s">
        <v>417</v>
      </c>
      <c r="B175" s="6" t="s">
        <v>61</v>
      </c>
      <c r="C175" s="6" t="s">
        <v>112</v>
      </c>
      <c r="D175" s="6" t="s">
        <v>163</v>
      </c>
      <c r="E175" s="6">
        <v>14</v>
      </c>
      <c r="F175" s="7">
        <v>29.8</v>
      </c>
      <c r="G175" s="7">
        <v>0</v>
      </c>
      <c r="H175" s="7">
        <v>7.8</v>
      </c>
      <c r="I175" s="7">
        <v>0.6</v>
      </c>
      <c r="J175" s="7">
        <v>1.2</v>
      </c>
      <c r="K175" s="7">
        <v>2</v>
      </c>
      <c r="L175" s="6">
        <v>42</v>
      </c>
      <c r="M175" s="6">
        <v>20</v>
      </c>
      <c r="N175" s="7">
        <v>9.5</v>
      </c>
      <c r="O175" s="6" t="s">
        <v>201</v>
      </c>
      <c r="P175" s="6" t="s">
        <v>252</v>
      </c>
      <c r="Q175" s="6" t="s">
        <v>413</v>
      </c>
      <c r="R175" s="6" t="s">
        <v>414</v>
      </c>
      <c r="S175" s="6"/>
    </row>
    <row r="176" ht="15" customHeight="1" spans="1:19" x14ac:dyDescent="0.25">
      <c r="A176" s="6" t="s">
        <v>418</v>
      </c>
      <c r="B176" s="6" t="s">
        <v>61</v>
      </c>
      <c r="C176" s="6" t="s">
        <v>112</v>
      </c>
      <c r="D176" s="6" t="s">
        <v>163</v>
      </c>
      <c r="E176" s="6">
        <v>15</v>
      </c>
      <c r="F176" s="7">
        <v>30.4</v>
      </c>
      <c r="G176" s="7">
        <v>0</v>
      </c>
      <c r="H176" s="7">
        <v>7.8</v>
      </c>
      <c r="I176" s="7">
        <v>0.6</v>
      </c>
      <c r="J176" s="7">
        <v>1.2</v>
      </c>
      <c r="K176" s="7">
        <v>2</v>
      </c>
      <c r="L176" s="6">
        <v>42</v>
      </c>
      <c r="M176" s="6">
        <v>20</v>
      </c>
      <c r="N176" s="7">
        <v>9.5</v>
      </c>
      <c r="O176" s="6" t="s">
        <v>201</v>
      </c>
      <c r="P176" s="6" t="s">
        <v>252</v>
      </c>
      <c r="Q176" s="6" t="s">
        <v>413</v>
      </c>
      <c r="R176" s="6" t="s">
        <v>414</v>
      </c>
      <c r="S176" s="6"/>
    </row>
    <row r="177" ht="15" customHeight="1" spans="1:19" x14ac:dyDescent="0.25">
      <c r="A177" s="6" t="s">
        <v>419</v>
      </c>
      <c r="B177" s="6" t="s">
        <v>61</v>
      </c>
      <c r="C177" s="6" t="s">
        <v>112</v>
      </c>
      <c r="D177" s="6" t="s">
        <v>163</v>
      </c>
      <c r="E177" s="6">
        <v>16</v>
      </c>
      <c r="F177" s="7">
        <v>31</v>
      </c>
      <c r="G177" s="7">
        <v>0</v>
      </c>
      <c r="H177" s="7">
        <v>7.8</v>
      </c>
      <c r="I177" s="7">
        <v>0.6</v>
      </c>
      <c r="J177" s="7">
        <v>1.2</v>
      </c>
      <c r="K177" s="7">
        <v>2</v>
      </c>
      <c r="L177" s="6">
        <v>42</v>
      </c>
      <c r="M177" s="6">
        <v>20</v>
      </c>
      <c r="N177" s="7">
        <v>9.5</v>
      </c>
      <c r="O177" s="6" t="s">
        <v>201</v>
      </c>
      <c r="P177" s="6" t="s">
        <v>252</v>
      </c>
      <c r="Q177" s="6" t="s">
        <v>413</v>
      </c>
      <c r="R177" s="6" t="s">
        <v>414</v>
      </c>
      <c r="S177" s="6"/>
    </row>
    <row r="178" ht="15" customHeight="1" spans="1:19" x14ac:dyDescent="0.25">
      <c r="A178" s="6" t="s">
        <v>420</v>
      </c>
      <c r="B178" s="6" t="s">
        <v>61</v>
      </c>
      <c r="C178" s="6" t="s">
        <v>112</v>
      </c>
      <c r="D178" s="6" t="s">
        <v>163</v>
      </c>
      <c r="E178" s="6">
        <v>17</v>
      </c>
      <c r="F178" s="7">
        <v>31.6</v>
      </c>
      <c r="G178" s="7">
        <v>0</v>
      </c>
      <c r="H178" s="7">
        <v>7.8</v>
      </c>
      <c r="I178" s="7">
        <v>0.6</v>
      </c>
      <c r="J178" s="7">
        <v>1.2</v>
      </c>
      <c r="K178" s="7">
        <v>2</v>
      </c>
      <c r="L178" s="6">
        <v>42</v>
      </c>
      <c r="M178" s="6">
        <v>20</v>
      </c>
      <c r="N178" s="7">
        <v>0</v>
      </c>
      <c r="O178" s="6" t="s">
        <v>225</v>
      </c>
      <c r="P178" s="6"/>
      <c r="Q178" s="6" t="s">
        <v>413</v>
      </c>
      <c r="R178" s="6" t="s">
        <v>414</v>
      </c>
      <c r="S178" s="6"/>
    </row>
    <row r="179" ht="15" customHeight="1" spans="1:19" x14ac:dyDescent="0.25">
      <c r="A179" s="6" t="s">
        <v>421</v>
      </c>
      <c r="B179" s="6" t="s">
        <v>61</v>
      </c>
      <c r="C179" s="6" t="s">
        <v>112</v>
      </c>
      <c r="D179" s="6" t="s">
        <v>163</v>
      </c>
      <c r="E179" s="6">
        <v>18</v>
      </c>
      <c r="F179" s="7">
        <v>32.2</v>
      </c>
      <c r="G179" s="7">
        <v>0</v>
      </c>
      <c r="H179" s="7">
        <v>7.8</v>
      </c>
      <c r="I179" s="7">
        <v>0.6</v>
      </c>
      <c r="J179" s="7">
        <v>1.2</v>
      </c>
      <c r="K179" s="7">
        <v>2</v>
      </c>
      <c r="L179" s="6">
        <v>42</v>
      </c>
      <c r="M179" s="6">
        <v>20</v>
      </c>
      <c r="N179" s="7">
        <v>0</v>
      </c>
      <c r="O179" s="6" t="s">
        <v>225</v>
      </c>
      <c r="P179" s="6"/>
      <c r="Q179" s="6" t="s">
        <v>413</v>
      </c>
      <c r="R179" s="6" t="s">
        <v>414</v>
      </c>
      <c r="S179" s="6"/>
    </row>
    <row r="180" ht="15" customHeight="1" spans="1:19" x14ac:dyDescent="0.25">
      <c r="A180" s="6" t="s">
        <v>422</v>
      </c>
      <c r="B180" s="6" t="s">
        <v>61</v>
      </c>
      <c r="C180" s="6" t="s">
        <v>112</v>
      </c>
      <c r="D180" s="6" t="s">
        <v>163</v>
      </c>
      <c r="E180" s="6">
        <v>19</v>
      </c>
      <c r="F180" s="7">
        <v>32.8</v>
      </c>
      <c r="G180" s="7">
        <v>0</v>
      </c>
      <c r="H180" s="7">
        <v>7.8</v>
      </c>
      <c r="I180" s="7">
        <v>0.6</v>
      </c>
      <c r="J180" s="7">
        <v>1.2</v>
      </c>
      <c r="K180" s="7">
        <v>2</v>
      </c>
      <c r="L180" s="6">
        <v>42</v>
      </c>
      <c r="M180" s="6">
        <v>20</v>
      </c>
      <c r="N180" s="7">
        <v>0</v>
      </c>
      <c r="O180" s="6" t="s">
        <v>225</v>
      </c>
      <c r="P180" s="6"/>
      <c r="Q180" s="6" t="s">
        <v>413</v>
      </c>
      <c r="R180" s="6" t="s">
        <v>414</v>
      </c>
      <c r="S180" s="6"/>
    </row>
    <row r="181" ht="15" customHeight="1" spans="1:19" x14ac:dyDescent="0.25">
      <c r="A181" s="6" t="s">
        <v>423</v>
      </c>
      <c r="B181" s="6" t="s">
        <v>61</v>
      </c>
      <c r="C181" s="6" t="s">
        <v>112</v>
      </c>
      <c r="D181" s="6" t="s">
        <v>163</v>
      </c>
      <c r="E181" s="6">
        <v>20</v>
      </c>
      <c r="F181" s="7">
        <v>33.4</v>
      </c>
      <c r="G181" s="7">
        <v>0</v>
      </c>
      <c r="H181" s="7">
        <v>7.8</v>
      </c>
      <c r="I181" s="7">
        <v>0.6</v>
      </c>
      <c r="J181" s="7">
        <v>1.2</v>
      </c>
      <c r="K181" s="7">
        <v>2</v>
      </c>
      <c r="L181" s="6">
        <v>42</v>
      </c>
      <c r="M181" s="6">
        <v>20</v>
      </c>
      <c r="N181" s="7">
        <v>0</v>
      </c>
      <c r="O181" s="6" t="s">
        <v>225</v>
      </c>
      <c r="P181" s="6"/>
      <c r="Q181" s="6" t="s">
        <v>413</v>
      </c>
      <c r="R181" s="6" t="s">
        <v>414</v>
      </c>
      <c r="S181" s="6"/>
    </row>
    <row r="182" ht="15" customHeight="1" spans="1:19" x14ac:dyDescent="0.25">
      <c r="A182" s="6" t="s">
        <v>424</v>
      </c>
      <c r="B182" s="6" t="s">
        <v>61</v>
      </c>
      <c r="C182" s="6" t="s">
        <v>112</v>
      </c>
      <c r="D182" s="6" t="s">
        <v>164</v>
      </c>
      <c r="E182" s="6">
        <v>1</v>
      </c>
      <c r="F182" s="7">
        <v>22</v>
      </c>
      <c r="G182" s="7">
        <v>0</v>
      </c>
      <c r="H182" s="7">
        <v>10.2</v>
      </c>
      <c r="I182" s="7">
        <v>0.6</v>
      </c>
      <c r="J182" s="7">
        <v>1.2</v>
      </c>
      <c r="K182" s="7">
        <v>2</v>
      </c>
      <c r="L182" s="6">
        <v>42</v>
      </c>
      <c r="M182" s="6">
        <v>20</v>
      </c>
      <c r="N182" s="7">
        <v>9.9</v>
      </c>
      <c r="O182" s="6" t="s">
        <v>201</v>
      </c>
      <c r="P182" s="6" t="s">
        <v>303</v>
      </c>
      <c r="Q182" s="6" t="s">
        <v>425</v>
      </c>
      <c r="R182" s="6" t="s">
        <v>426</v>
      </c>
      <c r="S182" s="6"/>
    </row>
    <row r="183" ht="15" customHeight="1" spans="1:19" x14ac:dyDescent="0.25">
      <c r="A183" s="6" t="s">
        <v>427</v>
      </c>
      <c r="B183" s="6" t="s">
        <v>61</v>
      </c>
      <c r="C183" s="6" t="s">
        <v>112</v>
      </c>
      <c r="D183" s="6" t="s">
        <v>164</v>
      </c>
      <c r="E183" s="6">
        <v>2</v>
      </c>
      <c r="F183" s="7">
        <v>22.6</v>
      </c>
      <c r="G183" s="7">
        <v>0</v>
      </c>
      <c r="H183" s="7">
        <v>10.2</v>
      </c>
      <c r="I183" s="7">
        <v>0.6</v>
      </c>
      <c r="J183" s="7">
        <v>1.2</v>
      </c>
      <c r="K183" s="7">
        <v>2</v>
      </c>
      <c r="L183" s="6">
        <v>42</v>
      </c>
      <c r="M183" s="6">
        <v>20</v>
      </c>
      <c r="N183" s="7">
        <v>9.9</v>
      </c>
      <c r="O183" s="6" t="s">
        <v>201</v>
      </c>
      <c r="P183" s="6" t="s">
        <v>303</v>
      </c>
      <c r="Q183" s="6" t="s">
        <v>425</v>
      </c>
      <c r="R183" s="6" t="s">
        <v>426</v>
      </c>
      <c r="S183" s="6"/>
    </row>
    <row r="184" ht="15" customHeight="1" spans="1:19" x14ac:dyDescent="0.25">
      <c r="A184" s="6" t="s">
        <v>428</v>
      </c>
      <c r="B184" s="6" t="s">
        <v>61</v>
      </c>
      <c r="C184" s="6" t="s">
        <v>112</v>
      </c>
      <c r="D184" s="6" t="s">
        <v>164</v>
      </c>
      <c r="E184" s="6">
        <v>3</v>
      </c>
      <c r="F184" s="7">
        <v>23.2</v>
      </c>
      <c r="G184" s="7">
        <v>0</v>
      </c>
      <c r="H184" s="7">
        <v>10.2</v>
      </c>
      <c r="I184" s="7">
        <v>0.6</v>
      </c>
      <c r="J184" s="7">
        <v>1.2</v>
      </c>
      <c r="K184" s="7">
        <v>2</v>
      </c>
      <c r="L184" s="6">
        <v>42</v>
      </c>
      <c r="M184" s="6">
        <v>20</v>
      </c>
      <c r="N184" s="7">
        <v>9.9</v>
      </c>
      <c r="O184" s="6" t="s">
        <v>201</v>
      </c>
      <c r="P184" s="6" t="s">
        <v>303</v>
      </c>
      <c r="Q184" s="6" t="s">
        <v>425</v>
      </c>
      <c r="R184" s="6" t="s">
        <v>426</v>
      </c>
      <c r="S184" s="6"/>
    </row>
    <row r="185" ht="15" customHeight="1" spans="1:19" x14ac:dyDescent="0.25">
      <c r="A185" s="6" t="s">
        <v>429</v>
      </c>
      <c r="B185" s="6" t="s">
        <v>61</v>
      </c>
      <c r="C185" s="6" t="s">
        <v>112</v>
      </c>
      <c r="D185" s="6" t="s">
        <v>164</v>
      </c>
      <c r="E185" s="6">
        <v>4</v>
      </c>
      <c r="F185" s="7">
        <v>23.8</v>
      </c>
      <c r="G185" s="7">
        <v>0</v>
      </c>
      <c r="H185" s="7">
        <v>10.2</v>
      </c>
      <c r="I185" s="7">
        <v>0.6</v>
      </c>
      <c r="J185" s="7">
        <v>1.2</v>
      </c>
      <c r="K185" s="7">
        <v>2</v>
      </c>
      <c r="L185" s="6">
        <v>42</v>
      </c>
      <c r="M185" s="6">
        <v>20</v>
      </c>
      <c r="N185" s="7">
        <v>9.9</v>
      </c>
      <c r="O185" s="6" t="s">
        <v>201</v>
      </c>
      <c r="P185" s="6" t="s">
        <v>303</v>
      </c>
      <c r="Q185" s="6" t="s">
        <v>425</v>
      </c>
      <c r="R185" s="6" t="s">
        <v>426</v>
      </c>
      <c r="S185" s="6"/>
    </row>
    <row r="186" ht="15" customHeight="1" spans="1:19" x14ac:dyDescent="0.25">
      <c r="A186" s="6" t="s">
        <v>430</v>
      </c>
      <c r="B186" s="6" t="s">
        <v>61</v>
      </c>
      <c r="C186" s="6" t="s">
        <v>112</v>
      </c>
      <c r="D186" s="6" t="s">
        <v>164</v>
      </c>
      <c r="E186" s="6">
        <v>5</v>
      </c>
      <c r="F186" s="7">
        <v>24.4</v>
      </c>
      <c r="G186" s="7">
        <v>0</v>
      </c>
      <c r="H186" s="7">
        <v>10.2</v>
      </c>
      <c r="I186" s="7">
        <v>0.6</v>
      </c>
      <c r="J186" s="7">
        <v>1.2</v>
      </c>
      <c r="K186" s="7">
        <v>2</v>
      </c>
      <c r="L186" s="6">
        <v>42</v>
      </c>
      <c r="M186" s="6">
        <v>20</v>
      </c>
      <c r="N186" s="7">
        <v>9.9</v>
      </c>
      <c r="O186" s="6" t="s">
        <v>201</v>
      </c>
      <c r="P186" s="6" t="s">
        <v>303</v>
      </c>
      <c r="Q186" s="6" t="s">
        <v>425</v>
      </c>
      <c r="R186" s="6" t="s">
        <v>426</v>
      </c>
      <c r="S186" s="6"/>
    </row>
    <row r="187" ht="15" customHeight="1" spans="1:19" x14ac:dyDescent="0.25">
      <c r="A187" s="6" t="s">
        <v>431</v>
      </c>
      <c r="B187" s="6" t="s">
        <v>61</v>
      </c>
      <c r="C187" s="6" t="s">
        <v>112</v>
      </c>
      <c r="D187" s="6" t="s">
        <v>164</v>
      </c>
      <c r="E187" s="6">
        <v>6</v>
      </c>
      <c r="F187" s="7">
        <v>25</v>
      </c>
      <c r="G187" s="7">
        <v>0</v>
      </c>
      <c r="H187" s="7">
        <v>10.2</v>
      </c>
      <c r="I187" s="7">
        <v>0.6</v>
      </c>
      <c r="J187" s="7">
        <v>1.2</v>
      </c>
      <c r="K187" s="7">
        <v>2</v>
      </c>
      <c r="L187" s="6">
        <v>42</v>
      </c>
      <c r="M187" s="6">
        <v>20</v>
      </c>
      <c r="N187" s="7">
        <v>9.9</v>
      </c>
      <c r="O187" s="6" t="s">
        <v>201</v>
      </c>
      <c r="P187" s="6" t="s">
        <v>303</v>
      </c>
      <c r="Q187" s="6" t="s">
        <v>425</v>
      </c>
      <c r="R187" s="6" t="s">
        <v>426</v>
      </c>
      <c r="S187" s="6"/>
    </row>
    <row r="188" ht="15" customHeight="1" spans="1:19" x14ac:dyDescent="0.25">
      <c r="A188" s="6" t="s">
        <v>432</v>
      </c>
      <c r="B188" s="6" t="s">
        <v>61</v>
      </c>
      <c r="C188" s="6" t="s">
        <v>112</v>
      </c>
      <c r="D188" s="6" t="s">
        <v>164</v>
      </c>
      <c r="E188" s="6">
        <v>7</v>
      </c>
      <c r="F188" s="7">
        <v>25.6</v>
      </c>
      <c r="G188" s="7">
        <v>0</v>
      </c>
      <c r="H188" s="7">
        <v>10.2</v>
      </c>
      <c r="I188" s="7">
        <v>0.6</v>
      </c>
      <c r="J188" s="7">
        <v>1.2</v>
      </c>
      <c r="K188" s="7">
        <v>2</v>
      </c>
      <c r="L188" s="6">
        <v>42</v>
      </c>
      <c r="M188" s="6">
        <v>20</v>
      </c>
      <c r="N188" s="7">
        <v>9.9</v>
      </c>
      <c r="O188" s="6" t="s">
        <v>201</v>
      </c>
      <c r="P188" s="6" t="s">
        <v>303</v>
      </c>
      <c r="Q188" s="6" t="s">
        <v>425</v>
      </c>
      <c r="R188" s="6" t="s">
        <v>426</v>
      </c>
      <c r="S188" s="6"/>
    </row>
    <row r="189" ht="15" customHeight="1" spans="1:19" x14ac:dyDescent="0.25">
      <c r="A189" s="6" t="s">
        <v>433</v>
      </c>
      <c r="B189" s="6" t="s">
        <v>61</v>
      </c>
      <c r="C189" s="6" t="s">
        <v>112</v>
      </c>
      <c r="D189" s="6" t="s">
        <v>164</v>
      </c>
      <c r="E189" s="6">
        <v>8</v>
      </c>
      <c r="F189" s="7">
        <v>26.2</v>
      </c>
      <c r="G189" s="7">
        <v>0</v>
      </c>
      <c r="H189" s="7">
        <v>10.2</v>
      </c>
      <c r="I189" s="7">
        <v>0.6</v>
      </c>
      <c r="J189" s="7">
        <v>1.2</v>
      </c>
      <c r="K189" s="7">
        <v>2</v>
      </c>
      <c r="L189" s="6">
        <v>42</v>
      </c>
      <c r="M189" s="6">
        <v>20</v>
      </c>
      <c r="N189" s="7">
        <v>9.9</v>
      </c>
      <c r="O189" s="6" t="s">
        <v>201</v>
      </c>
      <c r="P189" s="6" t="s">
        <v>303</v>
      </c>
      <c r="Q189" s="6" t="s">
        <v>425</v>
      </c>
      <c r="R189" s="6" t="s">
        <v>426</v>
      </c>
      <c r="S189" s="6"/>
    </row>
    <row r="190" ht="15" customHeight="1" spans="1:19" x14ac:dyDescent="0.25">
      <c r="A190" s="6" t="s">
        <v>434</v>
      </c>
      <c r="B190" s="6" t="s">
        <v>61</v>
      </c>
      <c r="C190" s="6" t="s">
        <v>112</v>
      </c>
      <c r="D190" s="6" t="s">
        <v>164</v>
      </c>
      <c r="E190" s="6">
        <v>9</v>
      </c>
      <c r="F190" s="7">
        <v>26.8</v>
      </c>
      <c r="G190" s="7">
        <v>0</v>
      </c>
      <c r="H190" s="7">
        <v>10.2</v>
      </c>
      <c r="I190" s="7">
        <v>0.6</v>
      </c>
      <c r="J190" s="7">
        <v>1.2</v>
      </c>
      <c r="K190" s="7">
        <v>2</v>
      </c>
      <c r="L190" s="6">
        <v>42</v>
      </c>
      <c r="M190" s="6">
        <v>20</v>
      </c>
      <c r="N190" s="7">
        <v>9.9</v>
      </c>
      <c r="O190" s="6" t="s">
        <v>201</v>
      </c>
      <c r="P190" s="6" t="s">
        <v>303</v>
      </c>
      <c r="Q190" s="6" t="s">
        <v>425</v>
      </c>
      <c r="R190" s="6" t="s">
        <v>426</v>
      </c>
      <c r="S190" s="6"/>
    </row>
    <row r="191" ht="15" customHeight="1" spans="1:19" x14ac:dyDescent="0.25">
      <c r="A191" s="6" t="s">
        <v>435</v>
      </c>
      <c r="B191" s="6" t="s">
        <v>61</v>
      </c>
      <c r="C191" s="6" t="s">
        <v>112</v>
      </c>
      <c r="D191" s="6" t="s">
        <v>164</v>
      </c>
      <c r="E191" s="6">
        <v>10</v>
      </c>
      <c r="F191" s="7">
        <v>27.4</v>
      </c>
      <c r="G191" s="7">
        <v>0</v>
      </c>
      <c r="H191" s="7">
        <v>10.2</v>
      </c>
      <c r="I191" s="7">
        <v>0.6</v>
      </c>
      <c r="J191" s="7">
        <v>1.2</v>
      </c>
      <c r="K191" s="7">
        <v>2</v>
      </c>
      <c r="L191" s="6">
        <v>42</v>
      </c>
      <c r="M191" s="6">
        <v>20</v>
      </c>
      <c r="N191" s="7">
        <v>9.9</v>
      </c>
      <c r="O191" s="6" t="s">
        <v>201</v>
      </c>
      <c r="P191" s="6" t="s">
        <v>303</v>
      </c>
      <c r="Q191" s="6" t="s">
        <v>425</v>
      </c>
      <c r="R191" s="6" t="s">
        <v>426</v>
      </c>
      <c r="S191" s="6"/>
    </row>
    <row r="192" ht="15" customHeight="1" spans="1:19" x14ac:dyDescent="0.25">
      <c r="A192" s="6" t="s">
        <v>436</v>
      </c>
      <c r="B192" s="6" t="s">
        <v>61</v>
      </c>
      <c r="C192" s="6" t="s">
        <v>112</v>
      </c>
      <c r="D192" s="6" t="s">
        <v>164</v>
      </c>
      <c r="E192" s="6">
        <v>11</v>
      </c>
      <c r="F192" s="7">
        <v>28</v>
      </c>
      <c r="G192" s="7">
        <v>0</v>
      </c>
      <c r="H192" s="7">
        <v>10.2</v>
      </c>
      <c r="I192" s="7">
        <v>0.6</v>
      </c>
      <c r="J192" s="7">
        <v>1.2</v>
      </c>
      <c r="K192" s="7">
        <v>2</v>
      </c>
      <c r="L192" s="6">
        <v>42</v>
      </c>
      <c r="M192" s="6">
        <v>20</v>
      </c>
      <c r="N192" s="7">
        <v>9.9</v>
      </c>
      <c r="O192" s="6" t="s">
        <v>201</v>
      </c>
      <c r="P192" s="6" t="s">
        <v>303</v>
      </c>
      <c r="Q192" s="6" t="s">
        <v>437</v>
      </c>
      <c r="R192" s="6" t="s">
        <v>438</v>
      </c>
      <c r="S192" s="6"/>
    </row>
    <row r="193" ht="15" customHeight="1" spans="1:19" x14ac:dyDescent="0.25">
      <c r="A193" s="6" t="s">
        <v>439</v>
      </c>
      <c r="B193" s="6" t="s">
        <v>61</v>
      </c>
      <c r="C193" s="6" t="s">
        <v>112</v>
      </c>
      <c r="D193" s="6" t="s">
        <v>164</v>
      </c>
      <c r="E193" s="6">
        <v>12</v>
      </c>
      <c r="F193" s="7">
        <v>28.6</v>
      </c>
      <c r="G193" s="7">
        <v>0</v>
      </c>
      <c r="H193" s="7">
        <v>10.2</v>
      </c>
      <c r="I193" s="7">
        <v>0.6</v>
      </c>
      <c r="J193" s="7">
        <v>1.2</v>
      </c>
      <c r="K193" s="7">
        <v>2</v>
      </c>
      <c r="L193" s="6">
        <v>42</v>
      </c>
      <c r="M193" s="6">
        <v>20</v>
      </c>
      <c r="N193" s="7">
        <v>9.9</v>
      </c>
      <c r="O193" s="6" t="s">
        <v>201</v>
      </c>
      <c r="P193" s="6" t="s">
        <v>303</v>
      </c>
      <c r="Q193" s="6" t="s">
        <v>437</v>
      </c>
      <c r="R193" s="6" t="s">
        <v>438</v>
      </c>
      <c r="S193" s="6"/>
    </row>
    <row r="194" ht="15" customHeight="1" spans="1:19" x14ac:dyDescent="0.25">
      <c r="A194" s="6" t="s">
        <v>440</v>
      </c>
      <c r="B194" s="6" t="s">
        <v>61</v>
      </c>
      <c r="C194" s="6" t="s">
        <v>112</v>
      </c>
      <c r="D194" s="6" t="s">
        <v>164</v>
      </c>
      <c r="E194" s="6">
        <v>13</v>
      </c>
      <c r="F194" s="7">
        <v>29.2</v>
      </c>
      <c r="G194" s="7">
        <v>0</v>
      </c>
      <c r="H194" s="7">
        <v>10.2</v>
      </c>
      <c r="I194" s="7">
        <v>0.6</v>
      </c>
      <c r="J194" s="7">
        <v>1.2</v>
      </c>
      <c r="K194" s="7">
        <v>2</v>
      </c>
      <c r="L194" s="6">
        <v>42</v>
      </c>
      <c r="M194" s="6">
        <v>20</v>
      </c>
      <c r="N194" s="7">
        <v>9.9</v>
      </c>
      <c r="O194" s="6" t="s">
        <v>201</v>
      </c>
      <c r="P194" s="6" t="s">
        <v>303</v>
      </c>
      <c r="Q194" s="6" t="s">
        <v>437</v>
      </c>
      <c r="R194" s="6" t="s">
        <v>438</v>
      </c>
      <c r="S194" s="6"/>
    </row>
    <row r="195" ht="15" customHeight="1" spans="1:19" x14ac:dyDescent="0.25">
      <c r="A195" s="6" t="s">
        <v>441</v>
      </c>
      <c r="B195" s="6" t="s">
        <v>61</v>
      </c>
      <c r="C195" s="6" t="s">
        <v>112</v>
      </c>
      <c r="D195" s="6" t="s">
        <v>164</v>
      </c>
      <c r="E195" s="6">
        <v>14</v>
      </c>
      <c r="F195" s="7">
        <v>29.8</v>
      </c>
      <c r="G195" s="7">
        <v>0</v>
      </c>
      <c r="H195" s="7">
        <v>10.2</v>
      </c>
      <c r="I195" s="7">
        <v>0.6</v>
      </c>
      <c r="J195" s="7">
        <v>1.2</v>
      </c>
      <c r="K195" s="7">
        <v>2</v>
      </c>
      <c r="L195" s="6">
        <v>42</v>
      </c>
      <c r="M195" s="6">
        <v>20</v>
      </c>
      <c r="N195" s="7">
        <v>9.3</v>
      </c>
      <c r="O195" s="6" t="s">
        <v>201</v>
      </c>
      <c r="P195" s="6" t="s">
        <v>303</v>
      </c>
      <c r="Q195" s="6" t="s">
        <v>437</v>
      </c>
      <c r="R195" s="6" t="s">
        <v>438</v>
      </c>
      <c r="S195" s="6"/>
    </row>
    <row r="196" ht="15" customHeight="1" spans="1:19" x14ac:dyDescent="0.25">
      <c r="A196" s="6" t="s">
        <v>442</v>
      </c>
      <c r="B196" s="6" t="s">
        <v>61</v>
      </c>
      <c r="C196" s="6" t="s">
        <v>112</v>
      </c>
      <c r="D196" s="6" t="s">
        <v>164</v>
      </c>
      <c r="E196" s="6">
        <v>15</v>
      </c>
      <c r="F196" s="7">
        <v>30.4</v>
      </c>
      <c r="G196" s="7">
        <v>0</v>
      </c>
      <c r="H196" s="7">
        <v>10.2</v>
      </c>
      <c r="I196" s="7">
        <v>0.6</v>
      </c>
      <c r="J196" s="7">
        <v>1.2</v>
      </c>
      <c r="K196" s="7">
        <v>2</v>
      </c>
      <c r="L196" s="6">
        <v>42</v>
      </c>
      <c r="M196" s="6">
        <v>20</v>
      </c>
      <c r="N196" s="7">
        <v>0</v>
      </c>
      <c r="O196" s="6" t="s">
        <v>225</v>
      </c>
      <c r="P196" s="6"/>
      <c r="Q196" s="6" t="s">
        <v>437</v>
      </c>
      <c r="R196" s="6" t="s">
        <v>438</v>
      </c>
      <c r="S196" s="6"/>
    </row>
    <row r="197" ht="15" customHeight="1" spans="1:19" x14ac:dyDescent="0.25">
      <c r="A197" s="6" t="s">
        <v>443</v>
      </c>
      <c r="B197" s="6" t="s">
        <v>61</v>
      </c>
      <c r="C197" s="6" t="s">
        <v>112</v>
      </c>
      <c r="D197" s="6" t="s">
        <v>164</v>
      </c>
      <c r="E197" s="6">
        <v>16</v>
      </c>
      <c r="F197" s="7">
        <v>31</v>
      </c>
      <c r="G197" s="7">
        <v>0</v>
      </c>
      <c r="H197" s="7">
        <v>10.2</v>
      </c>
      <c r="I197" s="7">
        <v>0.6</v>
      </c>
      <c r="J197" s="7">
        <v>1.2</v>
      </c>
      <c r="K197" s="7">
        <v>2</v>
      </c>
      <c r="L197" s="6">
        <v>42</v>
      </c>
      <c r="M197" s="6">
        <v>20</v>
      </c>
      <c r="N197" s="7">
        <v>0</v>
      </c>
      <c r="O197" s="6" t="s">
        <v>225</v>
      </c>
      <c r="P197" s="6"/>
      <c r="Q197" s="6" t="s">
        <v>437</v>
      </c>
      <c r="R197" s="6" t="s">
        <v>438</v>
      </c>
      <c r="S197" s="6"/>
    </row>
    <row r="198" ht="15" customHeight="1" spans="1:19" x14ac:dyDescent="0.25">
      <c r="A198" s="6" t="s">
        <v>444</v>
      </c>
      <c r="B198" s="6" t="s">
        <v>61</v>
      </c>
      <c r="C198" s="6" t="s">
        <v>112</v>
      </c>
      <c r="D198" s="6" t="s">
        <v>164</v>
      </c>
      <c r="E198" s="6">
        <v>17</v>
      </c>
      <c r="F198" s="7">
        <v>31.6</v>
      </c>
      <c r="G198" s="7">
        <v>0</v>
      </c>
      <c r="H198" s="7">
        <v>10.2</v>
      </c>
      <c r="I198" s="7">
        <v>0.6</v>
      </c>
      <c r="J198" s="7">
        <v>1.2</v>
      </c>
      <c r="K198" s="7">
        <v>2</v>
      </c>
      <c r="L198" s="6">
        <v>42</v>
      </c>
      <c r="M198" s="6">
        <v>20</v>
      </c>
      <c r="N198" s="7">
        <v>0</v>
      </c>
      <c r="O198" s="6" t="s">
        <v>225</v>
      </c>
      <c r="P198" s="6"/>
      <c r="Q198" s="6" t="s">
        <v>437</v>
      </c>
      <c r="R198" s="6" t="s">
        <v>438</v>
      </c>
      <c r="S198" s="6"/>
    </row>
    <row r="199" ht="15" customHeight="1" spans="1:19" x14ac:dyDescent="0.25">
      <c r="A199" s="6" t="s">
        <v>445</v>
      </c>
      <c r="B199" s="6" t="s">
        <v>61</v>
      </c>
      <c r="C199" s="6" t="s">
        <v>112</v>
      </c>
      <c r="D199" s="6" t="s">
        <v>164</v>
      </c>
      <c r="E199" s="6">
        <v>18</v>
      </c>
      <c r="F199" s="7">
        <v>32.2</v>
      </c>
      <c r="G199" s="7">
        <v>0</v>
      </c>
      <c r="H199" s="7">
        <v>10.2</v>
      </c>
      <c r="I199" s="7">
        <v>0.6</v>
      </c>
      <c r="J199" s="7">
        <v>1.2</v>
      </c>
      <c r="K199" s="7">
        <v>2</v>
      </c>
      <c r="L199" s="6">
        <v>42</v>
      </c>
      <c r="M199" s="6">
        <v>20</v>
      </c>
      <c r="N199" s="7">
        <v>0</v>
      </c>
      <c r="O199" s="6" t="s">
        <v>225</v>
      </c>
      <c r="P199" s="6"/>
      <c r="Q199" s="6" t="s">
        <v>437</v>
      </c>
      <c r="R199" s="6" t="s">
        <v>438</v>
      </c>
      <c r="S199" s="6"/>
    </row>
    <row r="200" ht="15" customHeight="1" spans="1:19" x14ac:dyDescent="0.25">
      <c r="A200" s="6" t="s">
        <v>446</v>
      </c>
      <c r="B200" s="6" t="s">
        <v>61</v>
      </c>
      <c r="C200" s="6" t="s">
        <v>112</v>
      </c>
      <c r="D200" s="6" t="s">
        <v>164</v>
      </c>
      <c r="E200" s="6">
        <v>19</v>
      </c>
      <c r="F200" s="7">
        <v>32.8</v>
      </c>
      <c r="G200" s="7">
        <v>0</v>
      </c>
      <c r="H200" s="7">
        <v>10.2</v>
      </c>
      <c r="I200" s="7">
        <v>0.6</v>
      </c>
      <c r="J200" s="7">
        <v>1.2</v>
      </c>
      <c r="K200" s="7">
        <v>2</v>
      </c>
      <c r="L200" s="6">
        <v>42</v>
      </c>
      <c r="M200" s="6">
        <v>20</v>
      </c>
      <c r="N200" s="7">
        <v>0</v>
      </c>
      <c r="O200" s="6" t="s">
        <v>225</v>
      </c>
      <c r="P200" s="6"/>
      <c r="Q200" s="6" t="s">
        <v>437</v>
      </c>
      <c r="R200" s="6" t="s">
        <v>438</v>
      </c>
      <c r="S200" s="6"/>
    </row>
    <row r="201" ht="15" customHeight="1" spans="1:19" x14ac:dyDescent="0.25">
      <c r="A201" s="6" t="s">
        <v>447</v>
      </c>
      <c r="B201" s="6" t="s">
        <v>61</v>
      </c>
      <c r="C201" s="6" t="s">
        <v>112</v>
      </c>
      <c r="D201" s="6" t="s">
        <v>164</v>
      </c>
      <c r="E201" s="6">
        <v>20</v>
      </c>
      <c r="F201" s="7">
        <v>33.4</v>
      </c>
      <c r="G201" s="7">
        <v>0</v>
      </c>
      <c r="H201" s="7">
        <v>10.2</v>
      </c>
      <c r="I201" s="7">
        <v>0.6</v>
      </c>
      <c r="J201" s="7">
        <v>1.2</v>
      </c>
      <c r="K201" s="7">
        <v>2</v>
      </c>
      <c r="L201" s="6">
        <v>42</v>
      </c>
      <c r="M201" s="6">
        <v>20</v>
      </c>
      <c r="N201" s="7">
        <v>0</v>
      </c>
      <c r="O201" s="6" t="s">
        <v>225</v>
      </c>
      <c r="P201" s="6"/>
      <c r="Q201" s="6" t="s">
        <v>437</v>
      </c>
      <c r="R201" s="6" t="s">
        <v>438</v>
      </c>
      <c r="S201" s="6"/>
    </row>
    <row r="202" ht="15" customHeight="1" spans="1:19" x14ac:dyDescent="0.25">
      <c r="A202" s="6" t="s">
        <v>448</v>
      </c>
      <c r="B202" s="6" t="s">
        <v>61</v>
      </c>
      <c r="C202" s="6" t="s">
        <v>112</v>
      </c>
      <c r="D202" s="6" t="s">
        <v>165</v>
      </c>
      <c r="E202" s="6">
        <v>1</v>
      </c>
      <c r="F202" s="7">
        <v>22</v>
      </c>
      <c r="G202" s="7">
        <v>0</v>
      </c>
      <c r="H202" s="7">
        <v>12.6</v>
      </c>
      <c r="I202" s="7">
        <v>0.6</v>
      </c>
      <c r="J202" s="7">
        <v>1.2</v>
      </c>
      <c r="K202" s="7">
        <v>2</v>
      </c>
      <c r="L202" s="6">
        <v>42</v>
      </c>
      <c r="M202" s="6">
        <v>20</v>
      </c>
      <c r="N202" s="7">
        <v>45</v>
      </c>
      <c r="O202" s="6" t="s">
        <v>201</v>
      </c>
      <c r="P202" s="6" t="s">
        <v>449</v>
      </c>
      <c r="Q202" s="6" t="s">
        <v>450</v>
      </c>
      <c r="R202" s="6" t="s">
        <v>451</v>
      </c>
      <c r="S202" s="6"/>
    </row>
    <row r="203" ht="15" customHeight="1" spans="1:19" x14ac:dyDescent="0.25">
      <c r="A203" s="6" t="s">
        <v>452</v>
      </c>
      <c r="B203" s="6" t="s">
        <v>61</v>
      </c>
      <c r="C203" s="6" t="s">
        <v>112</v>
      </c>
      <c r="D203" s="6" t="s">
        <v>165</v>
      </c>
      <c r="E203" s="6">
        <v>2</v>
      </c>
      <c r="F203" s="7">
        <v>22.6</v>
      </c>
      <c r="G203" s="7">
        <v>0</v>
      </c>
      <c r="H203" s="7">
        <v>12.6</v>
      </c>
      <c r="I203" s="7">
        <v>0.6</v>
      </c>
      <c r="J203" s="7">
        <v>1.2</v>
      </c>
      <c r="K203" s="7">
        <v>2</v>
      </c>
      <c r="L203" s="6">
        <v>42</v>
      </c>
      <c r="M203" s="6">
        <v>20</v>
      </c>
      <c r="N203" s="7">
        <v>45</v>
      </c>
      <c r="O203" s="6" t="s">
        <v>201</v>
      </c>
      <c r="P203" s="6" t="s">
        <v>449</v>
      </c>
      <c r="Q203" s="6" t="s">
        <v>450</v>
      </c>
      <c r="R203" s="6" t="s">
        <v>451</v>
      </c>
      <c r="S203" s="6"/>
    </row>
    <row r="204" ht="15" customHeight="1" spans="1:19" x14ac:dyDescent="0.25">
      <c r="A204" s="6" t="s">
        <v>453</v>
      </c>
      <c r="B204" s="6" t="s">
        <v>61</v>
      </c>
      <c r="C204" s="6" t="s">
        <v>112</v>
      </c>
      <c r="D204" s="6" t="s">
        <v>165</v>
      </c>
      <c r="E204" s="6">
        <v>3</v>
      </c>
      <c r="F204" s="7">
        <v>23.2</v>
      </c>
      <c r="G204" s="7">
        <v>0</v>
      </c>
      <c r="H204" s="7">
        <v>12.6</v>
      </c>
      <c r="I204" s="7">
        <v>0.6</v>
      </c>
      <c r="J204" s="7">
        <v>1.2</v>
      </c>
      <c r="K204" s="7">
        <v>2</v>
      </c>
      <c r="L204" s="6">
        <v>42</v>
      </c>
      <c r="M204" s="6">
        <v>20</v>
      </c>
      <c r="N204" s="7">
        <v>45</v>
      </c>
      <c r="O204" s="6" t="s">
        <v>201</v>
      </c>
      <c r="P204" s="6" t="s">
        <v>449</v>
      </c>
      <c r="Q204" s="6" t="s">
        <v>450</v>
      </c>
      <c r="R204" s="6" t="s">
        <v>451</v>
      </c>
      <c r="S204" s="6"/>
    </row>
    <row r="205" ht="15" customHeight="1" spans="1:19" x14ac:dyDescent="0.25">
      <c r="A205" s="6" t="s">
        <v>454</v>
      </c>
      <c r="B205" s="6" t="s">
        <v>61</v>
      </c>
      <c r="C205" s="6" t="s">
        <v>112</v>
      </c>
      <c r="D205" s="6" t="s">
        <v>165</v>
      </c>
      <c r="E205" s="6">
        <v>4</v>
      </c>
      <c r="F205" s="7">
        <v>23.8</v>
      </c>
      <c r="G205" s="7">
        <v>0</v>
      </c>
      <c r="H205" s="7">
        <v>12.6</v>
      </c>
      <c r="I205" s="7">
        <v>0.6</v>
      </c>
      <c r="J205" s="7">
        <v>1.2</v>
      </c>
      <c r="K205" s="7">
        <v>2</v>
      </c>
      <c r="L205" s="6">
        <v>42</v>
      </c>
      <c r="M205" s="6">
        <v>20</v>
      </c>
      <c r="N205" s="7">
        <v>45</v>
      </c>
      <c r="O205" s="6" t="s">
        <v>201</v>
      </c>
      <c r="P205" s="6" t="s">
        <v>449</v>
      </c>
      <c r="Q205" s="6" t="s">
        <v>450</v>
      </c>
      <c r="R205" s="6" t="s">
        <v>451</v>
      </c>
      <c r="S205" s="6"/>
    </row>
    <row r="206" ht="15" customHeight="1" spans="1:19" x14ac:dyDescent="0.25">
      <c r="A206" s="6" t="s">
        <v>455</v>
      </c>
      <c r="B206" s="6" t="s">
        <v>61</v>
      </c>
      <c r="C206" s="6" t="s">
        <v>112</v>
      </c>
      <c r="D206" s="6" t="s">
        <v>165</v>
      </c>
      <c r="E206" s="6">
        <v>5</v>
      </c>
      <c r="F206" s="7">
        <v>24.4</v>
      </c>
      <c r="G206" s="7">
        <v>0</v>
      </c>
      <c r="H206" s="7">
        <v>12.6</v>
      </c>
      <c r="I206" s="7">
        <v>0.6</v>
      </c>
      <c r="J206" s="7">
        <v>1.2</v>
      </c>
      <c r="K206" s="7">
        <v>2</v>
      </c>
      <c r="L206" s="6">
        <v>42</v>
      </c>
      <c r="M206" s="6">
        <v>20</v>
      </c>
      <c r="N206" s="7">
        <v>0</v>
      </c>
      <c r="O206" s="6" t="s">
        <v>225</v>
      </c>
      <c r="P206" s="6"/>
      <c r="Q206" s="6" t="s">
        <v>450</v>
      </c>
      <c r="R206" s="6" t="s">
        <v>451</v>
      </c>
      <c r="S206" s="6"/>
    </row>
    <row r="207" ht="15" customHeight="1" spans="1:19" x14ac:dyDescent="0.25">
      <c r="A207" s="6" t="s">
        <v>456</v>
      </c>
      <c r="B207" s="6" t="s">
        <v>61</v>
      </c>
      <c r="C207" s="6" t="s">
        <v>112</v>
      </c>
      <c r="D207" s="6" t="s">
        <v>165</v>
      </c>
      <c r="E207" s="6">
        <v>6</v>
      </c>
      <c r="F207" s="7">
        <v>25</v>
      </c>
      <c r="G207" s="7">
        <v>0</v>
      </c>
      <c r="H207" s="7">
        <v>12.6</v>
      </c>
      <c r="I207" s="7">
        <v>0.6</v>
      </c>
      <c r="J207" s="7">
        <v>1.2</v>
      </c>
      <c r="K207" s="7">
        <v>2</v>
      </c>
      <c r="L207" s="6">
        <v>42</v>
      </c>
      <c r="M207" s="6">
        <v>20</v>
      </c>
      <c r="N207" s="7">
        <v>0</v>
      </c>
      <c r="O207" s="6" t="s">
        <v>225</v>
      </c>
      <c r="P207" s="6"/>
      <c r="Q207" s="6" t="s">
        <v>450</v>
      </c>
      <c r="R207" s="6" t="s">
        <v>451</v>
      </c>
      <c r="S207" s="6"/>
    </row>
    <row r="208" ht="15" customHeight="1" spans="1:19" x14ac:dyDescent="0.25">
      <c r="A208" s="6" t="s">
        <v>457</v>
      </c>
      <c r="B208" s="6" t="s">
        <v>61</v>
      </c>
      <c r="C208" s="6" t="s">
        <v>112</v>
      </c>
      <c r="D208" s="6" t="s">
        <v>165</v>
      </c>
      <c r="E208" s="6">
        <v>7</v>
      </c>
      <c r="F208" s="7">
        <v>25.6</v>
      </c>
      <c r="G208" s="7">
        <v>0</v>
      </c>
      <c r="H208" s="7">
        <v>12.6</v>
      </c>
      <c r="I208" s="7">
        <v>0.6</v>
      </c>
      <c r="J208" s="7">
        <v>1.2</v>
      </c>
      <c r="K208" s="7">
        <v>2</v>
      </c>
      <c r="L208" s="6">
        <v>42</v>
      </c>
      <c r="M208" s="6">
        <v>20</v>
      </c>
      <c r="N208" s="7">
        <v>0</v>
      </c>
      <c r="O208" s="6" t="s">
        <v>225</v>
      </c>
      <c r="P208" s="6"/>
      <c r="Q208" s="6" t="s">
        <v>450</v>
      </c>
      <c r="R208" s="6" t="s">
        <v>451</v>
      </c>
      <c r="S208" s="6"/>
    </row>
    <row r="209" ht="15" customHeight="1" spans="1:19" x14ac:dyDescent="0.25">
      <c r="A209" s="6" t="s">
        <v>458</v>
      </c>
      <c r="B209" s="6" t="s">
        <v>61</v>
      </c>
      <c r="C209" s="6" t="s">
        <v>112</v>
      </c>
      <c r="D209" s="6" t="s">
        <v>165</v>
      </c>
      <c r="E209" s="6">
        <v>8</v>
      </c>
      <c r="F209" s="7">
        <v>26.2</v>
      </c>
      <c r="G209" s="7">
        <v>0</v>
      </c>
      <c r="H209" s="7">
        <v>12.6</v>
      </c>
      <c r="I209" s="7">
        <v>0.6</v>
      </c>
      <c r="J209" s="7">
        <v>1.2</v>
      </c>
      <c r="K209" s="7">
        <v>2</v>
      </c>
      <c r="L209" s="6">
        <v>42</v>
      </c>
      <c r="M209" s="6">
        <v>20</v>
      </c>
      <c r="N209" s="7">
        <v>0</v>
      </c>
      <c r="O209" s="6" t="s">
        <v>225</v>
      </c>
      <c r="P209" s="6"/>
      <c r="Q209" s="6" t="s">
        <v>450</v>
      </c>
      <c r="R209" s="6" t="s">
        <v>451</v>
      </c>
      <c r="S209" s="6"/>
    </row>
    <row r="210" ht="15" customHeight="1" spans="1:19" x14ac:dyDescent="0.25">
      <c r="A210" s="6" t="s">
        <v>459</v>
      </c>
      <c r="B210" s="6" t="s">
        <v>61</v>
      </c>
      <c r="C210" s="6" t="s">
        <v>112</v>
      </c>
      <c r="D210" s="6" t="s">
        <v>165</v>
      </c>
      <c r="E210" s="6">
        <v>9</v>
      </c>
      <c r="F210" s="7">
        <v>26.8</v>
      </c>
      <c r="G210" s="7">
        <v>0</v>
      </c>
      <c r="H210" s="7">
        <v>12.6</v>
      </c>
      <c r="I210" s="7">
        <v>0.6</v>
      </c>
      <c r="J210" s="7">
        <v>1.2</v>
      </c>
      <c r="K210" s="7">
        <v>2</v>
      </c>
      <c r="L210" s="6">
        <v>42</v>
      </c>
      <c r="M210" s="6">
        <v>20</v>
      </c>
      <c r="N210" s="7">
        <v>0</v>
      </c>
      <c r="O210" s="6" t="s">
        <v>225</v>
      </c>
      <c r="P210" s="6"/>
      <c r="Q210" s="6" t="s">
        <v>450</v>
      </c>
      <c r="R210" s="6" t="s">
        <v>451</v>
      </c>
      <c r="S210" s="6"/>
    </row>
    <row r="211" ht="15" customHeight="1" spans="1:19" x14ac:dyDescent="0.25">
      <c r="A211" s="6" t="s">
        <v>460</v>
      </c>
      <c r="B211" s="6" t="s">
        <v>61</v>
      </c>
      <c r="C211" s="6" t="s">
        <v>112</v>
      </c>
      <c r="D211" s="6" t="s">
        <v>165</v>
      </c>
      <c r="E211" s="6">
        <v>10</v>
      </c>
      <c r="F211" s="7">
        <v>27.4</v>
      </c>
      <c r="G211" s="7">
        <v>0</v>
      </c>
      <c r="H211" s="7">
        <v>12.6</v>
      </c>
      <c r="I211" s="7">
        <v>0.6</v>
      </c>
      <c r="J211" s="7">
        <v>1.2</v>
      </c>
      <c r="K211" s="7">
        <v>2</v>
      </c>
      <c r="L211" s="6">
        <v>42</v>
      </c>
      <c r="M211" s="6">
        <v>20</v>
      </c>
      <c r="N211" s="7">
        <v>0</v>
      </c>
      <c r="O211" s="6" t="s">
        <v>225</v>
      </c>
      <c r="P211" s="6"/>
      <c r="Q211" s="6" t="s">
        <v>450</v>
      </c>
      <c r="R211" s="6" t="s">
        <v>451</v>
      </c>
      <c r="S211" s="6"/>
    </row>
    <row r="212" ht="15" customHeight="1" spans="1:19" x14ac:dyDescent="0.25">
      <c r="A212" s="6" t="s">
        <v>461</v>
      </c>
      <c r="B212" s="6" t="s">
        <v>61</v>
      </c>
      <c r="C212" s="6" t="s">
        <v>112</v>
      </c>
      <c r="D212" s="6" t="s">
        <v>165</v>
      </c>
      <c r="E212" s="6">
        <v>11</v>
      </c>
      <c r="F212" s="7">
        <v>28</v>
      </c>
      <c r="G212" s="7">
        <v>0</v>
      </c>
      <c r="H212" s="7">
        <v>12.6</v>
      </c>
      <c r="I212" s="7">
        <v>0.6</v>
      </c>
      <c r="J212" s="7">
        <v>1.2</v>
      </c>
      <c r="K212" s="7">
        <v>2</v>
      </c>
      <c r="L212" s="6">
        <v>42</v>
      </c>
      <c r="M212" s="6">
        <v>20</v>
      </c>
      <c r="N212" s="7">
        <v>0</v>
      </c>
      <c r="O212" s="6" t="s">
        <v>225</v>
      </c>
      <c r="P212" s="6"/>
      <c r="Q212" s="6" t="s">
        <v>462</v>
      </c>
      <c r="R212" s="6" t="s">
        <v>463</v>
      </c>
      <c r="S212" s="6"/>
    </row>
    <row r="213" ht="15" customHeight="1" spans="1:19" x14ac:dyDescent="0.25">
      <c r="A213" s="6" t="s">
        <v>464</v>
      </c>
      <c r="B213" s="6" t="s">
        <v>61</v>
      </c>
      <c r="C213" s="6" t="s">
        <v>112</v>
      </c>
      <c r="D213" s="6" t="s">
        <v>165</v>
      </c>
      <c r="E213" s="6">
        <v>12</v>
      </c>
      <c r="F213" s="7">
        <v>28.6</v>
      </c>
      <c r="G213" s="7">
        <v>0</v>
      </c>
      <c r="H213" s="7">
        <v>12.6</v>
      </c>
      <c r="I213" s="7">
        <v>0.6</v>
      </c>
      <c r="J213" s="7">
        <v>1.2</v>
      </c>
      <c r="K213" s="7">
        <v>2</v>
      </c>
      <c r="L213" s="6">
        <v>42</v>
      </c>
      <c r="M213" s="6">
        <v>20</v>
      </c>
      <c r="N213" s="7">
        <v>0</v>
      </c>
      <c r="O213" s="6" t="s">
        <v>225</v>
      </c>
      <c r="P213" s="6"/>
      <c r="Q213" s="6" t="s">
        <v>462</v>
      </c>
      <c r="R213" s="6" t="s">
        <v>463</v>
      </c>
      <c r="S213" s="6"/>
    </row>
    <row r="214" ht="15" customHeight="1" spans="1:19" x14ac:dyDescent="0.25">
      <c r="A214" s="6" t="s">
        <v>465</v>
      </c>
      <c r="B214" s="6" t="s">
        <v>61</v>
      </c>
      <c r="C214" s="6" t="s">
        <v>112</v>
      </c>
      <c r="D214" s="6" t="s">
        <v>165</v>
      </c>
      <c r="E214" s="6">
        <v>13</v>
      </c>
      <c r="F214" s="7">
        <v>29.2</v>
      </c>
      <c r="G214" s="7">
        <v>0</v>
      </c>
      <c r="H214" s="7">
        <v>12.6</v>
      </c>
      <c r="I214" s="7">
        <v>0.6</v>
      </c>
      <c r="J214" s="7">
        <v>1.2</v>
      </c>
      <c r="K214" s="7">
        <v>2</v>
      </c>
      <c r="L214" s="6">
        <v>42</v>
      </c>
      <c r="M214" s="6">
        <v>20</v>
      </c>
      <c r="N214" s="7">
        <v>0</v>
      </c>
      <c r="O214" s="6" t="s">
        <v>225</v>
      </c>
      <c r="P214" s="6"/>
      <c r="Q214" s="6" t="s">
        <v>462</v>
      </c>
      <c r="R214" s="6" t="s">
        <v>463</v>
      </c>
      <c r="S214" s="6"/>
    </row>
    <row r="215" ht="15" customHeight="1" spans="1:19" x14ac:dyDescent="0.25">
      <c r="A215" s="6" t="s">
        <v>466</v>
      </c>
      <c r="B215" s="6" t="s">
        <v>61</v>
      </c>
      <c r="C215" s="6" t="s">
        <v>112</v>
      </c>
      <c r="D215" s="6" t="s">
        <v>165</v>
      </c>
      <c r="E215" s="6">
        <v>14</v>
      </c>
      <c r="F215" s="7">
        <v>29.8</v>
      </c>
      <c r="G215" s="7">
        <v>0</v>
      </c>
      <c r="H215" s="7">
        <v>12.6</v>
      </c>
      <c r="I215" s="7">
        <v>0.6</v>
      </c>
      <c r="J215" s="7">
        <v>1.2</v>
      </c>
      <c r="K215" s="7">
        <v>2</v>
      </c>
      <c r="L215" s="6">
        <v>42</v>
      </c>
      <c r="M215" s="6">
        <v>20</v>
      </c>
      <c r="N215" s="7">
        <v>0</v>
      </c>
      <c r="O215" s="6" t="s">
        <v>225</v>
      </c>
      <c r="P215" s="6"/>
      <c r="Q215" s="6" t="s">
        <v>462</v>
      </c>
      <c r="R215" s="6" t="s">
        <v>463</v>
      </c>
      <c r="S215" s="6"/>
    </row>
    <row r="216" ht="15" customHeight="1" spans="1:19" x14ac:dyDescent="0.25">
      <c r="A216" s="6" t="s">
        <v>467</v>
      </c>
      <c r="B216" s="6" t="s">
        <v>61</v>
      </c>
      <c r="C216" s="6" t="s">
        <v>112</v>
      </c>
      <c r="D216" s="6" t="s">
        <v>165</v>
      </c>
      <c r="E216" s="6">
        <v>15</v>
      </c>
      <c r="F216" s="7">
        <v>30.4</v>
      </c>
      <c r="G216" s="7">
        <v>0</v>
      </c>
      <c r="H216" s="7">
        <v>12.6</v>
      </c>
      <c r="I216" s="7">
        <v>0.6</v>
      </c>
      <c r="J216" s="7">
        <v>1.2</v>
      </c>
      <c r="K216" s="7">
        <v>2</v>
      </c>
      <c r="L216" s="6">
        <v>42</v>
      </c>
      <c r="M216" s="6">
        <v>20</v>
      </c>
      <c r="N216" s="7">
        <v>0</v>
      </c>
      <c r="O216" s="6" t="s">
        <v>225</v>
      </c>
      <c r="P216" s="6"/>
      <c r="Q216" s="6" t="s">
        <v>462</v>
      </c>
      <c r="R216" s="6" t="s">
        <v>463</v>
      </c>
      <c r="S216" s="6"/>
    </row>
    <row r="217" ht="15" customHeight="1" spans="1:19" x14ac:dyDescent="0.25">
      <c r="A217" s="6" t="s">
        <v>468</v>
      </c>
      <c r="B217" s="6" t="s">
        <v>61</v>
      </c>
      <c r="C217" s="6" t="s">
        <v>112</v>
      </c>
      <c r="D217" s="6" t="s">
        <v>165</v>
      </c>
      <c r="E217" s="6">
        <v>16</v>
      </c>
      <c r="F217" s="7">
        <v>31</v>
      </c>
      <c r="G217" s="7">
        <v>0</v>
      </c>
      <c r="H217" s="7">
        <v>12.6</v>
      </c>
      <c r="I217" s="7">
        <v>0.6</v>
      </c>
      <c r="J217" s="7">
        <v>1.2</v>
      </c>
      <c r="K217" s="7">
        <v>2</v>
      </c>
      <c r="L217" s="6">
        <v>42</v>
      </c>
      <c r="M217" s="6">
        <v>20</v>
      </c>
      <c r="N217" s="7">
        <v>0</v>
      </c>
      <c r="O217" s="6" t="s">
        <v>225</v>
      </c>
      <c r="P217" s="6"/>
      <c r="Q217" s="6" t="s">
        <v>462</v>
      </c>
      <c r="R217" s="6" t="s">
        <v>463</v>
      </c>
      <c r="S217" s="6"/>
    </row>
    <row r="218" ht="15" customHeight="1" spans="1:19" x14ac:dyDescent="0.25">
      <c r="A218" s="6" t="s">
        <v>469</v>
      </c>
      <c r="B218" s="6" t="s">
        <v>61</v>
      </c>
      <c r="C218" s="6" t="s">
        <v>112</v>
      </c>
      <c r="D218" s="6" t="s">
        <v>165</v>
      </c>
      <c r="E218" s="6">
        <v>17</v>
      </c>
      <c r="F218" s="7">
        <v>31.6</v>
      </c>
      <c r="G218" s="7">
        <v>0</v>
      </c>
      <c r="H218" s="7">
        <v>12.6</v>
      </c>
      <c r="I218" s="7">
        <v>0.6</v>
      </c>
      <c r="J218" s="7">
        <v>1.2</v>
      </c>
      <c r="K218" s="7">
        <v>2</v>
      </c>
      <c r="L218" s="6">
        <v>42</v>
      </c>
      <c r="M218" s="6">
        <v>20</v>
      </c>
      <c r="N218" s="7">
        <v>0</v>
      </c>
      <c r="O218" s="6" t="s">
        <v>225</v>
      </c>
      <c r="P218" s="6"/>
      <c r="Q218" s="6" t="s">
        <v>462</v>
      </c>
      <c r="R218" s="6" t="s">
        <v>463</v>
      </c>
      <c r="S218" s="6"/>
    </row>
    <row r="219" ht="15" customHeight="1" spans="1:19" x14ac:dyDescent="0.25">
      <c r="A219" s="6" t="s">
        <v>470</v>
      </c>
      <c r="B219" s="6" t="s">
        <v>61</v>
      </c>
      <c r="C219" s="6" t="s">
        <v>112</v>
      </c>
      <c r="D219" s="6" t="s">
        <v>165</v>
      </c>
      <c r="E219" s="6">
        <v>18</v>
      </c>
      <c r="F219" s="7">
        <v>32.2</v>
      </c>
      <c r="G219" s="7">
        <v>0</v>
      </c>
      <c r="H219" s="7">
        <v>12.6</v>
      </c>
      <c r="I219" s="7">
        <v>0.6</v>
      </c>
      <c r="J219" s="7">
        <v>1.2</v>
      </c>
      <c r="K219" s="7">
        <v>2</v>
      </c>
      <c r="L219" s="6">
        <v>42</v>
      </c>
      <c r="M219" s="6">
        <v>20</v>
      </c>
      <c r="N219" s="7">
        <v>0</v>
      </c>
      <c r="O219" s="6" t="s">
        <v>225</v>
      </c>
      <c r="P219" s="6"/>
      <c r="Q219" s="6" t="s">
        <v>462</v>
      </c>
      <c r="R219" s="6" t="s">
        <v>463</v>
      </c>
      <c r="S219" s="6"/>
    </row>
    <row r="220" ht="15" customHeight="1" spans="1:19" x14ac:dyDescent="0.25">
      <c r="A220" s="6" t="s">
        <v>471</v>
      </c>
      <c r="B220" s="6" t="s">
        <v>61</v>
      </c>
      <c r="C220" s="6" t="s">
        <v>112</v>
      </c>
      <c r="D220" s="6" t="s">
        <v>165</v>
      </c>
      <c r="E220" s="6">
        <v>19</v>
      </c>
      <c r="F220" s="7">
        <v>32.8</v>
      </c>
      <c r="G220" s="7">
        <v>0</v>
      </c>
      <c r="H220" s="7">
        <v>12.6</v>
      </c>
      <c r="I220" s="7">
        <v>0.6</v>
      </c>
      <c r="J220" s="7">
        <v>1.2</v>
      </c>
      <c r="K220" s="7">
        <v>2</v>
      </c>
      <c r="L220" s="6">
        <v>42</v>
      </c>
      <c r="M220" s="6">
        <v>20</v>
      </c>
      <c r="N220" s="7">
        <v>0</v>
      </c>
      <c r="O220" s="6" t="s">
        <v>225</v>
      </c>
      <c r="P220" s="6"/>
      <c r="Q220" s="6" t="s">
        <v>462</v>
      </c>
      <c r="R220" s="6" t="s">
        <v>463</v>
      </c>
      <c r="S220" s="6"/>
    </row>
    <row r="221" ht="15" customHeight="1" spans="1:19" x14ac:dyDescent="0.25">
      <c r="A221" s="6" t="s">
        <v>472</v>
      </c>
      <c r="B221" s="6" t="s">
        <v>61</v>
      </c>
      <c r="C221" s="6" t="s">
        <v>112</v>
      </c>
      <c r="D221" s="6" t="s">
        <v>165</v>
      </c>
      <c r="E221" s="6">
        <v>20</v>
      </c>
      <c r="F221" s="7">
        <v>33.4</v>
      </c>
      <c r="G221" s="7">
        <v>0</v>
      </c>
      <c r="H221" s="7">
        <v>12.6</v>
      </c>
      <c r="I221" s="7">
        <v>0.6</v>
      </c>
      <c r="J221" s="7">
        <v>1.2</v>
      </c>
      <c r="K221" s="7">
        <v>2</v>
      </c>
      <c r="L221" s="6">
        <v>42</v>
      </c>
      <c r="M221" s="6">
        <v>20</v>
      </c>
      <c r="N221" s="7">
        <v>0</v>
      </c>
      <c r="O221" s="6" t="s">
        <v>225</v>
      </c>
      <c r="P221" s="6"/>
      <c r="Q221" s="6" t="s">
        <v>462</v>
      </c>
      <c r="R221" s="6" t="s">
        <v>463</v>
      </c>
      <c r="S221" s="6"/>
    </row>
    <row r="222" ht="15" customHeight="1" spans="1:19" x14ac:dyDescent="0.25">
      <c r="A222" s="6" t="s">
        <v>473</v>
      </c>
      <c r="B222" s="6" t="s">
        <v>61</v>
      </c>
      <c r="C222" s="6" t="s">
        <v>112</v>
      </c>
      <c r="D222" s="6" t="s">
        <v>168</v>
      </c>
      <c r="E222" s="6">
        <v>1</v>
      </c>
      <c r="F222" s="7">
        <v>22</v>
      </c>
      <c r="G222" s="7">
        <v>0</v>
      </c>
      <c r="H222" s="7">
        <v>15</v>
      </c>
      <c r="I222" s="7">
        <v>0.6</v>
      </c>
      <c r="J222" s="7">
        <v>1.2</v>
      </c>
      <c r="K222" s="7">
        <v>2</v>
      </c>
      <c r="L222" s="6">
        <v>42</v>
      </c>
      <c r="M222" s="6">
        <v>20</v>
      </c>
      <c r="N222" s="7">
        <v>9.5</v>
      </c>
      <c r="O222" s="6" t="s">
        <v>201</v>
      </c>
      <c r="P222" s="6" t="s">
        <v>328</v>
      </c>
      <c r="Q222" s="6" t="s">
        <v>474</v>
      </c>
      <c r="R222" s="6" t="s">
        <v>475</v>
      </c>
      <c r="S222" s="6"/>
    </row>
    <row r="223" ht="15" customHeight="1" spans="1:19" x14ac:dyDescent="0.25">
      <c r="A223" s="6" t="s">
        <v>476</v>
      </c>
      <c r="B223" s="6" t="s">
        <v>61</v>
      </c>
      <c r="C223" s="6" t="s">
        <v>112</v>
      </c>
      <c r="D223" s="6" t="s">
        <v>168</v>
      </c>
      <c r="E223" s="6">
        <v>2</v>
      </c>
      <c r="F223" s="7">
        <v>22.6</v>
      </c>
      <c r="G223" s="7">
        <v>0</v>
      </c>
      <c r="H223" s="7">
        <v>15</v>
      </c>
      <c r="I223" s="7">
        <v>0.6</v>
      </c>
      <c r="J223" s="7">
        <v>1.2</v>
      </c>
      <c r="K223" s="7">
        <v>2</v>
      </c>
      <c r="L223" s="6">
        <v>42</v>
      </c>
      <c r="M223" s="6">
        <v>20</v>
      </c>
      <c r="N223" s="7">
        <v>9.5</v>
      </c>
      <c r="O223" s="6" t="s">
        <v>201</v>
      </c>
      <c r="P223" s="6" t="s">
        <v>328</v>
      </c>
      <c r="Q223" s="6" t="s">
        <v>474</v>
      </c>
      <c r="R223" s="6" t="s">
        <v>475</v>
      </c>
      <c r="S223" s="6"/>
    </row>
    <row r="224" ht="15" customHeight="1" spans="1:19" x14ac:dyDescent="0.25">
      <c r="A224" s="6" t="s">
        <v>477</v>
      </c>
      <c r="B224" s="6" t="s">
        <v>61</v>
      </c>
      <c r="C224" s="6" t="s">
        <v>112</v>
      </c>
      <c r="D224" s="6" t="s">
        <v>168</v>
      </c>
      <c r="E224" s="6">
        <v>3</v>
      </c>
      <c r="F224" s="7">
        <v>23.2</v>
      </c>
      <c r="G224" s="7">
        <v>0</v>
      </c>
      <c r="H224" s="7">
        <v>15</v>
      </c>
      <c r="I224" s="7">
        <v>0.6</v>
      </c>
      <c r="J224" s="7">
        <v>1.2</v>
      </c>
      <c r="K224" s="7">
        <v>2</v>
      </c>
      <c r="L224" s="6">
        <v>42</v>
      </c>
      <c r="M224" s="6">
        <v>20</v>
      </c>
      <c r="N224" s="7">
        <v>9.5</v>
      </c>
      <c r="O224" s="6" t="s">
        <v>201</v>
      </c>
      <c r="P224" s="6" t="s">
        <v>328</v>
      </c>
      <c r="Q224" s="6" t="s">
        <v>474</v>
      </c>
      <c r="R224" s="6" t="s">
        <v>475</v>
      </c>
      <c r="S224" s="6"/>
    </row>
    <row r="225" ht="15" customHeight="1" spans="1:19" x14ac:dyDescent="0.25">
      <c r="A225" s="6" t="s">
        <v>478</v>
      </c>
      <c r="B225" s="6" t="s">
        <v>61</v>
      </c>
      <c r="C225" s="6" t="s">
        <v>112</v>
      </c>
      <c r="D225" s="6" t="s">
        <v>168</v>
      </c>
      <c r="E225" s="6">
        <v>4</v>
      </c>
      <c r="F225" s="7">
        <v>23.8</v>
      </c>
      <c r="G225" s="7">
        <v>0</v>
      </c>
      <c r="H225" s="7">
        <v>15</v>
      </c>
      <c r="I225" s="7">
        <v>0.6</v>
      </c>
      <c r="J225" s="7">
        <v>1.2</v>
      </c>
      <c r="K225" s="7">
        <v>2</v>
      </c>
      <c r="L225" s="6">
        <v>42</v>
      </c>
      <c r="M225" s="6">
        <v>20</v>
      </c>
      <c r="N225" s="7">
        <v>9.5</v>
      </c>
      <c r="O225" s="6" t="s">
        <v>201</v>
      </c>
      <c r="P225" s="6" t="s">
        <v>328</v>
      </c>
      <c r="Q225" s="6" t="s">
        <v>474</v>
      </c>
      <c r="R225" s="6" t="s">
        <v>475</v>
      </c>
      <c r="S225" s="6"/>
    </row>
    <row r="226" ht="15" customHeight="1" spans="1:19" x14ac:dyDescent="0.25">
      <c r="A226" s="6" t="s">
        <v>479</v>
      </c>
      <c r="B226" s="6" t="s">
        <v>61</v>
      </c>
      <c r="C226" s="6" t="s">
        <v>112</v>
      </c>
      <c r="D226" s="6" t="s">
        <v>168</v>
      </c>
      <c r="E226" s="6">
        <v>5</v>
      </c>
      <c r="F226" s="7">
        <v>24.4</v>
      </c>
      <c r="G226" s="7">
        <v>0</v>
      </c>
      <c r="H226" s="7">
        <v>15</v>
      </c>
      <c r="I226" s="7">
        <v>0.6</v>
      </c>
      <c r="J226" s="7">
        <v>1.2</v>
      </c>
      <c r="K226" s="7">
        <v>2</v>
      </c>
      <c r="L226" s="6">
        <v>42</v>
      </c>
      <c r="M226" s="6">
        <v>20</v>
      </c>
      <c r="N226" s="7">
        <v>9.5</v>
      </c>
      <c r="O226" s="6" t="s">
        <v>201</v>
      </c>
      <c r="P226" s="6" t="s">
        <v>328</v>
      </c>
      <c r="Q226" s="6" t="s">
        <v>474</v>
      </c>
      <c r="R226" s="6" t="s">
        <v>475</v>
      </c>
      <c r="S226" s="6"/>
    </row>
    <row r="227" ht="15" customHeight="1" spans="1:19" x14ac:dyDescent="0.25">
      <c r="A227" s="6" t="s">
        <v>480</v>
      </c>
      <c r="B227" s="6" t="s">
        <v>61</v>
      </c>
      <c r="C227" s="6" t="s">
        <v>112</v>
      </c>
      <c r="D227" s="6" t="s">
        <v>168</v>
      </c>
      <c r="E227" s="6">
        <v>6</v>
      </c>
      <c r="F227" s="7">
        <v>25</v>
      </c>
      <c r="G227" s="7">
        <v>0</v>
      </c>
      <c r="H227" s="7">
        <v>15</v>
      </c>
      <c r="I227" s="7">
        <v>0.6</v>
      </c>
      <c r="J227" s="7">
        <v>1.2</v>
      </c>
      <c r="K227" s="7">
        <v>2</v>
      </c>
      <c r="L227" s="6">
        <v>42</v>
      </c>
      <c r="M227" s="6">
        <v>20</v>
      </c>
      <c r="N227" s="7">
        <v>9.5</v>
      </c>
      <c r="O227" s="6" t="s">
        <v>201</v>
      </c>
      <c r="P227" s="6" t="s">
        <v>328</v>
      </c>
      <c r="Q227" s="6" t="s">
        <v>474</v>
      </c>
      <c r="R227" s="6" t="s">
        <v>475</v>
      </c>
      <c r="S227" s="6"/>
    </row>
    <row r="228" ht="15" customHeight="1" spans="1:19" x14ac:dyDescent="0.25">
      <c r="A228" s="6" t="s">
        <v>481</v>
      </c>
      <c r="B228" s="6" t="s">
        <v>61</v>
      </c>
      <c r="C228" s="6" t="s">
        <v>112</v>
      </c>
      <c r="D228" s="6" t="s">
        <v>168</v>
      </c>
      <c r="E228" s="6">
        <v>7</v>
      </c>
      <c r="F228" s="7">
        <v>25.6</v>
      </c>
      <c r="G228" s="7">
        <v>0</v>
      </c>
      <c r="H228" s="7">
        <v>15</v>
      </c>
      <c r="I228" s="7">
        <v>0.6</v>
      </c>
      <c r="J228" s="7">
        <v>1.2</v>
      </c>
      <c r="K228" s="7">
        <v>2</v>
      </c>
      <c r="L228" s="6">
        <v>42</v>
      </c>
      <c r="M228" s="6">
        <v>20</v>
      </c>
      <c r="N228" s="7">
        <v>9.5</v>
      </c>
      <c r="O228" s="6" t="s">
        <v>201</v>
      </c>
      <c r="P228" s="6" t="s">
        <v>328</v>
      </c>
      <c r="Q228" s="6" t="s">
        <v>474</v>
      </c>
      <c r="R228" s="6" t="s">
        <v>475</v>
      </c>
      <c r="S228" s="6"/>
    </row>
    <row r="229" ht="15" customHeight="1" spans="1:19" x14ac:dyDescent="0.25">
      <c r="A229" s="6" t="s">
        <v>482</v>
      </c>
      <c r="B229" s="6" t="s">
        <v>61</v>
      </c>
      <c r="C229" s="6" t="s">
        <v>112</v>
      </c>
      <c r="D229" s="6" t="s">
        <v>168</v>
      </c>
      <c r="E229" s="6">
        <v>8</v>
      </c>
      <c r="F229" s="7">
        <v>26.2</v>
      </c>
      <c r="G229" s="7">
        <v>0</v>
      </c>
      <c r="H229" s="7">
        <v>15</v>
      </c>
      <c r="I229" s="7">
        <v>0.6</v>
      </c>
      <c r="J229" s="7">
        <v>1.2</v>
      </c>
      <c r="K229" s="7">
        <v>2</v>
      </c>
      <c r="L229" s="6">
        <v>42</v>
      </c>
      <c r="M229" s="6">
        <v>20</v>
      </c>
      <c r="N229" s="7">
        <v>9.5</v>
      </c>
      <c r="O229" s="6" t="s">
        <v>201</v>
      </c>
      <c r="P229" s="6" t="s">
        <v>328</v>
      </c>
      <c r="Q229" s="6" t="s">
        <v>474</v>
      </c>
      <c r="R229" s="6" t="s">
        <v>475</v>
      </c>
      <c r="S229" s="6"/>
    </row>
    <row r="230" ht="15" customHeight="1" spans="1:19" x14ac:dyDescent="0.25">
      <c r="A230" s="6" t="s">
        <v>483</v>
      </c>
      <c r="B230" s="6" t="s">
        <v>61</v>
      </c>
      <c r="C230" s="6" t="s">
        <v>112</v>
      </c>
      <c r="D230" s="6" t="s">
        <v>168</v>
      </c>
      <c r="E230" s="6">
        <v>9</v>
      </c>
      <c r="F230" s="7">
        <v>26.8</v>
      </c>
      <c r="G230" s="7">
        <v>0</v>
      </c>
      <c r="H230" s="7">
        <v>15</v>
      </c>
      <c r="I230" s="7">
        <v>0.6</v>
      </c>
      <c r="J230" s="7">
        <v>1.2</v>
      </c>
      <c r="K230" s="7">
        <v>2</v>
      </c>
      <c r="L230" s="6">
        <v>42</v>
      </c>
      <c r="M230" s="6">
        <v>20</v>
      </c>
      <c r="N230" s="7">
        <v>9.5</v>
      </c>
      <c r="O230" s="6" t="s">
        <v>201</v>
      </c>
      <c r="P230" s="6" t="s">
        <v>328</v>
      </c>
      <c r="Q230" s="6" t="s">
        <v>474</v>
      </c>
      <c r="R230" s="6" t="s">
        <v>475</v>
      </c>
      <c r="S230" s="6"/>
    </row>
    <row r="231" ht="15" customHeight="1" spans="1:19" x14ac:dyDescent="0.25">
      <c r="A231" s="6" t="s">
        <v>484</v>
      </c>
      <c r="B231" s="6" t="s">
        <v>61</v>
      </c>
      <c r="C231" s="6" t="s">
        <v>112</v>
      </c>
      <c r="D231" s="6" t="s">
        <v>168</v>
      </c>
      <c r="E231" s="6">
        <v>10</v>
      </c>
      <c r="F231" s="7">
        <v>27.4</v>
      </c>
      <c r="G231" s="7">
        <v>0</v>
      </c>
      <c r="H231" s="7">
        <v>15</v>
      </c>
      <c r="I231" s="7">
        <v>0.6</v>
      </c>
      <c r="J231" s="7">
        <v>1.2</v>
      </c>
      <c r="K231" s="7">
        <v>2</v>
      </c>
      <c r="L231" s="6">
        <v>42</v>
      </c>
      <c r="M231" s="6">
        <v>20</v>
      </c>
      <c r="N231" s="7">
        <v>9.5</v>
      </c>
      <c r="O231" s="6" t="s">
        <v>201</v>
      </c>
      <c r="P231" s="6" t="s">
        <v>328</v>
      </c>
      <c r="Q231" s="6" t="s">
        <v>474</v>
      </c>
      <c r="R231" s="6" t="s">
        <v>475</v>
      </c>
      <c r="S231" s="6"/>
    </row>
    <row r="232" ht="15" customHeight="1" spans="1:19" x14ac:dyDescent="0.25">
      <c r="A232" s="6" t="s">
        <v>485</v>
      </c>
      <c r="B232" s="6" t="s">
        <v>61</v>
      </c>
      <c r="C232" s="6" t="s">
        <v>112</v>
      </c>
      <c r="D232" s="6" t="s">
        <v>168</v>
      </c>
      <c r="E232" s="6">
        <v>11</v>
      </c>
      <c r="F232" s="7">
        <v>28</v>
      </c>
      <c r="G232" s="7">
        <v>0</v>
      </c>
      <c r="H232" s="7">
        <v>15</v>
      </c>
      <c r="I232" s="7">
        <v>0.6</v>
      </c>
      <c r="J232" s="7">
        <v>1.2</v>
      </c>
      <c r="K232" s="7">
        <v>2</v>
      </c>
      <c r="L232" s="6">
        <v>42</v>
      </c>
      <c r="M232" s="6">
        <v>20</v>
      </c>
      <c r="N232" s="7">
        <v>9.5</v>
      </c>
      <c r="O232" s="6" t="s">
        <v>201</v>
      </c>
      <c r="P232" s="6" t="s">
        <v>328</v>
      </c>
      <c r="Q232" s="6" t="s">
        <v>486</v>
      </c>
      <c r="R232" s="6" t="s">
        <v>487</v>
      </c>
      <c r="S232" s="6"/>
    </row>
    <row r="233" ht="15" customHeight="1" spans="1:19" x14ac:dyDescent="0.25">
      <c r="A233" s="6" t="s">
        <v>488</v>
      </c>
      <c r="B233" s="6" t="s">
        <v>61</v>
      </c>
      <c r="C233" s="6" t="s">
        <v>112</v>
      </c>
      <c r="D233" s="6" t="s">
        <v>168</v>
      </c>
      <c r="E233" s="6">
        <v>12</v>
      </c>
      <c r="F233" s="7">
        <v>28.6</v>
      </c>
      <c r="G233" s="7">
        <v>0</v>
      </c>
      <c r="H233" s="7">
        <v>15</v>
      </c>
      <c r="I233" s="7">
        <v>0.6</v>
      </c>
      <c r="J233" s="7">
        <v>1.2</v>
      </c>
      <c r="K233" s="7">
        <v>2</v>
      </c>
      <c r="L233" s="6">
        <v>42</v>
      </c>
      <c r="M233" s="6">
        <v>20</v>
      </c>
      <c r="N233" s="7">
        <v>9.5</v>
      </c>
      <c r="O233" s="6" t="s">
        <v>201</v>
      </c>
      <c r="P233" s="6" t="s">
        <v>328</v>
      </c>
      <c r="Q233" s="6" t="s">
        <v>486</v>
      </c>
      <c r="R233" s="6" t="s">
        <v>487</v>
      </c>
      <c r="S233" s="6"/>
    </row>
    <row r="234" ht="15" customHeight="1" spans="1:19" x14ac:dyDescent="0.25">
      <c r="A234" s="6" t="s">
        <v>489</v>
      </c>
      <c r="B234" s="6" t="s">
        <v>61</v>
      </c>
      <c r="C234" s="6" t="s">
        <v>112</v>
      </c>
      <c r="D234" s="6" t="s">
        <v>168</v>
      </c>
      <c r="E234" s="6">
        <v>13</v>
      </c>
      <c r="F234" s="7">
        <v>29.2</v>
      </c>
      <c r="G234" s="7">
        <v>0</v>
      </c>
      <c r="H234" s="7">
        <v>15</v>
      </c>
      <c r="I234" s="7">
        <v>0.6</v>
      </c>
      <c r="J234" s="7">
        <v>1.2</v>
      </c>
      <c r="K234" s="7">
        <v>2</v>
      </c>
      <c r="L234" s="6">
        <v>42</v>
      </c>
      <c r="M234" s="6">
        <v>20</v>
      </c>
      <c r="N234" s="7">
        <v>9.5</v>
      </c>
      <c r="O234" s="6" t="s">
        <v>201</v>
      </c>
      <c r="P234" s="6" t="s">
        <v>328</v>
      </c>
      <c r="Q234" s="6" t="s">
        <v>486</v>
      </c>
      <c r="R234" s="6" t="s">
        <v>487</v>
      </c>
      <c r="S234" s="6"/>
    </row>
    <row r="235" ht="15" customHeight="1" spans="1:19" x14ac:dyDescent="0.25">
      <c r="A235" s="6" t="s">
        <v>490</v>
      </c>
      <c r="B235" s="6" t="s">
        <v>61</v>
      </c>
      <c r="C235" s="6" t="s">
        <v>112</v>
      </c>
      <c r="D235" s="6" t="s">
        <v>168</v>
      </c>
      <c r="E235" s="6">
        <v>14</v>
      </c>
      <c r="F235" s="7">
        <v>29.8</v>
      </c>
      <c r="G235" s="7">
        <v>0</v>
      </c>
      <c r="H235" s="7">
        <v>15</v>
      </c>
      <c r="I235" s="7">
        <v>0.6</v>
      </c>
      <c r="J235" s="7">
        <v>1.2</v>
      </c>
      <c r="K235" s="7">
        <v>2</v>
      </c>
      <c r="L235" s="6">
        <v>42</v>
      </c>
      <c r="M235" s="6">
        <v>20</v>
      </c>
      <c r="N235" s="7">
        <v>9.5</v>
      </c>
      <c r="O235" s="6" t="s">
        <v>201</v>
      </c>
      <c r="P235" s="6" t="s">
        <v>328</v>
      </c>
      <c r="Q235" s="6" t="s">
        <v>486</v>
      </c>
      <c r="R235" s="6" t="s">
        <v>487</v>
      </c>
      <c r="S235" s="6"/>
    </row>
    <row r="236" ht="15" customHeight="1" spans="1:19" x14ac:dyDescent="0.25">
      <c r="A236" s="6" t="s">
        <v>491</v>
      </c>
      <c r="B236" s="6" t="s">
        <v>61</v>
      </c>
      <c r="C236" s="6" t="s">
        <v>112</v>
      </c>
      <c r="D236" s="6" t="s">
        <v>168</v>
      </c>
      <c r="E236" s="6">
        <v>15</v>
      </c>
      <c r="F236" s="7">
        <v>30.4</v>
      </c>
      <c r="G236" s="7">
        <v>0</v>
      </c>
      <c r="H236" s="7">
        <v>15</v>
      </c>
      <c r="I236" s="7">
        <v>0.6</v>
      </c>
      <c r="J236" s="7">
        <v>1.2</v>
      </c>
      <c r="K236" s="7">
        <v>2</v>
      </c>
      <c r="L236" s="6">
        <v>42</v>
      </c>
      <c r="M236" s="6">
        <v>20</v>
      </c>
      <c r="N236" s="7">
        <v>9.5</v>
      </c>
      <c r="O236" s="6" t="s">
        <v>201</v>
      </c>
      <c r="P236" s="6" t="s">
        <v>328</v>
      </c>
      <c r="Q236" s="6" t="s">
        <v>486</v>
      </c>
      <c r="R236" s="6" t="s">
        <v>487</v>
      </c>
      <c r="S236" s="6"/>
    </row>
    <row r="237" ht="15" customHeight="1" spans="1:19" x14ac:dyDescent="0.25">
      <c r="A237" s="6" t="s">
        <v>492</v>
      </c>
      <c r="B237" s="6" t="s">
        <v>61</v>
      </c>
      <c r="C237" s="6" t="s">
        <v>112</v>
      </c>
      <c r="D237" s="6" t="s">
        <v>168</v>
      </c>
      <c r="E237" s="6">
        <v>16</v>
      </c>
      <c r="F237" s="7">
        <v>31</v>
      </c>
      <c r="G237" s="7">
        <v>0</v>
      </c>
      <c r="H237" s="7">
        <v>15</v>
      </c>
      <c r="I237" s="7">
        <v>0.6</v>
      </c>
      <c r="J237" s="7">
        <v>1.2</v>
      </c>
      <c r="K237" s="7">
        <v>2</v>
      </c>
      <c r="L237" s="6">
        <v>42</v>
      </c>
      <c r="M237" s="6">
        <v>20</v>
      </c>
      <c r="N237" s="7">
        <v>9.5</v>
      </c>
      <c r="O237" s="6" t="s">
        <v>201</v>
      </c>
      <c r="P237" s="6" t="s">
        <v>328</v>
      </c>
      <c r="Q237" s="6" t="s">
        <v>486</v>
      </c>
      <c r="R237" s="6" t="s">
        <v>487</v>
      </c>
      <c r="S237" s="6"/>
    </row>
    <row r="238" ht="15" customHeight="1" spans="1:19" x14ac:dyDescent="0.25">
      <c r="A238" s="6" t="s">
        <v>493</v>
      </c>
      <c r="B238" s="6" t="s">
        <v>61</v>
      </c>
      <c r="C238" s="6" t="s">
        <v>112</v>
      </c>
      <c r="D238" s="6" t="s">
        <v>168</v>
      </c>
      <c r="E238" s="6">
        <v>17</v>
      </c>
      <c r="F238" s="7">
        <v>31.6</v>
      </c>
      <c r="G238" s="7">
        <v>0</v>
      </c>
      <c r="H238" s="7">
        <v>15</v>
      </c>
      <c r="I238" s="7">
        <v>0.6</v>
      </c>
      <c r="J238" s="7">
        <v>1.2</v>
      </c>
      <c r="K238" s="7">
        <v>2</v>
      </c>
      <c r="L238" s="6">
        <v>42</v>
      </c>
      <c r="M238" s="6">
        <v>20</v>
      </c>
      <c r="N238" s="7">
        <v>9</v>
      </c>
      <c r="O238" s="6" t="s">
        <v>201</v>
      </c>
      <c r="P238" s="6" t="s">
        <v>328</v>
      </c>
      <c r="Q238" s="6" t="s">
        <v>486</v>
      </c>
      <c r="R238" s="6" t="s">
        <v>487</v>
      </c>
      <c r="S238" s="6"/>
    </row>
    <row r="239" ht="15" customHeight="1" spans="1:19" x14ac:dyDescent="0.25">
      <c r="A239" s="6" t="s">
        <v>494</v>
      </c>
      <c r="B239" s="6" t="s">
        <v>61</v>
      </c>
      <c r="C239" s="6" t="s">
        <v>112</v>
      </c>
      <c r="D239" s="6" t="s">
        <v>168</v>
      </c>
      <c r="E239" s="6">
        <v>18</v>
      </c>
      <c r="F239" s="7">
        <v>32.2</v>
      </c>
      <c r="G239" s="7">
        <v>0</v>
      </c>
      <c r="H239" s="7">
        <v>15</v>
      </c>
      <c r="I239" s="7">
        <v>0.6</v>
      </c>
      <c r="J239" s="7">
        <v>1.2</v>
      </c>
      <c r="K239" s="7">
        <v>2</v>
      </c>
      <c r="L239" s="6">
        <v>42</v>
      </c>
      <c r="M239" s="6">
        <v>20</v>
      </c>
      <c r="N239" s="7">
        <v>0</v>
      </c>
      <c r="O239" s="6" t="s">
        <v>225</v>
      </c>
      <c r="P239" s="6"/>
      <c r="Q239" s="6" t="s">
        <v>486</v>
      </c>
      <c r="R239" s="6" t="s">
        <v>487</v>
      </c>
      <c r="S239" s="6"/>
    </row>
    <row r="240" ht="15" customHeight="1" spans="1:19" x14ac:dyDescent="0.25">
      <c r="A240" s="6" t="s">
        <v>495</v>
      </c>
      <c r="B240" s="6" t="s">
        <v>61</v>
      </c>
      <c r="C240" s="6" t="s">
        <v>112</v>
      </c>
      <c r="D240" s="6" t="s">
        <v>168</v>
      </c>
      <c r="E240" s="6">
        <v>19</v>
      </c>
      <c r="F240" s="7">
        <v>32.8</v>
      </c>
      <c r="G240" s="7">
        <v>0</v>
      </c>
      <c r="H240" s="7">
        <v>15</v>
      </c>
      <c r="I240" s="7">
        <v>0.6</v>
      </c>
      <c r="J240" s="7">
        <v>1.2</v>
      </c>
      <c r="K240" s="7">
        <v>2</v>
      </c>
      <c r="L240" s="6">
        <v>42</v>
      </c>
      <c r="M240" s="6">
        <v>20</v>
      </c>
      <c r="N240" s="7">
        <v>0</v>
      </c>
      <c r="O240" s="6" t="s">
        <v>225</v>
      </c>
      <c r="P240" s="6"/>
      <c r="Q240" s="6" t="s">
        <v>486</v>
      </c>
      <c r="R240" s="6" t="s">
        <v>487</v>
      </c>
      <c r="S240" s="6"/>
    </row>
    <row r="241" ht="15" customHeight="1" spans="1:19" x14ac:dyDescent="0.25">
      <c r="A241" s="6" t="s">
        <v>496</v>
      </c>
      <c r="B241" s="6" t="s">
        <v>61</v>
      </c>
      <c r="C241" s="6" t="s">
        <v>112</v>
      </c>
      <c r="D241" s="6" t="s">
        <v>168</v>
      </c>
      <c r="E241" s="6">
        <v>20</v>
      </c>
      <c r="F241" s="7">
        <v>33.4</v>
      </c>
      <c r="G241" s="7">
        <v>0</v>
      </c>
      <c r="H241" s="7">
        <v>15</v>
      </c>
      <c r="I241" s="7">
        <v>0.6</v>
      </c>
      <c r="J241" s="7">
        <v>1.2</v>
      </c>
      <c r="K241" s="7">
        <v>2</v>
      </c>
      <c r="L241" s="6">
        <v>42</v>
      </c>
      <c r="M241" s="6">
        <v>20</v>
      </c>
      <c r="N241" s="7">
        <v>0</v>
      </c>
      <c r="O241" s="6" t="s">
        <v>225</v>
      </c>
      <c r="P241" s="6"/>
      <c r="Q241" s="6" t="s">
        <v>486</v>
      </c>
      <c r="R241" s="6" t="s">
        <v>487</v>
      </c>
      <c r="S241" s="6"/>
    </row>
    <row r="242" ht="15" customHeight="1" spans="1:19" x14ac:dyDescent="0.25">
      <c r="A242" s="6" t="s">
        <v>497</v>
      </c>
      <c r="B242" s="6" t="s">
        <v>61</v>
      </c>
      <c r="C242" s="6" t="s">
        <v>114</v>
      </c>
      <c r="D242" s="6" t="s">
        <v>169</v>
      </c>
      <c r="E242" s="6">
        <v>1</v>
      </c>
      <c r="F242" s="7">
        <v>2</v>
      </c>
      <c r="G242" s="7">
        <v>0</v>
      </c>
      <c r="H242" s="7">
        <v>25</v>
      </c>
      <c r="I242" s="7">
        <v>0.6</v>
      </c>
      <c r="J242" s="7">
        <v>1.2</v>
      </c>
      <c r="K242" s="7">
        <v>2</v>
      </c>
      <c r="L242" s="6">
        <v>42</v>
      </c>
      <c r="M242" s="6">
        <v>20</v>
      </c>
      <c r="N242" s="7">
        <v>8.5</v>
      </c>
      <c r="O242" s="6" t="s">
        <v>201</v>
      </c>
      <c r="P242" s="6" t="s">
        <v>202</v>
      </c>
      <c r="Q242" s="6" t="s">
        <v>498</v>
      </c>
      <c r="R242" s="6" t="s">
        <v>499</v>
      </c>
      <c r="S242" s="6"/>
    </row>
    <row r="243" ht="15" customHeight="1" spans="1:19" x14ac:dyDescent="0.25">
      <c r="A243" s="6" t="s">
        <v>500</v>
      </c>
      <c r="B243" s="6" t="s">
        <v>61</v>
      </c>
      <c r="C243" s="6" t="s">
        <v>114</v>
      </c>
      <c r="D243" s="6" t="s">
        <v>169</v>
      </c>
      <c r="E243" s="6">
        <v>2</v>
      </c>
      <c r="F243" s="7">
        <v>2.6</v>
      </c>
      <c r="G243" s="7">
        <v>0</v>
      </c>
      <c r="H243" s="7">
        <v>25</v>
      </c>
      <c r="I243" s="7">
        <v>0.6</v>
      </c>
      <c r="J243" s="7">
        <v>1.2</v>
      </c>
      <c r="K243" s="7">
        <v>2</v>
      </c>
      <c r="L243" s="6">
        <v>42</v>
      </c>
      <c r="M243" s="6">
        <v>20</v>
      </c>
      <c r="N243" s="7">
        <v>8.5</v>
      </c>
      <c r="O243" s="6" t="s">
        <v>201</v>
      </c>
      <c r="P243" s="6" t="s">
        <v>202</v>
      </c>
      <c r="Q243" s="6" t="s">
        <v>498</v>
      </c>
      <c r="R243" s="6" t="s">
        <v>499</v>
      </c>
      <c r="S243" s="6"/>
    </row>
    <row r="244" ht="15" customHeight="1" spans="1:19" x14ac:dyDescent="0.25">
      <c r="A244" s="6" t="s">
        <v>501</v>
      </c>
      <c r="B244" s="6" t="s">
        <v>61</v>
      </c>
      <c r="C244" s="6" t="s">
        <v>114</v>
      </c>
      <c r="D244" s="6" t="s">
        <v>169</v>
      </c>
      <c r="E244" s="6">
        <v>3</v>
      </c>
      <c r="F244" s="7">
        <v>3.2</v>
      </c>
      <c r="G244" s="7">
        <v>0</v>
      </c>
      <c r="H244" s="7">
        <v>25</v>
      </c>
      <c r="I244" s="7">
        <v>0.6</v>
      </c>
      <c r="J244" s="7">
        <v>1.2</v>
      </c>
      <c r="K244" s="7">
        <v>2</v>
      </c>
      <c r="L244" s="6">
        <v>42</v>
      </c>
      <c r="M244" s="6">
        <v>20</v>
      </c>
      <c r="N244" s="7">
        <v>8.5</v>
      </c>
      <c r="O244" s="6" t="s">
        <v>201</v>
      </c>
      <c r="P244" s="6" t="s">
        <v>202</v>
      </c>
      <c r="Q244" s="6" t="s">
        <v>498</v>
      </c>
      <c r="R244" s="6" t="s">
        <v>499</v>
      </c>
      <c r="S244" s="6"/>
    </row>
    <row r="245" ht="15" customHeight="1" spans="1:19" x14ac:dyDescent="0.25">
      <c r="A245" s="6" t="s">
        <v>502</v>
      </c>
      <c r="B245" s="6" t="s">
        <v>61</v>
      </c>
      <c r="C245" s="6" t="s">
        <v>114</v>
      </c>
      <c r="D245" s="6" t="s">
        <v>169</v>
      </c>
      <c r="E245" s="6">
        <v>4</v>
      </c>
      <c r="F245" s="7">
        <v>3.8</v>
      </c>
      <c r="G245" s="7">
        <v>0</v>
      </c>
      <c r="H245" s="7">
        <v>25</v>
      </c>
      <c r="I245" s="7">
        <v>0.6</v>
      </c>
      <c r="J245" s="7">
        <v>1.2</v>
      </c>
      <c r="K245" s="7">
        <v>2</v>
      </c>
      <c r="L245" s="6">
        <v>42</v>
      </c>
      <c r="M245" s="6">
        <v>20</v>
      </c>
      <c r="N245" s="7">
        <v>8.5</v>
      </c>
      <c r="O245" s="6" t="s">
        <v>201</v>
      </c>
      <c r="P245" s="6" t="s">
        <v>202</v>
      </c>
      <c r="Q245" s="6" t="s">
        <v>498</v>
      </c>
      <c r="R245" s="6" t="s">
        <v>499</v>
      </c>
      <c r="S245" s="6"/>
    </row>
    <row r="246" ht="15" customHeight="1" spans="1:19" x14ac:dyDescent="0.25">
      <c r="A246" s="6" t="s">
        <v>503</v>
      </c>
      <c r="B246" s="6" t="s">
        <v>61</v>
      </c>
      <c r="C246" s="6" t="s">
        <v>114</v>
      </c>
      <c r="D246" s="6" t="s">
        <v>169</v>
      </c>
      <c r="E246" s="6">
        <v>5</v>
      </c>
      <c r="F246" s="7">
        <v>4.4</v>
      </c>
      <c r="G246" s="7">
        <v>0</v>
      </c>
      <c r="H246" s="7">
        <v>25</v>
      </c>
      <c r="I246" s="7">
        <v>0.6</v>
      </c>
      <c r="J246" s="7">
        <v>1.2</v>
      </c>
      <c r="K246" s="7">
        <v>2</v>
      </c>
      <c r="L246" s="6">
        <v>42</v>
      </c>
      <c r="M246" s="6">
        <v>20</v>
      </c>
      <c r="N246" s="7">
        <v>8.5</v>
      </c>
      <c r="O246" s="6" t="s">
        <v>201</v>
      </c>
      <c r="P246" s="6" t="s">
        <v>202</v>
      </c>
      <c r="Q246" s="6" t="s">
        <v>498</v>
      </c>
      <c r="R246" s="6" t="s">
        <v>499</v>
      </c>
      <c r="S246" s="6"/>
    </row>
    <row r="247" ht="15" customHeight="1" spans="1:19" x14ac:dyDescent="0.25">
      <c r="A247" s="6" t="s">
        <v>504</v>
      </c>
      <c r="B247" s="6" t="s">
        <v>61</v>
      </c>
      <c r="C247" s="6" t="s">
        <v>114</v>
      </c>
      <c r="D247" s="6" t="s">
        <v>169</v>
      </c>
      <c r="E247" s="6">
        <v>6</v>
      </c>
      <c r="F247" s="7">
        <v>5</v>
      </c>
      <c r="G247" s="7">
        <v>0</v>
      </c>
      <c r="H247" s="7">
        <v>25</v>
      </c>
      <c r="I247" s="7">
        <v>0.6</v>
      </c>
      <c r="J247" s="7">
        <v>1.2</v>
      </c>
      <c r="K247" s="7">
        <v>2</v>
      </c>
      <c r="L247" s="6">
        <v>42</v>
      </c>
      <c r="M247" s="6">
        <v>20</v>
      </c>
      <c r="N247" s="7">
        <v>8.5</v>
      </c>
      <c r="O247" s="6" t="s">
        <v>201</v>
      </c>
      <c r="P247" s="6" t="s">
        <v>202</v>
      </c>
      <c r="Q247" s="6" t="s">
        <v>498</v>
      </c>
      <c r="R247" s="6" t="s">
        <v>499</v>
      </c>
      <c r="S247" s="6"/>
    </row>
    <row r="248" ht="15" customHeight="1" spans="1:19" x14ac:dyDescent="0.25">
      <c r="A248" s="6" t="s">
        <v>505</v>
      </c>
      <c r="B248" s="6" t="s">
        <v>61</v>
      </c>
      <c r="C248" s="6" t="s">
        <v>114</v>
      </c>
      <c r="D248" s="6" t="s">
        <v>169</v>
      </c>
      <c r="E248" s="6">
        <v>7</v>
      </c>
      <c r="F248" s="7">
        <v>5.6</v>
      </c>
      <c r="G248" s="7">
        <v>0</v>
      </c>
      <c r="H248" s="7">
        <v>25</v>
      </c>
      <c r="I248" s="7">
        <v>0.6</v>
      </c>
      <c r="J248" s="7">
        <v>1.2</v>
      </c>
      <c r="K248" s="7">
        <v>2</v>
      </c>
      <c r="L248" s="6">
        <v>42</v>
      </c>
      <c r="M248" s="6">
        <v>20</v>
      </c>
      <c r="N248" s="7">
        <v>8.5</v>
      </c>
      <c r="O248" s="6" t="s">
        <v>201</v>
      </c>
      <c r="P248" s="6" t="s">
        <v>202</v>
      </c>
      <c r="Q248" s="6" t="s">
        <v>498</v>
      </c>
      <c r="R248" s="6" t="s">
        <v>499</v>
      </c>
      <c r="S248" s="6"/>
    </row>
    <row r="249" ht="15" customHeight="1" spans="1:19" x14ac:dyDescent="0.25">
      <c r="A249" s="6" t="s">
        <v>506</v>
      </c>
      <c r="B249" s="6" t="s">
        <v>61</v>
      </c>
      <c r="C249" s="6" t="s">
        <v>114</v>
      </c>
      <c r="D249" s="6" t="s">
        <v>169</v>
      </c>
      <c r="E249" s="6">
        <v>8</v>
      </c>
      <c r="F249" s="7">
        <v>6.2</v>
      </c>
      <c r="G249" s="7">
        <v>0</v>
      </c>
      <c r="H249" s="7">
        <v>25</v>
      </c>
      <c r="I249" s="7">
        <v>0.6</v>
      </c>
      <c r="J249" s="7">
        <v>1.2</v>
      </c>
      <c r="K249" s="7">
        <v>2</v>
      </c>
      <c r="L249" s="6">
        <v>42</v>
      </c>
      <c r="M249" s="6">
        <v>20</v>
      </c>
      <c r="N249" s="7">
        <v>8.5</v>
      </c>
      <c r="O249" s="6" t="s">
        <v>201</v>
      </c>
      <c r="P249" s="6" t="s">
        <v>202</v>
      </c>
      <c r="Q249" s="6" t="s">
        <v>498</v>
      </c>
      <c r="R249" s="6" t="s">
        <v>499</v>
      </c>
      <c r="S249" s="6"/>
    </row>
    <row r="250" ht="15" customHeight="1" spans="1:19" x14ac:dyDescent="0.25">
      <c r="A250" s="6" t="s">
        <v>507</v>
      </c>
      <c r="B250" s="6" t="s">
        <v>61</v>
      </c>
      <c r="C250" s="6" t="s">
        <v>114</v>
      </c>
      <c r="D250" s="6" t="s">
        <v>169</v>
      </c>
      <c r="E250" s="6">
        <v>9</v>
      </c>
      <c r="F250" s="7">
        <v>6.8</v>
      </c>
      <c r="G250" s="7">
        <v>0</v>
      </c>
      <c r="H250" s="7">
        <v>25</v>
      </c>
      <c r="I250" s="7">
        <v>0.6</v>
      </c>
      <c r="J250" s="7">
        <v>1.2</v>
      </c>
      <c r="K250" s="7">
        <v>2</v>
      </c>
      <c r="L250" s="6">
        <v>42</v>
      </c>
      <c r="M250" s="6">
        <v>20</v>
      </c>
      <c r="N250" s="7">
        <v>8.5</v>
      </c>
      <c r="O250" s="6" t="s">
        <v>201</v>
      </c>
      <c r="P250" s="6" t="s">
        <v>202</v>
      </c>
      <c r="Q250" s="6" t="s">
        <v>498</v>
      </c>
      <c r="R250" s="6" t="s">
        <v>499</v>
      </c>
      <c r="S250" s="6"/>
    </row>
    <row r="251" ht="15" customHeight="1" spans="1:19" x14ac:dyDescent="0.25">
      <c r="A251" s="6" t="s">
        <v>508</v>
      </c>
      <c r="B251" s="6" t="s">
        <v>61</v>
      </c>
      <c r="C251" s="6" t="s">
        <v>114</v>
      </c>
      <c r="D251" s="6" t="s">
        <v>169</v>
      </c>
      <c r="E251" s="6">
        <v>10</v>
      </c>
      <c r="F251" s="7">
        <v>7.4</v>
      </c>
      <c r="G251" s="7">
        <v>0</v>
      </c>
      <c r="H251" s="7">
        <v>25</v>
      </c>
      <c r="I251" s="7">
        <v>0.6</v>
      </c>
      <c r="J251" s="7">
        <v>1.2</v>
      </c>
      <c r="K251" s="7">
        <v>2</v>
      </c>
      <c r="L251" s="6">
        <v>42</v>
      </c>
      <c r="M251" s="6">
        <v>20</v>
      </c>
      <c r="N251" s="7">
        <v>8.5</v>
      </c>
      <c r="O251" s="6" t="s">
        <v>201</v>
      </c>
      <c r="P251" s="6" t="s">
        <v>202</v>
      </c>
      <c r="Q251" s="6" t="s">
        <v>498</v>
      </c>
      <c r="R251" s="6" t="s">
        <v>499</v>
      </c>
      <c r="S251" s="6"/>
    </row>
    <row r="252" ht="15" customHeight="1" spans="1:19" x14ac:dyDescent="0.25">
      <c r="A252" s="6" t="s">
        <v>509</v>
      </c>
      <c r="B252" s="6" t="s">
        <v>61</v>
      </c>
      <c r="C252" s="6" t="s">
        <v>114</v>
      </c>
      <c r="D252" s="6" t="s">
        <v>169</v>
      </c>
      <c r="E252" s="6">
        <v>11</v>
      </c>
      <c r="F252" s="7">
        <v>8</v>
      </c>
      <c r="G252" s="7">
        <v>0</v>
      </c>
      <c r="H252" s="7">
        <v>25</v>
      </c>
      <c r="I252" s="7">
        <v>0.6</v>
      </c>
      <c r="J252" s="7">
        <v>1.2</v>
      </c>
      <c r="K252" s="7">
        <v>2</v>
      </c>
      <c r="L252" s="6">
        <v>42</v>
      </c>
      <c r="M252" s="6">
        <v>20</v>
      </c>
      <c r="N252" s="7">
        <v>8.5</v>
      </c>
      <c r="O252" s="6" t="s">
        <v>201</v>
      </c>
      <c r="P252" s="6" t="s">
        <v>202</v>
      </c>
      <c r="Q252" s="6" t="s">
        <v>510</v>
      </c>
      <c r="R252" s="6" t="s">
        <v>511</v>
      </c>
      <c r="S252" s="6"/>
    </row>
    <row r="253" ht="15" customHeight="1" spans="1:19" x14ac:dyDescent="0.25">
      <c r="A253" s="6" t="s">
        <v>512</v>
      </c>
      <c r="B253" s="6" t="s">
        <v>61</v>
      </c>
      <c r="C253" s="6" t="s">
        <v>114</v>
      </c>
      <c r="D253" s="6" t="s">
        <v>169</v>
      </c>
      <c r="E253" s="6">
        <v>12</v>
      </c>
      <c r="F253" s="7">
        <v>8.6</v>
      </c>
      <c r="G253" s="7">
        <v>0</v>
      </c>
      <c r="H253" s="7">
        <v>25</v>
      </c>
      <c r="I253" s="7">
        <v>0.6</v>
      </c>
      <c r="J253" s="7">
        <v>1.2</v>
      </c>
      <c r="K253" s="7">
        <v>2</v>
      </c>
      <c r="L253" s="6">
        <v>42</v>
      </c>
      <c r="M253" s="6">
        <v>20</v>
      </c>
      <c r="N253" s="7">
        <v>8.5</v>
      </c>
      <c r="O253" s="6" t="s">
        <v>201</v>
      </c>
      <c r="P253" s="6" t="s">
        <v>202</v>
      </c>
      <c r="Q253" s="6" t="s">
        <v>510</v>
      </c>
      <c r="R253" s="6" t="s">
        <v>511</v>
      </c>
      <c r="S253" s="6"/>
    </row>
    <row r="254" ht="15" customHeight="1" spans="1:19" x14ac:dyDescent="0.25">
      <c r="A254" s="6" t="s">
        <v>513</v>
      </c>
      <c r="B254" s="6" t="s">
        <v>61</v>
      </c>
      <c r="C254" s="6" t="s">
        <v>114</v>
      </c>
      <c r="D254" s="6" t="s">
        <v>169</v>
      </c>
      <c r="E254" s="6">
        <v>13</v>
      </c>
      <c r="F254" s="7">
        <v>9.2</v>
      </c>
      <c r="G254" s="7">
        <v>0</v>
      </c>
      <c r="H254" s="7">
        <v>25</v>
      </c>
      <c r="I254" s="7">
        <v>0.6</v>
      </c>
      <c r="J254" s="7">
        <v>1.2</v>
      </c>
      <c r="K254" s="7">
        <v>2</v>
      </c>
      <c r="L254" s="6">
        <v>42</v>
      </c>
      <c r="M254" s="6">
        <v>20</v>
      </c>
      <c r="N254" s="7">
        <v>8.5</v>
      </c>
      <c r="O254" s="6" t="s">
        <v>201</v>
      </c>
      <c r="P254" s="6" t="s">
        <v>202</v>
      </c>
      <c r="Q254" s="6" t="s">
        <v>510</v>
      </c>
      <c r="R254" s="6" t="s">
        <v>511</v>
      </c>
      <c r="S254" s="6"/>
    </row>
    <row r="255" ht="15" customHeight="1" spans="1:19" x14ac:dyDescent="0.25">
      <c r="A255" s="6" t="s">
        <v>514</v>
      </c>
      <c r="B255" s="6" t="s">
        <v>61</v>
      </c>
      <c r="C255" s="6" t="s">
        <v>114</v>
      </c>
      <c r="D255" s="6" t="s">
        <v>169</v>
      </c>
      <c r="E255" s="6">
        <v>14</v>
      </c>
      <c r="F255" s="7">
        <v>9.8</v>
      </c>
      <c r="G255" s="7">
        <v>0</v>
      </c>
      <c r="H255" s="7">
        <v>25</v>
      </c>
      <c r="I255" s="7">
        <v>0.6</v>
      </c>
      <c r="J255" s="7">
        <v>1.2</v>
      </c>
      <c r="K255" s="7">
        <v>2</v>
      </c>
      <c r="L255" s="6">
        <v>42</v>
      </c>
      <c r="M255" s="6">
        <v>20</v>
      </c>
      <c r="N255" s="7">
        <v>8.5</v>
      </c>
      <c r="O255" s="6" t="s">
        <v>201</v>
      </c>
      <c r="P255" s="6" t="s">
        <v>202</v>
      </c>
      <c r="Q255" s="6" t="s">
        <v>510</v>
      </c>
      <c r="R255" s="6" t="s">
        <v>511</v>
      </c>
      <c r="S255" s="6"/>
    </row>
    <row r="256" ht="15" customHeight="1" spans="1:19" x14ac:dyDescent="0.25">
      <c r="A256" s="6" t="s">
        <v>515</v>
      </c>
      <c r="B256" s="6" t="s">
        <v>61</v>
      </c>
      <c r="C256" s="6" t="s">
        <v>114</v>
      </c>
      <c r="D256" s="6" t="s">
        <v>169</v>
      </c>
      <c r="E256" s="6">
        <v>15</v>
      </c>
      <c r="F256" s="7">
        <v>10.4</v>
      </c>
      <c r="G256" s="7">
        <v>0</v>
      </c>
      <c r="H256" s="7">
        <v>25</v>
      </c>
      <c r="I256" s="7">
        <v>0.6</v>
      </c>
      <c r="J256" s="7">
        <v>1.2</v>
      </c>
      <c r="K256" s="7">
        <v>2</v>
      </c>
      <c r="L256" s="6">
        <v>42</v>
      </c>
      <c r="M256" s="6">
        <v>20</v>
      </c>
      <c r="N256" s="7">
        <v>8.5</v>
      </c>
      <c r="O256" s="6" t="s">
        <v>201</v>
      </c>
      <c r="P256" s="6" t="s">
        <v>202</v>
      </c>
      <c r="Q256" s="6" t="s">
        <v>510</v>
      </c>
      <c r="R256" s="6" t="s">
        <v>511</v>
      </c>
      <c r="S256" s="6"/>
    </row>
    <row r="257" ht="15" customHeight="1" spans="1:19" x14ac:dyDescent="0.25">
      <c r="A257" s="6" t="s">
        <v>516</v>
      </c>
      <c r="B257" s="6" t="s">
        <v>61</v>
      </c>
      <c r="C257" s="6" t="s">
        <v>114</v>
      </c>
      <c r="D257" s="6" t="s">
        <v>169</v>
      </c>
      <c r="E257" s="6">
        <v>16</v>
      </c>
      <c r="F257" s="7">
        <v>11</v>
      </c>
      <c r="G257" s="7">
        <v>0</v>
      </c>
      <c r="H257" s="7">
        <v>25</v>
      </c>
      <c r="I257" s="7">
        <v>0.6</v>
      </c>
      <c r="J257" s="7">
        <v>1.2</v>
      </c>
      <c r="K257" s="7">
        <v>2</v>
      </c>
      <c r="L257" s="6">
        <v>42</v>
      </c>
      <c r="M257" s="6">
        <v>20</v>
      </c>
      <c r="N257" s="7">
        <v>8.5</v>
      </c>
      <c r="O257" s="6" t="s">
        <v>201</v>
      </c>
      <c r="P257" s="6" t="s">
        <v>202</v>
      </c>
      <c r="Q257" s="6" t="s">
        <v>510</v>
      </c>
      <c r="R257" s="6" t="s">
        <v>511</v>
      </c>
      <c r="S257" s="6"/>
    </row>
    <row r="258" ht="15" customHeight="1" spans="1:19" x14ac:dyDescent="0.25">
      <c r="A258" s="6" t="s">
        <v>517</v>
      </c>
      <c r="B258" s="6" t="s">
        <v>61</v>
      </c>
      <c r="C258" s="6" t="s">
        <v>114</v>
      </c>
      <c r="D258" s="6" t="s">
        <v>169</v>
      </c>
      <c r="E258" s="6">
        <v>17</v>
      </c>
      <c r="F258" s="7">
        <v>11.6</v>
      </c>
      <c r="G258" s="7">
        <v>0</v>
      </c>
      <c r="H258" s="7">
        <v>25</v>
      </c>
      <c r="I258" s="7">
        <v>0.6</v>
      </c>
      <c r="J258" s="7">
        <v>1.2</v>
      </c>
      <c r="K258" s="7">
        <v>2</v>
      </c>
      <c r="L258" s="6">
        <v>42</v>
      </c>
      <c r="M258" s="6">
        <v>20</v>
      </c>
      <c r="N258" s="7">
        <v>0</v>
      </c>
      <c r="O258" s="6" t="s">
        <v>225</v>
      </c>
      <c r="P258" s="6"/>
      <c r="Q258" s="6" t="s">
        <v>510</v>
      </c>
      <c r="R258" s="6" t="s">
        <v>511</v>
      </c>
      <c r="S258" s="6"/>
    </row>
    <row r="259" ht="15" customHeight="1" spans="1:19" x14ac:dyDescent="0.25">
      <c r="A259" s="6" t="s">
        <v>518</v>
      </c>
      <c r="B259" s="6" t="s">
        <v>61</v>
      </c>
      <c r="C259" s="6" t="s">
        <v>114</v>
      </c>
      <c r="D259" s="6" t="s">
        <v>169</v>
      </c>
      <c r="E259" s="6">
        <v>18</v>
      </c>
      <c r="F259" s="7">
        <v>12.2</v>
      </c>
      <c r="G259" s="7">
        <v>0</v>
      </c>
      <c r="H259" s="7">
        <v>25</v>
      </c>
      <c r="I259" s="7">
        <v>0.6</v>
      </c>
      <c r="J259" s="7">
        <v>1.2</v>
      </c>
      <c r="K259" s="7">
        <v>2</v>
      </c>
      <c r="L259" s="6">
        <v>42</v>
      </c>
      <c r="M259" s="6">
        <v>20</v>
      </c>
      <c r="N259" s="7">
        <v>0</v>
      </c>
      <c r="O259" s="6" t="s">
        <v>225</v>
      </c>
      <c r="P259" s="6"/>
      <c r="Q259" s="6" t="s">
        <v>510</v>
      </c>
      <c r="R259" s="6" t="s">
        <v>511</v>
      </c>
      <c r="S259" s="6"/>
    </row>
    <row r="260" ht="15" customHeight="1" spans="1:19" x14ac:dyDescent="0.25">
      <c r="A260" s="6" t="s">
        <v>519</v>
      </c>
      <c r="B260" s="6" t="s">
        <v>61</v>
      </c>
      <c r="C260" s="6" t="s">
        <v>114</v>
      </c>
      <c r="D260" s="6" t="s">
        <v>169</v>
      </c>
      <c r="E260" s="6">
        <v>19</v>
      </c>
      <c r="F260" s="7">
        <v>12.8</v>
      </c>
      <c r="G260" s="7">
        <v>0</v>
      </c>
      <c r="H260" s="7">
        <v>25</v>
      </c>
      <c r="I260" s="7">
        <v>0.6</v>
      </c>
      <c r="J260" s="7">
        <v>1.2</v>
      </c>
      <c r="K260" s="7">
        <v>2</v>
      </c>
      <c r="L260" s="6">
        <v>42</v>
      </c>
      <c r="M260" s="6">
        <v>20</v>
      </c>
      <c r="N260" s="7">
        <v>0</v>
      </c>
      <c r="O260" s="6" t="s">
        <v>225</v>
      </c>
      <c r="P260" s="6"/>
      <c r="Q260" s="6" t="s">
        <v>510</v>
      </c>
      <c r="R260" s="6" t="s">
        <v>511</v>
      </c>
      <c r="S260" s="6"/>
    </row>
    <row r="261" ht="15" customHeight="1" spans="1:19" x14ac:dyDescent="0.25">
      <c r="A261" s="6" t="s">
        <v>520</v>
      </c>
      <c r="B261" s="6" t="s">
        <v>61</v>
      </c>
      <c r="C261" s="6" t="s">
        <v>114</v>
      </c>
      <c r="D261" s="6" t="s">
        <v>169</v>
      </c>
      <c r="E261" s="6">
        <v>20</v>
      </c>
      <c r="F261" s="7">
        <v>13.4</v>
      </c>
      <c r="G261" s="7">
        <v>0</v>
      </c>
      <c r="H261" s="7">
        <v>25</v>
      </c>
      <c r="I261" s="7">
        <v>0.6</v>
      </c>
      <c r="J261" s="7">
        <v>1.2</v>
      </c>
      <c r="K261" s="7">
        <v>2</v>
      </c>
      <c r="L261" s="6">
        <v>42</v>
      </c>
      <c r="M261" s="6">
        <v>20</v>
      </c>
      <c r="N261" s="7">
        <v>0</v>
      </c>
      <c r="O261" s="6" t="s">
        <v>225</v>
      </c>
      <c r="P261" s="6"/>
      <c r="Q261" s="6" t="s">
        <v>510</v>
      </c>
      <c r="R261" s="6" t="s">
        <v>511</v>
      </c>
      <c r="S261" s="6"/>
    </row>
    <row r="262" ht="15" customHeight="1" spans="1:19" x14ac:dyDescent="0.25">
      <c r="A262" s="6" t="s">
        <v>521</v>
      </c>
      <c r="B262" s="6" t="s">
        <v>61</v>
      </c>
      <c r="C262" s="6" t="s">
        <v>114</v>
      </c>
      <c r="D262" s="6" t="s">
        <v>170</v>
      </c>
      <c r="E262" s="6">
        <v>1</v>
      </c>
      <c r="F262" s="7">
        <v>2</v>
      </c>
      <c r="G262" s="7">
        <v>0</v>
      </c>
      <c r="H262" s="7">
        <v>27.4</v>
      </c>
      <c r="I262" s="7">
        <v>0.6</v>
      </c>
      <c r="J262" s="7">
        <v>1.2</v>
      </c>
      <c r="K262" s="7">
        <v>2</v>
      </c>
      <c r="L262" s="6">
        <v>42</v>
      </c>
      <c r="M262" s="6">
        <v>20</v>
      </c>
      <c r="N262" s="7">
        <v>8.6</v>
      </c>
      <c r="O262" s="6" t="s">
        <v>201</v>
      </c>
      <c r="P262" s="6" t="s">
        <v>252</v>
      </c>
      <c r="Q262" s="6" t="s">
        <v>522</v>
      </c>
      <c r="R262" s="6" t="s">
        <v>523</v>
      </c>
      <c r="S262" s="6"/>
    </row>
    <row r="263" ht="15" customHeight="1" spans="1:19" x14ac:dyDescent="0.25">
      <c r="A263" s="6" t="s">
        <v>524</v>
      </c>
      <c r="B263" s="6" t="s">
        <v>61</v>
      </c>
      <c r="C263" s="6" t="s">
        <v>114</v>
      </c>
      <c r="D263" s="6" t="s">
        <v>170</v>
      </c>
      <c r="E263" s="6">
        <v>2</v>
      </c>
      <c r="F263" s="7">
        <v>2.6</v>
      </c>
      <c r="G263" s="7">
        <v>0</v>
      </c>
      <c r="H263" s="7">
        <v>27.4</v>
      </c>
      <c r="I263" s="7">
        <v>0.6</v>
      </c>
      <c r="J263" s="7">
        <v>1.2</v>
      </c>
      <c r="K263" s="7">
        <v>2</v>
      </c>
      <c r="L263" s="6">
        <v>42</v>
      </c>
      <c r="M263" s="6">
        <v>20</v>
      </c>
      <c r="N263" s="7">
        <v>8.6</v>
      </c>
      <c r="O263" s="6" t="s">
        <v>201</v>
      </c>
      <c r="P263" s="6" t="s">
        <v>252</v>
      </c>
      <c r="Q263" s="6" t="s">
        <v>522</v>
      </c>
      <c r="R263" s="6" t="s">
        <v>523</v>
      </c>
      <c r="S263" s="6"/>
    </row>
    <row r="264" ht="15" customHeight="1" spans="1:19" x14ac:dyDescent="0.25">
      <c r="A264" s="6" t="s">
        <v>525</v>
      </c>
      <c r="B264" s="6" t="s">
        <v>61</v>
      </c>
      <c r="C264" s="6" t="s">
        <v>114</v>
      </c>
      <c r="D264" s="6" t="s">
        <v>170</v>
      </c>
      <c r="E264" s="6">
        <v>3</v>
      </c>
      <c r="F264" s="7">
        <v>3.2</v>
      </c>
      <c r="G264" s="7">
        <v>0</v>
      </c>
      <c r="H264" s="7">
        <v>27.4</v>
      </c>
      <c r="I264" s="7">
        <v>0.6</v>
      </c>
      <c r="J264" s="7">
        <v>1.2</v>
      </c>
      <c r="K264" s="7">
        <v>2</v>
      </c>
      <c r="L264" s="6">
        <v>42</v>
      </c>
      <c r="M264" s="6">
        <v>20</v>
      </c>
      <c r="N264" s="7">
        <v>8.6</v>
      </c>
      <c r="O264" s="6" t="s">
        <v>201</v>
      </c>
      <c r="P264" s="6" t="s">
        <v>252</v>
      </c>
      <c r="Q264" s="6" t="s">
        <v>522</v>
      </c>
      <c r="R264" s="6" t="s">
        <v>523</v>
      </c>
      <c r="S264" s="6"/>
    </row>
    <row r="265" ht="15" customHeight="1" spans="1:19" x14ac:dyDescent="0.25">
      <c r="A265" s="6" t="s">
        <v>526</v>
      </c>
      <c r="B265" s="6" t="s">
        <v>61</v>
      </c>
      <c r="C265" s="6" t="s">
        <v>114</v>
      </c>
      <c r="D265" s="6" t="s">
        <v>170</v>
      </c>
      <c r="E265" s="6">
        <v>4</v>
      </c>
      <c r="F265" s="7">
        <v>3.8</v>
      </c>
      <c r="G265" s="7">
        <v>0</v>
      </c>
      <c r="H265" s="7">
        <v>27.4</v>
      </c>
      <c r="I265" s="7">
        <v>0.6</v>
      </c>
      <c r="J265" s="7">
        <v>1.2</v>
      </c>
      <c r="K265" s="7">
        <v>2</v>
      </c>
      <c r="L265" s="6">
        <v>42</v>
      </c>
      <c r="M265" s="6">
        <v>20</v>
      </c>
      <c r="N265" s="7">
        <v>8.6</v>
      </c>
      <c r="O265" s="6" t="s">
        <v>201</v>
      </c>
      <c r="P265" s="6" t="s">
        <v>252</v>
      </c>
      <c r="Q265" s="6" t="s">
        <v>522</v>
      </c>
      <c r="R265" s="6" t="s">
        <v>523</v>
      </c>
      <c r="S265" s="6"/>
    </row>
    <row r="266" ht="15" customHeight="1" spans="1:19" x14ac:dyDescent="0.25">
      <c r="A266" s="6" t="s">
        <v>527</v>
      </c>
      <c r="B266" s="6" t="s">
        <v>61</v>
      </c>
      <c r="C266" s="6" t="s">
        <v>114</v>
      </c>
      <c r="D266" s="6" t="s">
        <v>170</v>
      </c>
      <c r="E266" s="6">
        <v>5</v>
      </c>
      <c r="F266" s="7">
        <v>4.4</v>
      </c>
      <c r="G266" s="7">
        <v>0</v>
      </c>
      <c r="H266" s="7">
        <v>27.4</v>
      </c>
      <c r="I266" s="7">
        <v>0.6</v>
      </c>
      <c r="J266" s="7">
        <v>1.2</v>
      </c>
      <c r="K266" s="7">
        <v>2</v>
      </c>
      <c r="L266" s="6">
        <v>42</v>
      </c>
      <c r="M266" s="6">
        <v>20</v>
      </c>
      <c r="N266" s="7">
        <v>8.6</v>
      </c>
      <c r="O266" s="6" t="s">
        <v>201</v>
      </c>
      <c r="P266" s="6" t="s">
        <v>252</v>
      </c>
      <c r="Q266" s="6" t="s">
        <v>522</v>
      </c>
      <c r="R266" s="6" t="s">
        <v>523</v>
      </c>
      <c r="S266" s="6"/>
    </row>
    <row r="267" ht="15" customHeight="1" spans="1:19" x14ac:dyDescent="0.25">
      <c r="A267" s="6" t="s">
        <v>528</v>
      </c>
      <c r="B267" s="6" t="s">
        <v>61</v>
      </c>
      <c r="C267" s="6" t="s">
        <v>114</v>
      </c>
      <c r="D267" s="6" t="s">
        <v>170</v>
      </c>
      <c r="E267" s="6">
        <v>6</v>
      </c>
      <c r="F267" s="7">
        <v>5</v>
      </c>
      <c r="G267" s="7">
        <v>0</v>
      </c>
      <c r="H267" s="7">
        <v>27.4</v>
      </c>
      <c r="I267" s="7">
        <v>0.6</v>
      </c>
      <c r="J267" s="7">
        <v>1.2</v>
      </c>
      <c r="K267" s="7">
        <v>2</v>
      </c>
      <c r="L267" s="6">
        <v>42</v>
      </c>
      <c r="M267" s="6">
        <v>20</v>
      </c>
      <c r="N267" s="7">
        <v>8.6</v>
      </c>
      <c r="O267" s="6" t="s">
        <v>201</v>
      </c>
      <c r="P267" s="6" t="s">
        <v>252</v>
      </c>
      <c r="Q267" s="6" t="s">
        <v>522</v>
      </c>
      <c r="R267" s="6" t="s">
        <v>523</v>
      </c>
      <c r="S267" s="6"/>
    </row>
    <row r="268" ht="15" customHeight="1" spans="1:19" x14ac:dyDescent="0.25">
      <c r="A268" s="6" t="s">
        <v>529</v>
      </c>
      <c r="B268" s="6" t="s">
        <v>61</v>
      </c>
      <c r="C268" s="6" t="s">
        <v>114</v>
      </c>
      <c r="D268" s="6" t="s">
        <v>170</v>
      </c>
      <c r="E268" s="6">
        <v>7</v>
      </c>
      <c r="F268" s="7">
        <v>5.6</v>
      </c>
      <c r="G268" s="7">
        <v>0</v>
      </c>
      <c r="H268" s="7">
        <v>27.4</v>
      </c>
      <c r="I268" s="7">
        <v>0.6</v>
      </c>
      <c r="J268" s="7">
        <v>1.2</v>
      </c>
      <c r="K268" s="7">
        <v>2</v>
      </c>
      <c r="L268" s="6">
        <v>42</v>
      </c>
      <c r="M268" s="6">
        <v>20</v>
      </c>
      <c r="N268" s="7">
        <v>8.6</v>
      </c>
      <c r="O268" s="6" t="s">
        <v>201</v>
      </c>
      <c r="P268" s="6" t="s">
        <v>252</v>
      </c>
      <c r="Q268" s="6" t="s">
        <v>522</v>
      </c>
      <c r="R268" s="6" t="s">
        <v>523</v>
      </c>
      <c r="S268" s="6"/>
    </row>
    <row r="269" ht="15" customHeight="1" spans="1:19" x14ac:dyDescent="0.25">
      <c r="A269" s="6" t="s">
        <v>530</v>
      </c>
      <c r="B269" s="6" t="s">
        <v>61</v>
      </c>
      <c r="C269" s="6" t="s">
        <v>114</v>
      </c>
      <c r="D269" s="6" t="s">
        <v>170</v>
      </c>
      <c r="E269" s="6">
        <v>8</v>
      </c>
      <c r="F269" s="7">
        <v>6.2</v>
      </c>
      <c r="G269" s="7">
        <v>0</v>
      </c>
      <c r="H269" s="7">
        <v>27.4</v>
      </c>
      <c r="I269" s="7">
        <v>0.6</v>
      </c>
      <c r="J269" s="7">
        <v>1.2</v>
      </c>
      <c r="K269" s="7">
        <v>2</v>
      </c>
      <c r="L269" s="6">
        <v>42</v>
      </c>
      <c r="M269" s="6">
        <v>20</v>
      </c>
      <c r="N269" s="7">
        <v>8.6</v>
      </c>
      <c r="O269" s="6" t="s">
        <v>201</v>
      </c>
      <c r="P269" s="6" t="s">
        <v>252</v>
      </c>
      <c r="Q269" s="6" t="s">
        <v>522</v>
      </c>
      <c r="R269" s="6" t="s">
        <v>523</v>
      </c>
      <c r="S269" s="6"/>
    </row>
    <row r="270" ht="15" customHeight="1" spans="1:19" x14ac:dyDescent="0.25">
      <c r="A270" s="6" t="s">
        <v>531</v>
      </c>
      <c r="B270" s="6" t="s">
        <v>61</v>
      </c>
      <c r="C270" s="6" t="s">
        <v>114</v>
      </c>
      <c r="D270" s="6" t="s">
        <v>170</v>
      </c>
      <c r="E270" s="6">
        <v>9</v>
      </c>
      <c r="F270" s="7">
        <v>6.8</v>
      </c>
      <c r="G270" s="7">
        <v>0</v>
      </c>
      <c r="H270" s="7">
        <v>27.4</v>
      </c>
      <c r="I270" s="7">
        <v>0.6</v>
      </c>
      <c r="J270" s="7">
        <v>1.2</v>
      </c>
      <c r="K270" s="7">
        <v>2</v>
      </c>
      <c r="L270" s="6">
        <v>42</v>
      </c>
      <c r="M270" s="6">
        <v>20</v>
      </c>
      <c r="N270" s="7">
        <v>8.6</v>
      </c>
      <c r="O270" s="6" t="s">
        <v>201</v>
      </c>
      <c r="P270" s="6" t="s">
        <v>252</v>
      </c>
      <c r="Q270" s="6" t="s">
        <v>522</v>
      </c>
      <c r="R270" s="6" t="s">
        <v>523</v>
      </c>
      <c r="S270" s="6"/>
    </row>
    <row r="271" ht="15" customHeight="1" spans="1:19" x14ac:dyDescent="0.25">
      <c r="A271" s="6" t="s">
        <v>532</v>
      </c>
      <c r="B271" s="6" t="s">
        <v>61</v>
      </c>
      <c r="C271" s="6" t="s">
        <v>114</v>
      </c>
      <c r="D271" s="6" t="s">
        <v>170</v>
      </c>
      <c r="E271" s="6">
        <v>10</v>
      </c>
      <c r="F271" s="7">
        <v>7.4</v>
      </c>
      <c r="G271" s="7">
        <v>0</v>
      </c>
      <c r="H271" s="7">
        <v>27.4</v>
      </c>
      <c r="I271" s="7">
        <v>0.6</v>
      </c>
      <c r="J271" s="7">
        <v>1.2</v>
      </c>
      <c r="K271" s="7">
        <v>2</v>
      </c>
      <c r="L271" s="6">
        <v>42</v>
      </c>
      <c r="M271" s="6">
        <v>20</v>
      </c>
      <c r="N271" s="7">
        <v>8.6</v>
      </c>
      <c r="O271" s="6" t="s">
        <v>201</v>
      </c>
      <c r="P271" s="6" t="s">
        <v>252</v>
      </c>
      <c r="Q271" s="6" t="s">
        <v>522</v>
      </c>
      <c r="R271" s="6" t="s">
        <v>523</v>
      </c>
      <c r="S271" s="6"/>
    </row>
    <row r="272" ht="15" customHeight="1" spans="1:19" x14ac:dyDescent="0.25">
      <c r="A272" s="6" t="s">
        <v>533</v>
      </c>
      <c r="B272" s="6" t="s">
        <v>61</v>
      </c>
      <c r="C272" s="6" t="s">
        <v>114</v>
      </c>
      <c r="D272" s="6" t="s">
        <v>170</v>
      </c>
      <c r="E272" s="6">
        <v>11</v>
      </c>
      <c r="F272" s="7">
        <v>8</v>
      </c>
      <c r="G272" s="7">
        <v>0</v>
      </c>
      <c r="H272" s="7">
        <v>27.4</v>
      </c>
      <c r="I272" s="7">
        <v>0.6</v>
      </c>
      <c r="J272" s="7">
        <v>1.2</v>
      </c>
      <c r="K272" s="7">
        <v>2</v>
      </c>
      <c r="L272" s="6">
        <v>42</v>
      </c>
      <c r="M272" s="6">
        <v>20</v>
      </c>
      <c r="N272" s="7">
        <v>8.6</v>
      </c>
      <c r="O272" s="6" t="s">
        <v>201</v>
      </c>
      <c r="P272" s="6" t="s">
        <v>252</v>
      </c>
      <c r="Q272" s="6" t="s">
        <v>534</v>
      </c>
      <c r="R272" s="6" t="s">
        <v>535</v>
      </c>
      <c r="S272" s="6"/>
    </row>
    <row r="273" ht="15" customHeight="1" spans="1:19" x14ac:dyDescent="0.25">
      <c r="A273" s="6" t="s">
        <v>536</v>
      </c>
      <c r="B273" s="6" t="s">
        <v>61</v>
      </c>
      <c r="C273" s="6" t="s">
        <v>114</v>
      </c>
      <c r="D273" s="6" t="s">
        <v>170</v>
      </c>
      <c r="E273" s="6">
        <v>12</v>
      </c>
      <c r="F273" s="7">
        <v>8.6</v>
      </c>
      <c r="G273" s="7">
        <v>0</v>
      </c>
      <c r="H273" s="7">
        <v>27.4</v>
      </c>
      <c r="I273" s="7">
        <v>0.6</v>
      </c>
      <c r="J273" s="7">
        <v>1.2</v>
      </c>
      <c r="K273" s="7">
        <v>2</v>
      </c>
      <c r="L273" s="6">
        <v>42</v>
      </c>
      <c r="M273" s="6">
        <v>20</v>
      </c>
      <c r="N273" s="7">
        <v>8.6</v>
      </c>
      <c r="O273" s="6" t="s">
        <v>201</v>
      </c>
      <c r="P273" s="6" t="s">
        <v>252</v>
      </c>
      <c r="Q273" s="6" t="s">
        <v>534</v>
      </c>
      <c r="R273" s="6" t="s">
        <v>535</v>
      </c>
      <c r="S273" s="6"/>
    </row>
    <row r="274" ht="15" customHeight="1" spans="1:19" x14ac:dyDescent="0.25">
      <c r="A274" s="6" t="s">
        <v>537</v>
      </c>
      <c r="B274" s="6" t="s">
        <v>61</v>
      </c>
      <c r="C274" s="6" t="s">
        <v>114</v>
      </c>
      <c r="D274" s="6" t="s">
        <v>170</v>
      </c>
      <c r="E274" s="6">
        <v>13</v>
      </c>
      <c r="F274" s="7">
        <v>9.2</v>
      </c>
      <c r="G274" s="7">
        <v>0</v>
      </c>
      <c r="H274" s="7">
        <v>27.4</v>
      </c>
      <c r="I274" s="7">
        <v>0.6</v>
      </c>
      <c r="J274" s="7">
        <v>1.2</v>
      </c>
      <c r="K274" s="7">
        <v>2</v>
      </c>
      <c r="L274" s="6">
        <v>42</v>
      </c>
      <c r="M274" s="6">
        <v>20</v>
      </c>
      <c r="N274" s="7">
        <v>8.6</v>
      </c>
      <c r="O274" s="6" t="s">
        <v>201</v>
      </c>
      <c r="P274" s="6" t="s">
        <v>252</v>
      </c>
      <c r="Q274" s="6" t="s">
        <v>534</v>
      </c>
      <c r="R274" s="6" t="s">
        <v>535</v>
      </c>
      <c r="S274" s="6"/>
    </row>
    <row r="275" ht="15" customHeight="1" spans="1:19" x14ac:dyDescent="0.25">
      <c r="A275" s="6" t="s">
        <v>538</v>
      </c>
      <c r="B275" s="6" t="s">
        <v>61</v>
      </c>
      <c r="C275" s="6" t="s">
        <v>114</v>
      </c>
      <c r="D275" s="6" t="s">
        <v>170</v>
      </c>
      <c r="E275" s="6">
        <v>14</v>
      </c>
      <c r="F275" s="7">
        <v>9.8</v>
      </c>
      <c r="G275" s="7">
        <v>0</v>
      </c>
      <c r="H275" s="7">
        <v>27.4</v>
      </c>
      <c r="I275" s="7">
        <v>0.6</v>
      </c>
      <c r="J275" s="7">
        <v>1.2</v>
      </c>
      <c r="K275" s="7">
        <v>2</v>
      </c>
      <c r="L275" s="6">
        <v>42</v>
      </c>
      <c r="M275" s="6">
        <v>20</v>
      </c>
      <c r="N275" s="7">
        <v>8.6</v>
      </c>
      <c r="O275" s="6" t="s">
        <v>201</v>
      </c>
      <c r="P275" s="6" t="s">
        <v>252</v>
      </c>
      <c r="Q275" s="6" t="s">
        <v>534</v>
      </c>
      <c r="R275" s="6" t="s">
        <v>535</v>
      </c>
      <c r="S275" s="6"/>
    </row>
    <row r="276" ht="15" customHeight="1" spans="1:19" x14ac:dyDescent="0.25">
      <c r="A276" s="6" t="s">
        <v>539</v>
      </c>
      <c r="B276" s="6" t="s">
        <v>61</v>
      </c>
      <c r="C276" s="6" t="s">
        <v>114</v>
      </c>
      <c r="D276" s="6" t="s">
        <v>170</v>
      </c>
      <c r="E276" s="6">
        <v>15</v>
      </c>
      <c r="F276" s="7">
        <v>10.4</v>
      </c>
      <c r="G276" s="7">
        <v>0</v>
      </c>
      <c r="H276" s="7">
        <v>27.4</v>
      </c>
      <c r="I276" s="7">
        <v>0.6</v>
      </c>
      <c r="J276" s="7">
        <v>1.2</v>
      </c>
      <c r="K276" s="7">
        <v>2</v>
      </c>
      <c r="L276" s="6">
        <v>42</v>
      </c>
      <c r="M276" s="6">
        <v>20</v>
      </c>
      <c r="N276" s="7">
        <v>8.6</v>
      </c>
      <c r="O276" s="6" t="s">
        <v>201</v>
      </c>
      <c r="P276" s="6" t="s">
        <v>252</v>
      </c>
      <c r="Q276" s="6" t="s">
        <v>534</v>
      </c>
      <c r="R276" s="6" t="s">
        <v>535</v>
      </c>
      <c r="S276" s="6"/>
    </row>
    <row r="277" ht="15" customHeight="1" spans="1:19" x14ac:dyDescent="0.25">
      <c r="A277" s="6" t="s">
        <v>540</v>
      </c>
      <c r="B277" s="6" t="s">
        <v>61</v>
      </c>
      <c r="C277" s="6" t="s">
        <v>114</v>
      </c>
      <c r="D277" s="6" t="s">
        <v>170</v>
      </c>
      <c r="E277" s="6">
        <v>16</v>
      </c>
      <c r="F277" s="7">
        <v>11</v>
      </c>
      <c r="G277" s="7">
        <v>0</v>
      </c>
      <c r="H277" s="7">
        <v>27.4</v>
      </c>
      <c r="I277" s="7">
        <v>0.6</v>
      </c>
      <c r="J277" s="7">
        <v>1.2</v>
      </c>
      <c r="K277" s="7">
        <v>2</v>
      </c>
      <c r="L277" s="6">
        <v>42</v>
      </c>
      <c r="M277" s="6">
        <v>20</v>
      </c>
      <c r="N277" s="7">
        <v>0</v>
      </c>
      <c r="O277" s="6" t="s">
        <v>225</v>
      </c>
      <c r="P277" s="6"/>
      <c r="Q277" s="6" t="s">
        <v>534</v>
      </c>
      <c r="R277" s="6" t="s">
        <v>535</v>
      </c>
      <c r="S277" s="6"/>
    </row>
    <row r="278" ht="15" customHeight="1" spans="1:19" x14ac:dyDescent="0.25">
      <c r="A278" s="6" t="s">
        <v>541</v>
      </c>
      <c r="B278" s="6" t="s">
        <v>61</v>
      </c>
      <c r="C278" s="6" t="s">
        <v>114</v>
      </c>
      <c r="D278" s="6" t="s">
        <v>170</v>
      </c>
      <c r="E278" s="6">
        <v>17</v>
      </c>
      <c r="F278" s="7">
        <v>11.6</v>
      </c>
      <c r="G278" s="7">
        <v>0</v>
      </c>
      <c r="H278" s="7">
        <v>27.4</v>
      </c>
      <c r="I278" s="7">
        <v>0.6</v>
      </c>
      <c r="J278" s="7">
        <v>1.2</v>
      </c>
      <c r="K278" s="7">
        <v>2</v>
      </c>
      <c r="L278" s="6">
        <v>42</v>
      </c>
      <c r="M278" s="6">
        <v>20</v>
      </c>
      <c r="N278" s="7">
        <v>0</v>
      </c>
      <c r="O278" s="6" t="s">
        <v>225</v>
      </c>
      <c r="P278" s="6"/>
      <c r="Q278" s="6" t="s">
        <v>534</v>
      </c>
      <c r="R278" s="6" t="s">
        <v>535</v>
      </c>
      <c r="S278" s="6"/>
    </row>
    <row r="279" ht="15" customHeight="1" spans="1:19" x14ac:dyDescent="0.25">
      <c r="A279" s="6" t="s">
        <v>542</v>
      </c>
      <c r="B279" s="6" t="s">
        <v>61</v>
      </c>
      <c r="C279" s="6" t="s">
        <v>114</v>
      </c>
      <c r="D279" s="6" t="s">
        <v>170</v>
      </c>
      <c r="E279" s="6">
        <v>18</v>
      </c>
      <c r="F279" s="7">
        <v>12.2</v>
      </c>
      <c r="G279" s="7">
        <v>0</v>
      </c>
      <c r="H279" s="7">
        <v>27.4</v>
      </c>
      <c r="I279" s="7">
        <v>0.6</v>
      </c>
      <c r="J279" s="7">
        <v>1.2</v>
      </c>
      <c r="K279" s="7">
        <v>2</v>
      </c>
      <c r="L279" s="6">
        <v>42</v>
      </c>
      <c r="M279" s="6">
        <v>20</v>
      </c>
      <c r="N279" s="7">
        <v>0</v>
      </c>
      <c r="O279" s="6" t="s">
        <v>225</v>
      </c>
      <c r="P279" s="6"/>
      <c r="Q279" s="6" t="s">
        <v>534</v>
      </c>
      <c r="R279" s="6" t="s">
        <v>535</v>
      </c>
      <c r="S279" s="6"/>
    </row>
    <row r="280" ht="15" customHeight="1" spans="1:19" x14ac:dyDescent="0.25">
      <c r="A280" s="6" t="s">
        <v>543</v>
      </c>
      <c r="B280" s="6" t="s">
        <v>61</v>
      </c>
      <c r="C280" s="6" t="s">
        <v>114</v>
      </c>
      <c r="D280" s="6" t="s">
        <v>170</v>
      </c>
      <c r="E280" s="6">
        <v>19</v>
      </c>
      <c r="F280" s="7">
        <v>12.8</v>
      </c>
      <c r="G280" s="7">
        <v>0</v>
      </c>
      <c r="H280" s="7">
        <v>27.4</v>
      </c>
      <c r="I280" s="7">
        <v>0.6</v>
      </c>
      <c r="J280" s="7">
        <v>1.2</v>
      </c>
      <c r="K280" s="7">
        <v>2</v>
      </c>
      <c r="L280" s="6">
        <v>42</v>
      </c>
      <c r="M280" s="6">
        <v>20</v>
      </c>
      <c r="N280" s="7">
        <v>0</v>
      </c>
      <c r="O280" s="6" t="s">
        <v>225</v>
      </c>
      <c r="P280" s="6"/>
      <c r="Q280" s="6" t="s">
        <v>534</v>
      </c>
      <c r="R280" s="6" t="s">
        <v>535</v>
      </c>
      <c r="S280" s="6"/>
    </row>
    <row r="281" ht="15" customHeight="1" spans="1:19" x14ac:dyDescent="0.25">
      <c r="A281" s="6" t="s">
        <v>544</v>
      </c>
      <c r="B281" s="6" t="s">
        <v>61</v>
      </c>
      <c r="C281" s="6" t="s">
        <v>114</v>
      </c>
      <c r="D281" s="6" t="s">
        <v>170</v>
      </c>
      <c r="E281" s="6">
        <v>20</v>
      </c>
      <c r="F281" s="7">
        <v>13.4</v>
      </c>
      <c r="G281" s="7">
        <v>0</v>
      </c>
      <c r="H281" s="7">
        <v>27.4</v>
      </c>
      <c r="I281" s="7">
        <v>0.6</v>
      </c>
      <c r="J281" s="7">
        <v>1.2</v>
      </c>
      <c r="K281" s="7">
        <v>2</v>
      </c>
      <c r="L281" s="6">
        <v>42</v>
      </c>
      <c r="M281" s="6">
        <v>20</v>
      </c>
      <c r="N281" s="7">
        <v>0</v>
      </c>
      <c r="O281" s="6" t="s">
        <v>225</v>
      </c>
      <c r="P281" s="6"/>
      <c r="Q281" s="6" t="s">
        <v>534</v>
      </c>
      <c r="R281" s="6" t="s">
        <v>535</v>
      </c>
      <c r="S281" s="6"/>
    </row>
    <row r="282" ht="15" customHeight="1" spans="1:19" x14ac:dyDescent="0.25">
      <c r="A282" s="6" t="s">
        <v>545</v>
      </c>
      <c r="B282" s="6" t="s">
        <v>61</v>
      </c>
      <c r="C282" s="6" t="s">
        <v>114</v>
      </c>
      <c r="D282" s="6" t="s">
        <v>171</v>
      </c>
      <c r="E282" s="6">
        <v>1</v>
      </c>
      <c r="F282" s="7">
        <v>2</v>
      </c>
      <c r="G282" s="7">
        <v>0</v>
      </c>
      <c r="H282" s="7">
        <v>29.8</v>
      </c>
      <c r="I282" s="7">
        <v>0.6</v>
      </c>
      <c r="J282" s="7">
        <v>1.2</v>
      </c>
      <c r="K282" s="7">
        <v>2</v>
      </c>
      <c r="L282" s="6">
        <v>42</v>
      </c>
      <c r="M282" s="6">
        <v>20</v>
      </c>
      <c r="N282" s="7">
        <v>8.8</v>
      </c>
      <c r="O282" s="6" t="s">
        <v>201</v>
      </c>
      <c r="P282" s="6" t="s">
        <v>303</v>
      </c>
      <c r="Q282" s="6" t="s">
        <v>546</v>
      </c>
      <c r="R282" s="6" t="s">
        <v>547</v>
      </c>
      <c r="S282" s="6"/>
    </row>
    <row r="283" ht="15" customHeight="1" spans="1:19" x14ac:dyDescent="0.25">
      <c r="A283" s="6" t="s">
        <v>548</v>
      </c>
      <c r="B283" s="6" t="s">
        <v>61</v>
      </c>
      <c r="C283" s="6" t="s">
        <v>114</v>
      </c>
      <c r="D283" s="6" t="s">
        <v>171</v>
      </c>
      <c r="E283" s="6">
        <v>2</v>
      </c>
      <c r="F283" s="7">
        <v>2.6</v>
      </c>
      <c r="G283" s="7">
        <v>0</v>
      </c>
      <c r="H283" s="7">
        <v>29.8</v>
      </c>
      <c r="I283" s="7">
        <v>0.6</v>
      </c>
      <c r="J283" s="7">
        <v>1.2</v>
      </c>
      <c r="K283" s="7">
        <v>2</v>
      </c>
      <c r="L283" s="6">
        <v>42</v>
      </c>
      <c r="M283" s="6">
        <v>20</v>
      </c>
      <c r="N283" s="7">
        <v>8.8</v>
      </c>
      <c r="O283" s="6" t="s">
        <v>201</v>
      </c>
      <c r="P283" s="6" t="s">
        <v>303</v>
      </c>
      <c r="Q283" s="6" t="s">
        <v>546</v>
      </c>
      <c r="R283" s="6" t="s">
        <v>547</v>
      </c>
      <c r="S283" s="6"/>
    </row>
    <row r="284" ht="15" customHeight="1" spans="1:19" x14ac:dyDescent="0.25">
      <c r="A284" s="6" t="s">
        <v>549</v>
      </c>
      <c r="B284" s="6" t="s">
        <v>61</v>
      </c>
      <c r="C284" s="6" t="s">
        <v>114</v>
      </c>
      <c r="D284" s="6" t="s">
        <v>171</v>
      </c>
      <c r="E284" s="6">
        <v>3</v>
      </c>
      <c r="F284" s="7">
        <v>3.2</v>
      </c>
      <c r="G284" s="7">
        <v>0</v>
      </c>
      <c r="H284" s="7">
        <v>29.8</v>
      </c>
      <c r="I284" s="7">
        <v>0.6</v>
      </c>
      <c r="J284" s="7">
        <v>1.2</v>
      </c>
      <c r="K284" s="7">
        <v>2</v>
      </c>
      <c r="L284" s="6">
        <v>42</v>
      </c>
      <c r="M284" s="6">
        <v>20</v>
      </c>
      <c r="N284" s="7">
        <v>8.8</v>
      </c>
      <c r="O284" s="6" t="s">
        <v>201</v>
      </c>
      <c r="P284" s="6" t="s">
        <v>303</v>
      </c>
      <c r="Q284" s="6" t="s">
        <v>546</v>
      </c>
      <c r="R284" s="6" t="s">
        <v>547</v>
      </c>
      <c r="S284" s="6"/>
    </row>
    <row r="285" ht="15" customHeight="1" spans="1:19" x14ac:dyDescent="0.25">
      <c r="A285" s="6" t="s">
        <v>550</v>
      </c>
      <c r="B285" s="6" t="s">
        <v>61</v>
      </c>
      <c r="C285" s="6" t="s">
        <v>114</v>
      </c>
      <c r="D285" s="6" t="s">
        <v>171</v>
      </c>
      <c r="E285" s="6">
        <v>4</v>
      </c>
      <c r="F285" s="7">
        <v>3.8</v>
      </c>
      <c r="G285" s="7">
        <v>0</v>
      </c>
      <c r="H285" s="7">
        <v>29.8</v>
      </c>
      <c r="I285" s="7">
        <v>0.6</v>
      </c>
      <c r="J285" s="7">
        <v>1.2</v>
      </c>
      <c r="K285" s="7">
        <v>2</v>
      </c>
      <c r="L285" s="6">
        <v>42</v>
      </c>
      <c r="M285" s="6">
        <v>20</v>
      </c>
      <c r="N285" s="7">
        <v>8.8</v>
      </c>
      <c r="O285" s="6" t="s">
        <v>201</v>
      </c>
      <c r="P285" s="6" t="s">
        <v>303</v>
      </c>
      <c r="Q285" s="6" t="s">
        <v>546</v>
      </c>
      <c r="R285" s="6" t="s">
        <v>547</v>
      </c>
      <c r="S285" s="6"/>
    </row>
    <row r="286" ht="15" customHeight="1" spans="1:19" x14ac:dyDescent="0.25">
      <c r="A286" s="6" t="s">
        <v>551</v>
      </c>
      <c r="B286" s="6" t="s">
        <v>61</v>
      </c>
      <c r="C286" s="6" t="s">
        <v>114</v>
      </c>
      <c r="D286" s="6" t="s">
        <v>171</v>
      </c>
      <c r="E286" s="6">
        <v>5</v>
      </c>
      <c r="F286" s="7">
        <v>4.4</v>
      </c>
      <c r="G286" s="7">
        <v>0</v>
      </c>
      <c r="H286" s="7">
        <v>29.8</v>
      </c>
      <c r="I286" s="7">
        <v>0.6</v>
      </c>
      <c r="J286" s="7">
        <v>1.2</v>
      </c>
      <c r="K286" s="7">
        <v>2</v>
      </c>
      <c r="L286" s="6">
        <v>42</v>
      </c>
      <c r="M286" s="6">
        <v>20</v>
      </c>
      <c r="N286" s="7">
        <v>8.8</v>
      </c>
      <c r="O286" s="6" t="s">
        <v>201</v>
      </c>
      <c r="P286" s="6" t="s">
        <v>303</v>
      </c>
      <c r="Q286" s="6" t="s">
        <v>546</v>
      </c>
      <c r="R286" s="6" t="s">
        <v>547</v>
      </c>
      <c r="S286" s="6"/>
    </row>
    <row r="287" ht="15" customHeight="1" spans="1:19" x14ac:dyDescent="0.25">
      <c r="A287" s="6" t="s">
        <v>552</v>
      </c>
      <c r="B287" s="6" t="s">
        <v>61</v>
      </c>
      <c r="C287" s="6" t="s">
        <v>114</v>
      </c>
      <c r="D287" s="6" t="s">
        <v>171</v>
      </c>
      <c r="E287" s="6">
        <v>6</v>
      </c>
      <c r="F287" s="7">
        <v>5</v>
      </c>
      <c r="G287" s="7">
        <v>0</v>
      </c>
      <c r="H287" s="7">
        <v>29.8</v>
      </c>
      <c r="I287" s="7">
        <v>0.6</v>
      </c>
      <c r="J287" s="7">
        <v>1.2</v>
      </c>
      <c r="K287" s="7">
        <v>2</v>
      </c>
      <c r="L287" s="6">
        <v>42</v>
      </c>
      <c r="M287" s="6">
        <v>20</v>
      </c>
      <c r="N287" s="7">
        <v>8.8</v>
      </c>
      <c r="O287" s="6" t="s">
        <v>201</v>
      </c>
      <c r="P287" s="6" t="s">
        <v>303</v>
      </c>
      <c r="Q287" s="6" t="s">
        <v>546</v>
      </c>
      <c r="R287" s="6" t="s">
        <v>547</v>
      </c>
      <c r="S287" s="6"/>
    </row>
    <row r="288" ht="15" customHeight="1" spans="1:19" x14ac:dyDescent="0.25">
      <c r="A288" s="6" t="s">
        <v>553</v>
      </c>
      <c r="B288" s="6" t="s">
        <v>61</v>
      </c>
      <c r="C288" s="6" t="s">
        <v>114</v>
      </c>
      <c r="D288" s="6" t="s">
        <v>171</v>
      </c>
      <c r="E288" s="6">
        <v>7</v>
      </c>
      <c r="F288" s="7">
        <v>5.6</v>
      </c>
      <c r="G288" s="7">
        <v>0</v>
      </c>
      <c r="H288" s="7">
        <v>29.8</v>
      </c>
      <c r="I288" s="7">
        <v>0.6</v>
      </c>
      <c r="J288" s="7">
        <v>1.2</v>
      </c>
      <c r="K288" s="7">
        <v>2</v>
      </c>
      <c r="L288" s="6">
        <v>42</v>
      </c>
      <c r="M288" s="6">
        <v>20</v>
      </c>
      <c r="N288" s="7">
        <v>8.8</v>
      </c>
      <c r="O288" s="6" t="s">
        <v>201</v>
      </c>
      <c r="P288" s="6" t="s">
        <v>303</v>
      </c>
      <c r="Q288" s="6" t="s">
        <v>546</v>
      </c>
      <c r="R288" s="6" t="s">
        <v>547</v>
      </c>
      <c r="S288" s="6"/>
    </row>
    <row r="289" ht="15" customHeight="1" spans="1:19" x14ac:dyDescent="0.25">
      <c r="A289" s="6" t="s">
        <v>554</v>
      </c>
      <c r="B289" s="6" t="s">
        <v>61</v>
      </c>
      <c r="C289" s="6" t="s">
        <v>114</v>
      </c>
      <c r="D289" s="6" t="s">
        <v>171</v>
      </c>
      <c r="E289" s="6">
        <v>8</v>
      </c>
      <c r="F289" s="7">
        <v>6.2</v>
      </c>
      <c r="G289" s="7">
        <v>0</v>
      </c>
      <c r="H289" s="7">
        <v>29.8</v>
      </c>
      <c r="I289" s="7">
        <v>0.6</v>
      </c>
      <c r="J289" s="7">
        <v>1.2</v>
      </c>
      <c r="K289" s="7">
        <v>2</v>
      </c>
      <c r="L289" s="6">
        <v>42</v>
      </c>
      <c r="M289" s="6">
        <v>20</v>
      </c>
      <c r="N289" s="7">
        <v>8.8</v>
      </c>
      <c r="O289" s="6" t="s">
        <v>201</v>
      </c>
      <c r="P289" s="6" t="s">
        <v>303</v>
      </c>
      <c r="Q289" s="6" t="s">
        <v>546</v>
      </c>
      <c r="R289" s="6" t="s">
        <v>547</v>
      </c>
      <c r="S289" s="6"/>
    </row>
    <row r="290" ht="15" customHeight="1" spans="1:19" x14ac:dyDescent="0.25">
      <c r="A290" s="6" t="s">
        <v>555</v>
      </c>
      <c r="B290" s="6" t="s">
        <v>61</v>
      </c>
      <c r="C290" s="6" t="s">
        <v>114</v>
      </c>
      <c r="D290" s="6" t="s">
        <v>171</v>
      </c>
      <c r="E290" s="6">
        <v>9</v>
      </c>
      <c r="F290" s="7">
        <v>6.8</v>
      </c>
      <c r="G290" s="7">
        <v>0</v>
      </c>
      <c r="H290" s="7">
        <v>29.8</v>
      </c>
      <c r="I290" s="7">
        <v>0.6</v>
      </c>
      <c r="J290" s="7">
        <v>1.2</v>
      </c>
      <c r="K290" s="7">
        <v>2</v>
      </c>
      <c r="L290" s="6">
        <v>42</v>
      </c>
      <c r="M290" s="6">
        <v>20</v>
      </c>
      <c r="N290" s="7">
        <v>8.8</v>
      </c>
      <c r="O290" s="6" t="s">
        <v>201</v>
      </c>
      <c r="P290" s="6" t="s">
        <v>303</v>
      </c>
      <c r="Q290" s="6" t="s">
        <v>546</v>
      </c>
      <c r="R290" s="6" t="s">
        <v>547</v>
      </c>
      <c r="S290" s="6"/>
    </row>
    <row r="291" ht="15" customHeight="1" spans="1:19" x14ac:dyDescent="0.25">
      <c r="A291" s="6" t="s">
        <v>556</v>
      </c>
      <c r="B291" s="6" t="s">
        <v>61</v>
      </c>
      <c r="C291" s="6" t="s">
        <v>114</v>
      </c>
      <c r="D291" s="6" t="s">
        <v>171</v>
      </c>
      <c r="E291" s="6">
        <v>10</v>
      </c>
      <c r="F291" s="7">
        <v>7.4</v>
      </c>
      <c r="G291" s="7">
        <v>0</v>
      </c>
      <c r="H291" s="7">
        <v>29.8</v>
      </c>
      <c r="I291" s="7">
        <v>0.6</v>
      </c>
      <c r="J291" s="7">
        <v>1.2</v>
      </c>
      <c r="K291" s="7">
        <v>2</v>
      </c>
      <c r="L291" s="6">
        <v>42</v>
      </c>
      <c r="M291" s="6">
        <v>20</v>
      </c>
      <c r="N291" s="7">
        <v>8.8</v>
      </c>
      <c r="O291" s="6" t="s">
        <v>201</v>
      </c>
      <c r="P291" s="6" t="s">
        <v>303</v>
      </c>
      <c r="Q291" s="6" t="s">
        <v>546</v>
      </c>
      <c r="R291" s="6" t="s">
        <v>547</v>
      </c>
      <c r="S291" s="6"/>
    </row>
    <row r="292" ht="15" customHeight="1" spans="1:19" x14ac:dyDescent="0.25">
      <c r="A292" s="6" t="s">
        <v>557</v>
      </c>
      <c r="B292" s="6" t="s">
        <v>61</v>
      </c>
      <c r="C292" s="6" t="s">
        <v>114</v>
      </c>
      <c r="D292" s="6" t="s">
        <v>171</v>
      </c>
      <c r="E292" s="6">
        <v>11</v>
      </c>
      <c r="F292" s="7">
        <v>8</v>
      </c>
      <c r="G292" s="7">
        <v>0</v>
      </c>
      <c r="H292" s="7">
        <v>29.8</v>
      </c>
      <c r="I292" s="7">
        <v>0.6</v>
      </c>
      <c r="J292" s="7">
        <v>1.2</v>
      </c>
      <c r="K292" s="7">
        <v>2</v>
      </c>
      <c r="L292" s="6">
        <v>42</v>
      </c>
      <c r="M292" s="6">
        <v>20</v>
      </c>
      <c r="N292" s="7">
        <v>8.8</v>
      </c>
      <c r="O292" s="6" t="s">
        <v>201</v>
      </c>
      <c r="P292" s="6" t="s">
        <v>303</v>
      </c>
      <c r="Q292" s="6" t="s">
        <v>558</v>
      </c>
      <c r="R292" s="6" t="s">
        <v>559</v>
      </c>
      <c r="S292" s="6"/>
    </row>
    <row r="293" ht="15" customHeight="1" spans="1:19" x14ac:dyDescent="0.25">
      <c r="A293" s="6" t="s">
        <v>560</v>
      </c>
      <c r="B293" s="6" t="s">
        <v>61</v>
      </c>
      <c r="C293" s="6" t="s">
        <v>114</v>
      </c>
      <c r="D293" s="6" t="s">
        <v>171</v>
      </c>
      <c r="E293" s="6">
        <v>12</v>
      </c>
      <c r="F293" s="7">
        <v>8.6</v>
      </c>
      <c r="G293" s="7">
        <v>0</v>
      </c>
      <c r="H293" s="7">
        <v>29.8</v>
      </c>
      <c r="I293" s="7">
        <v>0.6</v>
      </c>
      <c r="J293" s="7">
        <v>1.2</v>
      </c>
      <c r="K293" s="7">
        <v>2</v>
      </c>
      <c r="L293" s="6">
        <v>42</v>
      </c>
      <c r="M293" s="6">
        <v>20</v>
      </c>
      <c r="N293" s="7">
        <v>8.8</v>
      </c>
      <c r="O293" s="6" t="s">
        <v>201</v>
      </c>
      <c r="P293" s="6" t="s">
        <v>303</v>
      </c>
      <c r="Q293" s="6" t="s">
        <v>558</v>
      </c>
      <c r="R293" s="6" t="s">
        <v>559</v>
      </c>
      <c r="S293" s="6"/>
    </row>
    <row r="294" ht="15" customHeight="1" spans="1:19" x14ac:dyDescent="0.25">
      <c r="A294" s="6" t="s">
        <v>561</v>
      </c>
      <c r="B294" s="6" t="s">
        <v>61</v>
      </c>
      <c r="C294" s="6" t="s">
        <v>114</v>
      </c>
      <c r="D294" s="6" t="s">
        <v>171</v>
      </c>
      <c r="E294" s="6">
        <v>13</v>
      </c>
      <c r="F294" s="7">
        <v>9.2</v>
      </c>
      <c r="G294" s="7">
        <v>0</v>
      </c>
      <c r="H294" s="7">
        <v>29.8</v>
      </c>
      <c r="I294" s="7">
        <v>0.6</v>
      </c>
      <c r="J294" s="7">
        <v>1.2</v>
      </c>
      <c r="K294" s="7">
        <v>2</v>
      </c>
      <c r="L294" s="6">
        <v>42</v>
      </c>
      <c r="M294" s="6">
        <v>20</v>
      </c>
      <c r="N294" s="7">
        <v>8.8</v>
      </c>
      <c r="O294" s="6" t="s">
        <v>201</v>
      </c>
      <c r="P294" s="6" t="s">
        <v>303</v>
      </c>
      <c r="Q294" s="6" t="s">
        <v>558</v>
      </c>
      <c r="R294" s="6" t="s">
        <v>559</v>
      </c>
      <c r="S294" s="6"/>
    </row>
    <row r="295" ht="15" customHeight="1" spans="1:19" x14ac:dyDescent="0.25">
      <c r="A295" s="6" t="s">
        <v>562</v>
      </c>
      <c r="B295" s="6" t="s">
        <v>61</v>
      </c>
      <c r="C295" s="6" t="s">
        <v>114</v>
      </c>
      <c r="D295" s="6" t="s">
        <v>171</v>
      </c>
      <c r="E295" s="6">
        <v>14</v>
      </c>
      <c r="F295" s="7">
        <v>9.8</v>
      </c>
      <c r="G295" s="7">
        <v>0</v>
      </c>
      <c r="H295" s="7">
        <v>29.8</v>
      </c>
      <c r="I295" s="7">
        <v>0.6</v>
      </c>
      <c r="J295" s="7">
        <v>1.2</v>
      </c>
      <c r="K295" s="7">
        <v>2</v>
      </c>
      <c r="L295" s="6">
        <v>42</v>
      </c>
      <c r="M295" s="6">
        <v>20</v>
      </c>
      <c r="N295" s="7">
        <v>8.6</v>
      </c>
      <c r="O295" s="6" t="s">
        <v>201</v>
      </c>
      <c r="P295" s="6" t="s">
        <v>303</v>
      </c>
      <c r="Q295" s="6" t="s">
        <v>558</v>
      </c>
      <c r="R295" s="6" t="s">
        <v>559</v>
      </c>
      <c r="S295" s="6"/>
    </row>
    <row r="296" ht="15" customHeight="1" spans="1:19" x14ac:dyDescent="0.25">
      <c r="A296" s="6" t="s">
        <v>563</v>
      </c>
      <c r="B296" s="6" t="s">
        <v>61</v>
      </c>
      <c r="C296" s="6" t="s">
        <v>114</v>
      </c>
      <c r="D296" s="6" t="s">
        <v>171</v>
      </c>
      <c r="E296" s="6">
        <v>15</v>
      </c>
      <c r="F296" s="7">
        <v>10.4</v>
      </c>
      <c r="G296" s="7">
        <v>0</v>
      </c>
      <c r="H296" s="7">
        <v>29.8</v>
      </c>
      <c r="I296" s="7">
        <v>0.6</v>
      </c>
      <c r="J296" s="7">
        <v>1.2</v>
      </c>
      <c r="K296" s="7">
        <v>2</v>
      </c>
      <c r="L296" s="6">
        <v>42</v>
      </c>
      <c r="M296" s="6">
        <v>20</v>
      </c>
      <c r="N296" s="7">
        <v>0</v>
      </c>
      <c r="O296" s="6" t="s">
        <v>225</v>
      </c>
      <c r="P296" s="6"/>
      <c r="Q296" s="6" t="s">
        <v>558</v>
      </c>
      <c r="R296" s="6" t="s">
        <v>559</v>
      </c>
      <c r="S296" s="6"/>
    </row>
    <row r="297" ht="15" customHeight="1" spans="1:19" x14ac:dyDescent="0.25">
      <c r="A297" s="6" t="s">
        <v>564</v>
      </c>
      <c r="B297" s="6" t="s">
        <v>61</v>
      </c>
      <c r="C297" s="6" t="s">
        <v>114</v>
      </c>
      <c r="D297" s="6" t="s">
        <v>171</v>
      </c>
      <c r="E297" s="6">
        <v>16</v>
      </c>
      <c r="F297" s="7">
        <v>11</v>
      </c>
      <c r="G297" s="7">
        <v>0</v>
      </c>
      <c r="H297" s="7">
        <v>29.8</v>
      </c>
      <c r="I297" s="7">
        <v>0.6</v>
      </c>
      <c r="J297" s="7">
        <v>1.2</v>
      </c>
      <c r="K297" s="7">
        <v>2</v>
      </c>
      <c r="L297" s="6">
        <v>42</v>
      </c>
      <c r="M297" s="6">
        <v>20</v>
      </c>
      <c r="N297" s="7">
        <v>0</v>
      </c>
      <c r="O297" s="6" t="s">
        <v>225</v>
      </c>
      <c r="P297" s="6"/>
      <c r="Q297" s="6" t="s">
        <v>558</v>
      </c>
      <c r="R297" s="6" t="s">
        <v>559</v>
      </c>
      <c r="S297" s="6"/>
    </row>
    <row r="298" ht="15" customHeight="1" spans="1:19" x14ac:dyDescent="0.25">
      <c r="A298" s="6" t="s">
        <v>565</v>
      </c>
      <c r="B298" s="6" t="s">
        <v>61</v>
      </c>
      <c r="C298" s="6" t="s">
        <v>114</v>
      </c>
      <c r="D298" s="6" t="s">
        <v>171</v>
      </c>
      <c r="E298" s="6">
        <v>17</v>
      </c>
      <c r="F298" s="7">
        <v>11.6</v>
      </c>
      <c r="G298" s="7">
        <v>0</v>
      </c>
      <c r="H298" s="7">
        <v>29.8</v>
      </c>
      <c r="I298" s="7">
        <v>0.6</v>
      </c>
      <c r="J298" s="7">
        <v>1.2</v>
      </c>
      <c r="K298" s="7">
        <v>2</v>
      </c>
      <c r="L298" s="6">
        <v>42</v>
      </c>
      <c r="M298" s="6">
        <v>20</v>
      </c>
      <c r="N298" s="7">
        <v>0</v>
      </c>
      <c r="O298" s="6" t="s">
        <v>225</v>
      </c>
      <c r="P298" s="6"/>
      <c r="Q298" s="6" t="s">
        <v>558</v>
      </c>
      <c r="R298" s="6" t="s">
        <v>559</v>
      </c>
      <c r="S298" s="6"/>
    </row>
    <row r="299" ht="15" customHeight="1" spans="1:19" x14ac:dyDescent="0.25">
      <c r="A299" s="6" t="s">
        <v>566</v>
      </c>
      <c r="B299" s="6" t="s">
        <v>61</v>
      </c>
      <c r="C299" s="6" t="s">
        <v>114</v>
      </c>
      <c r="D299" s="6" t="s">
        <v>171</v>
      </c>
      <c r="E299" s="6">
        <v>18</v>
      </c>
      <c r="F299" s="7">
        <v>12.2</v>
      </c>
      <c r="G299" s="7">
        <v>0</v>
      </c>
      <c r="H299" s="7">
        <v>29.8</v>
      </c>
      <c r="I299" s="7">
        <v>0.6</v>
      </c>
      <c r="J299" s="7">
        <v>1.2</v>
      </c>
      <c r="K299" s="7">
        <v>2</v>
      </c>
      <c r="L299" s="6">
        <v>42</v>
      </c>
      <c r="M299" s="6">
        <v>20</v>
      </c>
      <c r="N299" s="7">
        <v>0</v>
      </c>
      <c r="O299" s="6" t="s">
        <v>225</v>
      </c>
      <c r="P299" s="6"/>
      <c r="Q299" s="6" t="s">
        <v>558</v>
      </c>
      <c r="R299" s="6" t="s">
        <v>559</v>
      </c>
      <c r="S299" s="6"/>
    </row>
    <row r="300" ht="15" customHeight="1" spans="1:19" x14ac:dyDescent="0.25">
      <c r="A300" s="6" t="s">
        <v>567</v>
      </c>
      <c r="B300" s="6" t="s">
        <v>61</v>
      </c>
      <c r="C300" s="6" t="s">
        <v>114</v>
      </c>
      <c r="D300" s="6" t="s">
        <v>171</v>
      </c>
      <c r="E300" s="6">
        <v>19</v>
      </c>
      <c r="F300" s="7">
        <v>12.8</v>
      </c>
      <c r="G300" s="7">
        <v>0</v>
      </c>
      <c r="H300" s="7">
        <v>29.8</v>
      </c>
      <c r="I300" s="7">
        <v>0.6</v>
      </c>
      <c r="J300" s="7">
        <v>1.2</v>
      </c>
      <c r="K300" s="7">
        <v>2</v>
      </c>
      <c r="L300" s="6">
        <v>42</v>
      </c>
      <c r="M300" s="6">
        <v>20</v>
      </c>
      <c r="N300" s="7">
        <v>0</v>
      </c>
      <c r="O300" s="6" t="s">
        <v>225</v>
      </c>
      <c r="P300" s="6"/>
      <c r="Q300" s="6" t="s">
        <v>558</v>
      </c>
      <c r="R300" s="6" t="s">
        <v>559</v>
      </c>
      <c r="S300" s="6"/>
    </row>
    <row r="301" ht="15" customHeight="1" spans="1:19" x14ac:dyDescent="0.25">
      <c r="A301" s="6" t="s">
        <v>568</v>
      </c>
      <c r="B301" s="6" t="s">
        <v>61</v>
      </c>
      <c r="C301" s="6" t="s">
        <v>114</v>
      </c>
      <c r="D301" s="6" t="s">
        <v>171</v>
      </c>
      <c r="E301" s="6">
        <v>20</v>
      </c>
      <c r="F301" s="7">
        <v>13.4</v>
      </c>
      <c r="G301" s="7">
        <v>0</v>
      </c>
      <c r="H301" s="7">
        <v>29.8</v>
      </c>
      <c r="I301" s="7">
        <v>0.6</v>
      </c>
      <c r="J301" s="7">
        <v>1.2</v>
      </c>
      <c r="K301" s="7">
        <v>2</v>
      </c>
      <c r="L301" s="6">
        <v>42</v>
      </c>
      <c r="M301" s="6">
        <v>20</v>
      </c>
      <c r="N301" s="7">
        <v>0</v>
      </c>
      <c r="O301" s="6" t="s">
        <v>225</v>
      </c>
      <c r="P301" s="6"/>
      <c r="Q301" s="6" t="s">
        <v>558</v>
      </c>
      <c r="R301" s="6" t="s">
        <v>559</v>
      </c>
      <c r="S301" s="6"/>
    </row>
    <row r="302" ht="15" customHeight="1" spans="1:19" x14ac:dyDescent="0.25">
      <c r="A302" s="6" t="s">
        <v>569</v>
      </c>
      <c r="B302" s="6" t="s">
        <v>61</v>
      </c>
      <c r="C302" s="6" t="s">
        <v>114</v>
      </c>
      <c r="D302" s="6" t="s">
        <v>172</v>
      </c>
      <c r="E302" s="6">
        <v>1</v>
      </c>
      <c r="F302" s="7">
        <v>2</v>
      </c>
      <c r="G302" s="7">
        <v>0</v>
      </c>
      <c r="H302" s="7">
        <v>32.2</v>
      </c>
      <c r="I302" s="7">
        <v>0.6</v>
      </c>
      <c r="J302" s="7">
        <v>1.2</v>
      </c>
      <c r="K302" s="7">
        <v>2</v>
      </c>
      <c r="L302" s="6">
        <v>42</v>
      </c>
      <c r="M302" s="6">
        <v>20</v>
      </c>
      <c r="N302" s="7">
        <v>9.2</v>
      </c>
      <c r="O302" s="6" t="s">
        <v>201</v>
      </c>
      <c r="P302" s="6" t="s">
        <v>328</v>
      </c>
      <c r="Q302" s="6" t="s">
        <v>570</v>
      </c>
      <c r="R302" s="6" t="s">
        <v>571</v>
      </c>
      <c r="S302" s="6"/>
    </row>
    <row r="303" ht="15" customHeight="1" spans="1:19" x14ac:dyDescent="0.25">
      <c r="A303" s="6" t="s">
        <v>572</v>
      </c>
      <c r="B303" s="6" t="s">
        <v>61</v>
      </c>
      <c r="C303" s="6" t="s">
        <v>114</v>
      </c>
      <c r="D303" s="6" t="s">
        <v>172</v>
      </c>
      <c r="E303" s="6">
        <v>2</v>
      </c>
      <c r="F303" s="7">
        <v>2.6</v>
      </c>
      <c r="G303" s="7">
        <v>0</v>
      </c>
      <c r="H303" s="7">
        <v>32.2</v>
      </c>
      <c r="I303" s="7">
        <v>0.6</v>
      </c>
      <c r="J303" s="7">
        <v>1.2</v>
      </c>
      <c r="K303" s="7">
        <v>2</v>
      </c>
      <c r="L303" s="6">
        <v>42</v>
      </c>
      <c r="M303" s="6">
        <v>20</v>
      </c>
      <c r="N303" s="7">
        <v>9.2</v>
      </c>
      <c r="O303" s="6" t="s">
        <v>201</v>
      </c>
      <c r="P303" s="6" t="s">
        <v>328</v>
      </c>
      <c r="Q303" s="6" t="s">
        <v>570</v>
      </c>
      <c r="R303" s="6" t="s">
        <v>571</v>
      </c>
      <c r="S303" s="6"/>
    </row>
    <row r="304" ht="15" customHeight="1" spans="1:19" x14ac:dyDescent="0.25">
      <c r="A304" s="6" t="s">
        <v>573</v>
      </c>
      <c r="B304" s="6" t="s">
        <v>61</v>
      </c>
      <c r="C304" s="6" t="s">
        <v>114</v>
      </c>
      <c r="D304" s="6" t="s">
        <v>172</v>
      </c>
      <c r="E304" s="6">
        <v>3</v>
      </c>
      <c r="F304" s="7">
        <v>3.2</v>
      </c>
      <c r="G304" s="7">
        <v>0</v>
      </c>
      <c r="H304" s="7">
        <v>32.2</v>
      </c>
      <c r="I304" s="7">
        <v>0.6</v>
      </c>
      <c r="J304" s="7">
        <v>1.2</v>
      </c>
      <c r="K304" s="7">
        <v>2</v>
      </c>
      <c r="L304" s="6">
        <v>42</v>
      </c>
      <c r="M304" s="6">
        <v>20</v>
      </c>
      <c r="N304" s="7">
        <v>9.2</v>
      </c>
      <c r="O304" s="6" t="s">
        <v>201</v>
      </c>
      <c r="P304" s="6" t="s">
        <v>328</v>
      </c>
      <c r="Q304" s="6" t="s">
        <v>570</v>
      </c>
      <c r="R304" s="6" t="s">
        <v>571</v>
      </c>
      <c r="S304" s="6"/>
    </row>
    <row r="305" ht="15" customHeight="1" spans="1:19" x14ac:dyDescent="0.25">
      <c r="A305" s="6" t="s">
        <v>574</v>
      </c>
      <c r="B305" s="6" t="s">
        <v>61</v>
      </c>
      <c r="C305" s="6" t="s">
        <v>114</v>
      </c>
      <c r="D305" s="6" t="s">
        <v>172</v>
      </c>
      <c r="E305" s="6">
        <v>4</v>
      </c>
      <c r="F305" s="7">
        <v>3.8</v>
      </c>
      <c r="G305" s="7">
        <v>0</v>
      </c>
      <c r="H305" s="7">
        <v>32.2</v>
      </c>
      <c r="I305" s="7">
        <v>0.6</v>
      </c>
      <c r="J305" s="7">
        <v>1.2</v>
      </c>
      <c r="K305" s="7">
        <v>2</v>
      </c>
      <c r="L305" s="6">
        <v>42</v>
      </c>
      <c r="M305" s="6">
        <v>20</v>
      </c>
      <c r="N305" s="7">
        <v>9.2</v>
      </c>
      <c r="O305" s="6" t="s">
        <v>201</v>
      </c>
      <c r="P305" s="6" t="s">
        <v>328</v>
      </c>
      <c r="Q305" s="6" t="s">
        <v>570</v>
      </c>
      <c r="R305" s="6" t="s">
        <v>571</v>
      </c>
      <c r="S305" s="6"/>
    </row>
    <row r="306" ht="15" customHeight="1" spans="1:19" x14ac:dyDescent="0.25">
      <c r="A306" s="6" t="s">
        <v>575</v>
      </c>
      <c r="B306" s="6" t="s">
        <v>61</v>
      </c>
      <c r="C306" s="6" t="s">
        <v>114</v>
      </c>
      <c r="D306" s="6" t="s">
        <v>172</v>
      </c>
      <c r="E306" s="6">
        <v>5</v>
      </c>
      <c r="F306" s="7">
        <v>4.4</v>
      </c>
      <c r="G306" s="7">
        <v>0</v>
      </c>
      <c r="H306" s="7">
        <v>32.2</v>
      </c>
      <c r="I306" s="7">
        <v>0.6</v>
      </c>
      <c r="J306" s="7">
        <v>1.2</v>
      </c>
      <c r="K306" s="7">
        <v>2</v>
      </c>
      <c r="L306" s="6">
        <v>42</v>
      </c>
      <c r="M306" s="6">
        <v>20</v>
      </c>
      <c r="N306" s="7">
        <v>9.2</v>
      </c>
      <c r="O306" s="6" t="s">
        <v>201</v>
      </c>
      <c r="P306" s="6" t="s">
        <v>328</v>
      </c>
      <c r="Q306" s="6" t="s">
        <v>570</v>
      </c>
      <c r="R306" s="6" t="s">
        <v>571</v>
      </c>
      <c r="S306" s="6"/>
    </row>
    <row r="307" ht="15" customHeight="1" spans="1:19" x14ac:dyDescent="0.25">
      <c r="A307" s="6" t="s">
        <v>576</v>
      </c>
      <c r="B307" s="6" t="s">
        <v>61</v>
      </c>
      <c r="C307" s="6" t="s">
        <v>114</v>
      </c>
      <c r="D307" s="6" t="s">
        <v>172</v>
      </c>
      <c r="E307" s="6">
        <v>6</v>
      </c>
      <c r="F307" s="7">
        <v>5</v>
      </c>
      <c r="G307" s="7">
        <v>0</v>
      </c>
      <c r="H307" s="7">
        <v>32.2</v>
      </c>
      <c r="I307" s="7">
        <v>0.6</v>
      </c>
      <c r="J307" s="7">
        <v>1.2</v>
      </c>
      <c r="K307" s="7">
        <v>2</v>
      </c>
      <c r="L307" s="6">
        <v>42</v>
      </c>
      <c r="M307" s="6">
        <v>20</v>
      </c>
      <c r="N307" s="7">
        <v>9.2</v>
      </c>
      <c r="O307" s="6" t="s">
        <v>201</v>
      </c>
      <c r="P307" s="6" t="s">
        <v>328</v>
      </c>
      <c r="Q307" s="6" t="s">
        <v>570</v>
      </c>
      <c r="R307" s="6" t="s">
        <v>571</v>
      </c>
      <c r="S307" s="6"/>
    </row>
    <row r="308" ht="15" customHeight="1" spans="1:19" x14ac:dyDescent="0.25">
      <c r="A308" s="6" t="s">
        <v>577</v>
      </c>
      <c r="B308" s="6" t="s">
        <v>61</v>
      </c>
      <c r="C308" s="6" t="s">
        <v>114</v>
      </c>
      <c r="D308" s="6" t="s">
        <v>172</v>
      </c>
      <c r="E308" s="6">
        <v>7</v>
      </c>
      <c r="F308" s="7">
        <v>5.6</v>
      </c>
      <c r="G308" s="7">
        <v>0</v>
      </c>
      <c r="H308" s="7">
        <v>32.2</v>
      </c>
      <c r="I308" s="7">
        <v>0.6</v>
      </c>
      <c r="J308" s="7">
        <v>1.2</v>
      </c>
      <c r="K308" s="7">
        <v>2</v>
      </c>
      <c r="L308" s="6">
        <v>42</v>
      </c>
      <c r="M308" s="6">
        <v>20</v>
      </c>
      <c r="N308" s="7">
        <v>9.2</v>
      </c>
      <c r="O308" s="6" t="s">
        <v>201</v>
      </c>
      <c r="P308" s="6" t="s">
        <v>328</v>
      </c>
      <c r="Q308" s="6" t="s">
        <v>570</v>
      </c>
      <c r="R308" s="6" t="s">
        <v>571</v>
      </c>
      <c r="S308" s="6"/>
    </row>
    <row r="309" ht="15" customHeight="1" spans="1:19" x14ac:dyDescent="0.25">
      <c r="A309" s="6" t="s">
        <v>578</v>
      </c>
      <c r="B309" s="6" t="s">
        <v>61</v>
      </c>
      <c r="C309" s="6" t="s">
        <v>114</v>
      </c>
      <c r="D309" s="6" t="s">
        <v>172</v>
      </c>
      <c r="E309" s="6">
        <v>8</v>
      </c>
      <c r="F309" s="7">
        <v>6.2</v>
      </c>
      <c r="G309" s="7">
        <v>0</v>
      </c>
      <c r="H309" s="7">
        <v>32.2</v>
      </c>
      <c r="I309" s="7">
        <v>0.6</v>
      </c>
      <c r="J309" s="7">
        <v>1.2</v>
      </c>
      <c r="K309" s="7">
        <v>2</v>
      </c>
      <c r="L309" s="6">
        <v>42</v>
      </c>
      <c r="M309" s="6">
        <v>20</v>
      </c>
      <c r="N309" s="7">
        <v>9.2</v>
      </c>
      <c r="O309" s="6" t="s">
        <v>201</v>
      </c>
      <c r="P309" s="6" t="s">
        <v>328</v>
      </c>
      <c r="Q309" s="6" t="s">
        <v>570</v>
      </c>
      <c r="R309" s="6" t="s">
        <v>571</v>
      </c>
      <c r="S309" s="6"/>
    </row>
    <row r="310" ht="15" customHeight="1" spans="1:19" x14ac:dyDescent="0.25">
      <c r="A310" s="6" t="s">
        <v>579</v>
      </c>
      <c r="B310" s="6" t="s">
        <v>61</v>
      </c>
      <c r="C310" s="6" t="s">
        <v>114</v>
      </c>
      <c r="D310" s="6" t="s">
        <v>172</v>
      </c>
      <c r="E310" s="6">
        <v>9</v>
      </c>
      <c r="F310" s="7">
        <v>6.8</v>
      </c>
      <c r="G310" s="7">
        <v>0</v>
      </c>
      <c r="H310" s="7">
        <v>32.2</v>
      </c>
      <c r="I310" s="7">
        <v>0.6</v>
      </c>
      <c r="J310" s="7">
        <v>1.2</v>
      </c>
      <c r="K310" s="7">
        <v>2</v>
      </c>
      <c r="L310" s="6">
        <v>42</v>
      </c>
      <c r="M310" s="6">
        <v>20</v>
      </c>
      <c r="N310" s="7">
        <v>9.2</v>
      </c>
      <c r="O310" s="6" t="s">
        <v>201</v>
      </c>
      <c r="P310" s="6" t="s">
        <v>328</v>
      </c>
      <c r="Q310" s="6" t="s">
        <v>570</v>
      </c>
      <c r="R310" s="6" t="s">
        <v>571</v>
      </c>
      <c r="S310" s="6"/>
    </row>
    <row r="311" ht="15" customHeight="1" spans="1:19" x14ac:dyDescent="0.25">
      <c r="A311" s="6" t="s">
        <v>580</v>
      </c>
      <c r="B311" s="6" t="s">
        <v>61</v>
      </c>
      <c r="C311" s="6" t="s">
        <v>114</v>
      </c>
      <c r="D311" s="6" t="s">
        <v>172</v>
      </c>
      <c r="E311" s="6">
        <v>10</v>
      </c>
      <c r="F311" s="7">
        <v>7.4</v>
      </c>
      <c r="G311" s="7">
        <v>0</v>
      </c>
      <c r="H311" s="7">
        <v>32.2</v>
      </c>
      <c r="I311" s="7">
        <v>0.6</v>
      </c>
      <c r="J311" s="7">
        <v>1.2</v>
      </c>
      <c r="K311" s="7">
        <v>2</v>
      </c>
      <c r="L311" s="6">
        <v>42</v>
      </c>
      <c r="M311" s="6">
        <v>20</v>
      </c>
      <c r="N311" s="7">
        <v>9.2</v>
      </c>
      <c r="O311" s="6" t="s">
        <v>201</v>
      </c>
      <c r="P311" s="6" t="s">
        <v>328</v>
      </c>
      <c r="Q311" s="6" t="s">
        <v>570</v>
      </c>
      <c r="R311" s="6" t="s">
        <v>571</v>
      </c>
      <c r="S311" s="6"/>
    </row>
    <row r="312" ht="15" customHeight="1" spans="1:19" x14ac:dyDescent="0.25">
      <c r="A312" s="6" t="s">
        <v>581</v>
      </c>
      <c r="B312" s="6" t="s">
        <v>61</v>
      </c>
      <c r="C312" s="6" t="s">
        <v>114</v>
      </c>
      <c r="D312" s="6" t="s">
        <v>172</v>
      </c>
      <c r="E312" s="6">
        <v>11</v>
      </c>
      <c r="F312" s="7">
        <v>8</v>
      </c>
      <c r="G312" s="7">
        <v>0</v>
      </c>
      <c r="H312" s="7">
        <v>32.2</v>
      </c>
      <c r="I312" s="7">
        <v>0.6</v>
      </c>
      <c r="J312" s="7">
        <v>1.2</v>
      </c>
      <c r="K312" s="7">
        <v>2</v>
      </c>
      <c r="L312" s="6">
        <v>42</v>
      </c>
      <c r="M312" s="6">
        <v>20</v>
      </c>
      <c r="N312" s="7">
        <v>9.2</v>
      </c>
      <c r="O312" s="6" t="s">
        <v>201</v>
      </c>
      <c r="P312" s="6" t="s">
        <v>328</v>
      </c>
      <c r="Q312" s="6" t="s">
        <v>582</v>
      </c>
      <c r="R312" s="6" t="s">
        <v>583</v>
      </c>
      <c r="S312" s="6"/>
    </row>
    <row r="313" ht="15" customHeight="1" spans="1:19" x14ac:dyDescent="0.25">
      <c r="A313" s="6" t="s">
        <v>584</v>
      </c>
      <c r="B313" s="6" t="s">
        <v>61</v>
      </c>
      <c r="C313" s="6" t="s">
        <v>114</v>
      </c>
      <c r="D313" s="6" t="s">
        <v>172</v>
      </c>
      <c r="E313" s="6">
        <v>12</v>
      </c>
      <c r="F313" s="7">
        <v>8.6</v>
      </c>
      <c r="G313" s="7">
        <v>0</v>
      </c>
      <c r="H313" s="7">
        <v>32.2</v>
      </c>
      <c r="I313" s="7">
        <v>0.6</v>
      </c>
      <c r="J313" s="7">
        <v>1.2</v>
      </c>
      <c r="K313" s="7">
        <v>2</v>
      </c>
      <c r="L313" s="6">
        <v>42</v>
      </c>
      <c r="M313" s="6">
        <v>20</v>
      </c>
      <c r="N313" s="7">
        <v>9.2</v>
      </c>
      <c r="O313" s="6" t="s">
        <v>201</v>
      </c>
      <c r="P313" s="6" t="s">
        <v>328</v>
      </c>
      <c r="Q313" s="6" t="s">
        <v>582</v>
      </c>
      <c r="R313" s="6" t="s">
        <v>583</v>
      </c>
      <c r="S313" s="6"/>
    </row>
    <row r="314" ht="15" customHeight="1" spans="1:19" x14ac:dyDescent="0.25">
      <c r="A314" s="6" t="s">
        <v>585</v>
      </c>
      <c r="B314" s="6" t="s">
        <v>61</v>
      </c>
      <c r="C314" s="6" t="s">
        <v>114</v>
      </c>
      <c r="D314" s="6" t="s">
        <v>172</v>
      </c>
      <c r="E314" s="6">
        <v>13</v>
      </c>
      <c r="F314" s="7">
        <v>9.2</v>
      </c>
      <c r="G314" s="7">
        <v>0</v>
      </c>
      <c r="H314" s="7">
        <v>32.2</v>
      </c>
      <c r="I314" s="7">
        <v>0.6</v>
      </c>
      <c r="J314" s="7">
        <v>1.2</v>
      </c>
      <c r="K314" s="7">
        <v>2</v>
      </c>
      <c r="L314" s="6">
        <v>42</v>
      </c>
      <c r="M314" s="6">
        <v>20</v>
      </c>
      <c r="N314" s="7">
        <v>9.2</v>
      </c>
      <c r="O314" s="6" t="s">
        <v>201</v>
      </c>
      <c r="P314" s="6" t="s">
        <v>328</v>
      </c>
      <c r="Q314" s="6" t="s">
        <v>582</v>
      </c>
      <c r="R314" s="6" t="s">
        <v>583</v>
      </c>
      <c r="S314" s="6"/>
    </row>
    <row r="315" ht="15" customHeight="1" spans="1:19" x14ac:dyDescent="0.25">
      <c r="A315" s="6" t="s">
        <v>586</v>
      </c>
      <c r="B315" s="6" t="s">
        <v>61</v>
      </c>
      <c r="C315" s="6" t="s">
        <v>114</v>
      </c>
      <c r="D315" s="6" t="s">
        <v>172</v>
      </c>
      <c r="E315" s="6">
        <v>14</v>
      </c>
      <c r="F315" s="7">
        <v>9.8</v>
      </c>
      <c r="G315" s="7">
        <v>0</v>
      </c>
      <c r="H315" s="7">
        <v>32.2</v>
      </c>
      <c r="I315" s="7">
        <v>0.6</v>
      </c>
      <c r="J315" s="7">
        <v>1.2</v>
      </c>
      <c r="K315" s="7">
        <v>2</v>
      </c>
      <c r="L315" s="6">
        <v>42</v>
      </c>
      <c r="M315" s="6">
        <v>20</v>
      </c>
      <c r="N315" s="7">
        <v>9.2</v>
      </c>
      <c r="O315" s="6" t="s">
        <v>201</v>
      </c>
      <c r="P315" s="6" t="s">
        <v>328</v>
      </c>
      <c r="Q315" s="6" t="s">
        <v>582</v>
      </c>
      <c r="R315" s="6" t="s">
        <v>583</v>
      </c>
      <c r="S315" s="6"/>
    </row>
    <row r="316" ht="15" customHeight="1" spans="1:19" x14ac:dyDescent="0.25">
      <c r="A316" s="6" t="s">
        <v>587</v>
      </c>
      <c r="B316" s="6" t="s">
        <v>61</v>
      </c>
      <c r="C316" s="6" t="s">
        <v>114</v>
      </c>
      <c r="D316" s="6" t="s">
        <v>172</v>
      </c>
      <c r="E316" s="6">
        <v>15</v>
      </c>
      <c r="F316" s="7">
        <v>10.4</v>
      </c>
      <c r="G316" s="7">
        <v>0</v>
      </c>
      <c r="H316" s="7">
        <v>32.2</v>
      </c>
      <c r="I316" s="7">
        <v>0.6</v>
      </c>
      <c r="J316" s="7">
        <v>1.2</v>
      </c>
      <c r="K316" s="7">
        <v>2</v>
      </c>
      <c r="L316" s="6">
        <v>42</v>
      </c>
      <c r="M316" s="6">
        <v>20</v>
      </c>
      <c r="N316" s="7">
        <v>9.2</v>
      </c>
      <c r="O316" s="6" t="s">
        <v>201</v>
      </c>
      <c r="P316" s="6" t="s">
        <v>328</v>
      </c>
      <c r="Q316" s="6" t="s">
        <v>582</v>
      </c>
      <c r="R316" s="6" t="s">
        <v>583</v>
      </c>
      <c r="S316" s="6"/>
    </row>
    <row r="317" ht="15" customHeight="1" spans="1:19" x14ac:dyDescent="0.25">
      <c r="A317" s="6" t="s">
        <v>588</v>
      </c>
      <c r="B317" s="6" t="s">
        <v>61</v>
      </c>
      <c r="C317" s="6" t="s">
        <v>114</v>
      </c>
      <c r="D317" s="6" t="s">
        <v>172</v>
      </c>
      <c r="E317" s="6">
        <v>16</v>
      </c>
      <c r="F317" s="7">
        <v>11</v>
      </c>
      <c r="G317" s="7">
        <v>0</v>
      </c>
      <c r="H317" s="7">
        <v>32.2</v>
      </c>
      <c r="I317" s="7">
        <v>0.6</v>
      </c>
      <c r="J317" s="7">
        <v>1.2</v>
      </c>
      <c r="K317" s="7">
        <v>2</v>
      </c>
      <c r="L317" s="6">
        <v>42</v>
      </c>
      <c r="M317" s="6">
        <v>20</v>
      </c>
      <c r="N317" s="7">
        <v>0</v>
      </c>
      <c r="O317" s="6" t="s">
        <v>225</v>
      </c>
      <c r="P317" s="6"/>
      <c r="Q317" s="6" t="s">
        <v>582</v>
      </c>
      <c r="R317" s="6" t="s">
        <v>583</v>
      </c>
      <c r="S317" s="6"/>
    </row>
    <row r="318" ht="15" customHeight="1" spans="1:19" x14ac:dyDescent="0.25">
      <c r="A318" s="6" t="s">
        <v>589</v>
      </c>
      <c r="B318" s="6" t="s">
        <v>61</v>
      </c>
      <c r="C318" s="6" t="s">
        <v>114</v>
      </c>
      <c r="D318" s="6" t="s">
        <v>172</v>
      </c>
      <c r="E318" s="6">
        <v>17</v>
      </c>
      <c r="F318" s="7">
        <v>11.6</v>
      </c>
      <c r="G318" s="7">
        <v>0</v>
      </c>
      <c r="H318" s="7">
        <v>32.2</v>
      </c>
      <c r="I318" s="7">
        <v>0.6</v>
      </c>
      <c r="J318" s="7">
        <v>1.2</v>
      </c>
      <c r="K318" s="7">
        <v>2</v>
      </c>
      <c r="L318" s="6">
        <v>42</v>
      </c>
      <c r="M318" s="6">
        <v>20</v>
      </c>
      <c r="N318" s="7">
        <v>0</v>
      </c>
      <c r="O318" s="6" t="s">
        <v>225</v>
      </c>
      <c r="P318" s="6"/>
      <c r="Q318" s="6" t="s">
        <v>582</v>
      </c>
      <c r="R318" s="6" t="s">
        <v>583</v>
      </c>
      <c r="S318" s="6"/>
    </row>
    <row r="319" ht="15" customHeight="1" spans="1:19" x14ac:dyDescent="0.25">
      <c r="A319" s="6" t="s">
        <v>590</v>
      </c>
      <c r="B319" s="6" t="s">
        <v>61</v>
      </c>
      <c r="C319" s="6" t="s">
        <v>114</v>
      </c>
      <c r="D319" s="6" t="s">
        <v>172</v>
      </c>
      <c r="E319" s="6">
        <v>18</v>
      </c>
      <c r="F319" s="7">
        <v>12.2</v>
      </c>
      <c r="G319" s="7">
        <v>0</v>
      </c>
      <c r="H319" s="7">
        <v>32.2</v>
      </c>
      <c r="I319" s="7">
        <v>0.6</v>
      </c>
      <c r="J319" s="7">
        <v>1.2</v>
      </c>
      <c r="K319" s="7">
        <v>2</v>
      </c>
      <c r="L319" s="6">
        <v>42</v>
      </c>
      <c r="M319" s="6">
        <v>20</v>
      </c>
      <c r="N319" s="7">
        <v>0</v>
      </c>
      <c r="O319" s="6" t="s">
        <v>225</v>
      </c>
      <c r="P319" s="6"/>
      <c r="Q319" s="6" t="s">
        <v>582</v>
      </c>
      <c r="R319" s="6" t="s">
        <v>583</v>
      </c>
      <c r="S319" s="6"/>
    </row>
    <row r="320" ht="15" customHeight="1" spans="1:19" x14ac:dyDescent="0.25">
      <c r="A320" s="6" t="s">
        <v>591</v>
      </c>
      <c r="B320" s="6" t="s">
        <v>61</v>
      </c>
      <c r="C320" s="6" t="s">
        <v>114</v>
      </c>
      <c r="D320" s="6" t="s">
        <v>172</v>
      </c>
      <c r="E320" s="6">
        <v>19</v>
      </c>
      <c r="F320" s="7">
        <v>12.8</v>
      </c>
      <c r="G320" s="7">
        <v>0</v>
      </c>
      <c r="H320" s="7">
        <v>32.2</v>
      </c>
      <c r="I320" s="7">
        <v>0.6</v>
      </c>
      <c r="J320" s="7">
        <v>1.2</v>
      </c>
      <c r="K320" s="7">
        <v>2</v>
      </c>
      <c r="L320" s="6">
        <v>42</v>
      </c>
      <c r="M320" s="6">
        <v>20</v>
      </c>
      <c r="N320" s="7">
        <v>0</v>
      </c>
      <c r="O320" s="6" t="s">
        <v>225</v>
      </c>
      <c r="P320" s="6"/>
      <c r="Q320" s="6" t="s">
        <v>582</v>
      </c>
      <c r="R320" s="6" t="s">
        <v>583</v>
      </c>
      <c r="S320" s="6"/>
    </row>
    <row r="321" ht="15" customHeight="1" spans="1:19" x14ac:dyDescent="0.25">
      <c r="A321" s="6" t="s">
        <v>592</v>
      </c>
      <c r="B321" s="6" t="s">
        <v>61</v>
      </c>
      <c r="C321" s="6" t="s">
        <v>114</v>
      </c>
      <c r="D321" s="6" t="s">
        <v>172</v>
      </c>
      <c r="E321" s="6">
        <v>20</v>
      </c>
      <c r="F321" s="7">
        <v>13.4</v>
      </c>
      <c r="G321" s="7">
        <v>0</v>
      </c>
      <c r="H321" s="7">
        <v>32.2</v>
      </c>
      <c r="I321" s="7">
        <v>0.6</v>
      </c>
      <c r="J321" s="7">
        <v>1.2</v>
      </c>
      <c r="K321" s="7">
        <v>2</v>
      </c>
      <c r="L321" s="6">
        <v>42</v>
      </c>
      <c r="M321" s="6">
        <v>20</v>
      </c>
      <c r="N321" s="7">
        <v>0</v>
      </c>
      <c r="O321" s="6" t="s">
        <v>225</v>
      </c>
      <c r="P321" s="6"/>
      <c r="Q321" s="6" t="s">
        <v>582</v>
      </c>
      <c r="R321" s="6" t="s">
        <v>583</v>
      </c>
      <c r="S321" s="6"/>
    </row>
    <row r="322" ht="15" customHeight="1" spans="1:19" x14ac:dyDescent="0.25">
      <c r="A322" s="6" t="s">
        <v>593</v>
      </c>
      <c r="B322" s="6" t="s">
        <v>61</v>
      </c>
      <c r="C322" s="6" t="s">
        <v>114</v>
      </c>
      <c r="D322" s="6" t="s">
        <v>174</v>
      </c>
      <c r="E322" s="6">
        <v>1</v>
      </c>
      <c r="F322" s="7">
        <v>2</v>
      </c>
      <c r="G322" s="7">
        <v>0</v>
      </c>
      <c r="H322" s="7">
        <v>34.6</v>
      </c>
      <c r="I322" s="7">
        <v>0.6</v>
      </c>
      <c r="J322" s="7">
        <v>1.2</v>
      </c>
      <c r="K322" s="7">
        <v>2</v>
      </c>
      <c r="L322" s="6">
        <v>42</v>
      </c>
      <c r="M322" s="6">
        <v>20</v>
      </c>
      <c r="N322" s="7">
        <v>9.1</v>
      </c>
      <c r="O322" s="6" t="s">
        <v>201</v>
      </c>
      <c r="P322" s="6" t="s">
        <v>202</v>
      </c>
      <c r="Q322" s="6" t="s">
        <v>594</v>
      </c>
      <c r="R322" s="6" t="s">
        <v>595</v>
      </c>
      <c r="S322" s="6"/>
    </row>
    <row r="323" ht="15" customHeight="1" spans="1:19" x14ac:dyDescent="0.25">
      <c r="A323" s="6" t="s">
        <v>596</v>
      </c>
      <c r="B323" s="6" t="s">
        <v>61</v>
      </c>
      <c r="C323" s="6" t="s">
        <v>114</v>
      </c>
      <c r="D323" s="6" t="s">
        <v>174</v>
      </c>
      <c r="E323" s="6">
        <v>2</v>
      </c>
      <c r="F323" s="7">
        <v>2.6</v>
      </c>
      <c r="G323" s="7">
        <v>0</v>
      </c>
      <c r="H323" s="7">
        <v>34.6</v>
      </c>
      <c r="I323" s="7">
        <v>0.6</v>
      </c>
      <c r="J323" s="7">
        <v>1.2</v>
      </c>
      <c r="K323" s="7">
        <v>2</v>
      </c>
      <c r="L323" s="6">
        <v>42</v>
      </c>
      <c r="M323" s="6">
        <v>20</v>
      </c>
      <c r="N323" s="7">
        <v>9.1</v>
      </c>
      <c r="O323" s="6" t="s">
        <v>201</v>
      </c>
      <c r="P323" s="6" t="s">
        <v>202</v>
      </c>
      <c r="Q323" s="6" t="s">
        <v>594</v>
      </c>
      <c r="R323" s="6" t="s">
        <v>595</v>
      </c>
      <c r="S323" s="6"/>
    </row>
    <row r="324" ht="15" customHeight="1" spans="1:19" x14ac:dyDescent="0.25">
      <c r="A324" s="6" t="s">
        <v>597</v>
      </c>
      <c r="B324" s="6" t="s">
        <v>61</v>
      </c>
      <c r="C324" s="6" t="s">
        <v>114</v>
      </c>
      <c r="D324" s="6" t="s">
        <v>174</v>
      </c>
      <c r="E324" s="6">
        <v>3</v>
      </c>
      <c r="F324" s="7">
        <v>3.2</v>
      </c>
      <c r="G324" s="7">
        <v>0</v>
      </c>
      <c r="H324" s="7">
        <v>34.6</v>
      </c>
      <c r="I324" s="7">
        <v>0.6</v>
      </c>
      <c r="J324" s="7">
        <v>1.2</v>
      </c>
      <c r="K324" s="7">
        <v>2</v>
      </c>
      <c r="L324" s="6">
        <v>42</v>
      </c>
      <c r="M324" s="6">
        <v>20</v>
      </c>
      <c r="N324" s="7">
        <v>9.1</v>
      </c>
      <c r="O324" s="6" t="s">
        <v>201</v>
      </c>
      <c r="P324" s="6" t="s">
        <v>202</v>
      </c>
      <c r="Q324" s="6" t="s">
        <v>594</v>
      </c>
      <c r="R324" s="6" t="s">
        <v>595</v>
      </c>
      <c r="S324" s="6"/>
    </row>
    <row r="325" ht="15" customHeight="1" spans="1:19" x14ac:dyDescent="0.25">
      <c r="A325" s="6" t="s">
        <v>598</v>
      </c>
      <c r="B325" s="6" t="s">
        <v>61</v>
      </c>
      <c r="C325" s="6" t="s">
        <v>114</v>
      </c>
      <c r="D325" s="6" t="s">
        <v>174</v>
      </c>
      <c r="E325" s="6">
        <v>4</v>
      </c>
      <c r="F325" s="7">
        <v>3.8</v>
      </c>
      <c r="G325" s="7">
        <v>0</v>
      </c>
      <c r="H325" s="7">
        <v>34.6</v>
      </c>
      <c r="I325" s="7">
        <v>0.6</v>
      </c>
      <c r="J325" s="7">
        <v>1.2</v>
      </c>
      <c r="K325" s="7">
        <v>2</v>
      </c>
      <c r="L325" s="6">
        <v>42</v>
      </c>
      <c r="M325" s="6">
        <v>20</v>
      </c>
      <c r="N325" s="7">
        <v>9.1</v>
      </c>
      <c r="O325" s="6" t="s">
        <v>201</v>
      </c>
      <c r="P325" s="6" t="s">
        <v>202</v>
      </c>
      <c r="Q325" s="6" t="s">
        <v>594</v>
      </c>
      <c r="R325" s="6" t="s">
        <v>595</v>
      </c>
      <c r="S325" s="6"/>
    </row>
    <row r="326" ht="15" customHeight="1" spans="1:19" x14ac:dyDescent="0.25">
      <c r="A326" s="6" t="s">
        <v>599</v>
      </c>
      <c r="B326" s="6" t="s">
        <v>61</v>
      </c>
      <c r="C326" s="6" t="s">
        <v>114</v>
      </c>
      <c r="D326" s="6" t="s">
        <v>174</v>
      </c>
      <c r="E326" s="6">
        <v>5</v>
      </c>
      <c r="F326" s="7">
        <v>4.4</v>
      </c>
      <c r="G326" s="7">
        <v>0</v>
      </c>
      <c r="H326" s="7">
        <v>34.6</v>
      </c>
      <c r="I326" s="7">
        <v>0.6</v>
      </c>
      <c r="J326" s="7">
        <v>1.2</v>
      </c>
      <c r="K326" s="7">
        <v>2</v>
      </c>
      <c r="L326" s="6">
        <v>42</v>
      </c>
      <c r="M326" s="6">
        <v>20</v>
      </c>
      <c r="N326" s="7">
        <v>9.1</v>
      </c>
      <c r="O326" s="6" t="s">
        <v>201</v>
      </c>
      <c r="P326" s="6" t="s">
        <v>202</v>
      </c>
      <c r="Q326" s="6" t="s">
        <v>594</v>
      </c>
      <c r="R326" s="6" t="s">
        <v>595</v>
      </c>
      <c r="S326" s="6"/>
    </row>
    <row r="327" ht="15" customHeight="1" spans="1:19" x14ac:dyDescent="0.25">
      <c r="A327" s="6" t="s">
        <v>600</v>
      </c>
      <c r="B327" s="6" t="s">
        <v>61</v>
      </c>
      <c r="C327" s="6" t="s">
        <v>114</v>
      </c>
      <c r="D327" s="6" t="s">
        <v>174</v>
      </c>
      <c r="E327" s="6">
        <v>6</v>
      </c>
      <c r="F327" s="7">
        <v>5</v>
      </c>
      <c r="G327" s="7">
        <v>0</v>
      </c>
      <c r="H327" s="7">
        <v>34.6</v>
      </c>
      <c r="I327" s="7">
        <v>0.6</v>
      </c>
      <c r="J327" s="7">
        <v>1.2</v>
      </c>
      <c r="K327" s="7">
        <v>2</v>
      </c>
      <c r="L327" s="6">
        <v>42</v>
      </c>
      <c r="M327" s="6">
        <v>20</v>
      </c>
      <c r="N327" s="7">
        <v>9.1</v>
      </c>
      <c r="O327" s="6" t="s">
        <v>201</v>
      </c>
      <c r="P327" s="6" t="s">
        <v>202</v>
      </c>
      <c r="Q327" s="6" t="s">
        <v>594</v>
      </c>
      <c r="R327" s="6" t="s">
        <v>595</v>
      </c>
      <c r="S327" s="6"/>
    </row>
    <row r="328" ht="15" customHeight="1" spans="1:19" x14ac:dyDescent="0.25">
      <c r="A328" s="6" t="s">
        <v>601</v>
      </c>
      <c r="B328" s="6" t="s">
        <v>61</v>
      </c>
      <c r="C328" s="6" t="s">
        <v>114</v>
      </c>
      <c r="D328" s="6" t="s">
        <v>174</v>
      </c>
      <c r="E328" s="6">
        <v>7</v>
      </c>
      <c r="F328" s="7">
        <v>5.6</v>
      </c>
      <c r="G328" s="7">
        <v>0</v>
      </c>
      <c r="H328" s="7">
        <v>34.6</v>
      </c>
      <c r="I328" s="7">
        <v>0.6</v>
      </c>
      <c r="J328" s="7">
        <v>1.2</v>
      </c>
      <c r="K328" s="7">
        <v>2</v>
      </c>
      <c r="L328" s="6">
        <v>42</v>
      </c>
      <c r="M328" s="6">
        <v>20</v>
      </c>
      <c r="N328" s="7">
        <v>9.1</v>
      </c>
      <c r="O328" s="6" t="s">
        <v>201</v>
      </c>
      <c r="P328" s="6" t="s">
        <v>202</v>
      </c>
      <c r="Q328" s="6" t="s">
        <v>594</v>
      </c>
      <c r="R328" s="6" t="s">
        <v>595</v>
      </c>
      <c r="S328" s="6"/>
    </row>
    <row r="329" ht="15" customHeight="1" spans="1:19" x14ac:dyDescent="0.25">
      <c r="A329" s="6" t="s">
        <v>602</v>
      </c>
      <c r="B329" s="6" t="s">
        <v>61</v>
      </c>
      <c r="C329" s="6" t="s">
        <v>114</v>
      </c>
      <c r="D329" s="6" t="s">
        <v>174</v>
      </c>
      <c r="E329" s="6">
        <v>8</v>
      </c>
      <c r="F329" s="7">
        <v>6.2</v>
      </c>
      <c r="G329" s="7">
        <v>0</v>
      </c>
      <c r="H329" s="7">
        <v>34.6</v>
      </c>
      <c r="I329" s="7">
        <v>0.6</v>
      </c>
      <c r="J329" s="7">
        <v>1.2</v>
      </c>
      <c r="K329" s="7">
        <v>2</v>
      </c>
      <c r="L329" s="6">
        <v>42</v>
      </c>
      <c r="M329" s="6">
        <v>20</v>
      </c>
      <c r="N329" s="7">
        <v>9.1</v>
      </c>
      <c r="O329" s="6" t="s">
        <v>201</v>
      </c>
      <c r="P329" s="6" t="s">
        <v>202</v>
      </c>
      <c r="Q329" s="6" t="s">
        <v>594</v>
      </c>
      <c r="R329" s="6" t="s">
        <v>595</v>
      </c>
      <c r="S329" s="6"/>
    </row>
    <row r="330" ht="15" customHeight="1" spans="1:19" x14ac:dyDescent="0.25">
      <c r="A330" s="6" t="s">
        <v>603</v>
      </c>
      <c r="B330" s="6" t="s">
        <v>61</v>
      </c>
      <c r="C330" s="6" t="s">
        <v>114</v>
      </c>
      <c r="D330" s="6" t="s">
        <v>174</v>
      </c>
      <c r="E330" s="6">
        <v>9</v>
      </c>
      <c r="F330" s="7">
        <v>6.8</v>
      </c>
      <c r="G330" s="7">
        <v>0</v>
      </c>
      <c r="H330" s="7">
        <v>34.6</v>
      </c>
      <c r="I330" s="7">
        <v>0.6</v>
      </c>
      <c r="J330" s="7">
        <v>1.2</v>
      </c>
      <c r="K330" s="7">
        <v>2</v>
      </c>
      <c r="L330" s="6">
        <v>42</v>
      </c>
      <c r="M330" s="6">
        <v>20</v>
      </c>
      <c r="N330" s="7">
        <v>9.1</v>
      </c>
      <c r="O330" s="6" t="s">
        <v>201</v>
      </c>
      <c r="P330" s="6" t="s">
        <v>202</v>
      </c>
      <c r="Q330" s="6" t="s">
        <v>594</v>
      </c>
      <c r="R330" s="6" t="s">
        <v>595</v>
      </c>
      <c r="S330" s="6"/>
    </row>
    <row r="331" ht="15" customHeight="1" spans="1:19" x14ac:dyDescent="0.25">
      <c r="A331" s="6" t="s">
        <v>604</v>
      </c>
      <c r="B331" s="6" t="s">
        <v>61</v>
      </c>
      <c r="C331" s="6" t="s">
        <v>114</v>
      </c>
      <c r="D331" s="6" t="s">
        <v>174</v>
      </c>
      <c r="E331" s="6">
        <v>10</v>
      </c>
      <c r="F331" s="7">
        <v>7.4</v>
      </c>
      <c r="G331" s="7">
        <v>0</v>
      </c>
      <c r="H331" s="7">
        <v>34.6</v>
      </c>
      <c r="I331" s="7">
        <v>0.6</v>
      </c>
      <c r="J331" s="7">
        <v>1.2</v>
      </c>
      <c r="K331" s="7">
        <v>2</v>
      </c>
      <c r="L331" s="6">
        <v>42</v>
      </c>
      <c r="M331" s="6">
        <v>20</v>
      </c>
      <c r="N331" s="7">
        <v>9.1</v>
      </c>
      <c r="O331" s="6" t="s">
        <v>201</v>
      </c>
      <c r="P331" s="6" t="s">
        <v>202</v>
      </c>
      <c r="Q331" s="6" t="s">
        <v>594</v>
      </c>
      <c r="R331" s="6" t="s">
        <v>595</v>
      </c>
      <c r="S331" s="6"/>
    </row>
    <row r="332" ht="15" customHeight="1" spans="1:19" x14ac:dyDescent="0.25">
      <c r="A332" s="6" t="s">
        <v>605</v>
      </c>
      <c r="B332" s="6" t="s">
        <v>61</v>
      </c>
      <c r="C332" s="6" t="s">
        <v>114</v>
      </c>
      <c r="D332" s="6" t="s">
        <v>174</v>
      </c>
      <c r="E332" s="6">
        <v>11</v>
      </c>
      <c r="F332" s="7">
        <v>8</v>
      </c>
      <c r="G332" s="7">
        <v>0</v>
      </c>
      <c r="H332" s="7">
        <v>34.6</v>
      </c>
      <c r="I332" s="7">
        <v>0.6</v>
      </c>
      <c r="J332" s="7">
        <v>1.2</v>
      </c>
      <c r="K332" s="7">
        <v>2</v>
      </c>
      <c r="L332" s="6">
        <v>42</v>
      </c>
      <c r="M332" s="6">
        <v>20</v>
      </c>
      <c r="N332" s="7">
        <v>9.1</v>
      </c>
      <c r="O332" s="6" t="s">
        <v>201</v>
      </c>
      <c r="P332" s="6" t="s">
        <v>202</v>
      </c>
      <c r="Q332" s="6" t="s">
        <v>606</v>
      </c>
      <c r="R332" s="6" t="s">
        <v>607</v>
      </c>
      <c r="S332" s="6"/>
    </row>
    <row r="333" ht="15" customHeight="1" spans="1:19" x14ac:dyDescent="0.25">
      <c r="A333" s="6" t="s">
        <v>608</v>
      </c>
      <c r="B333" s="6" t="s">
        <v>61</v>
      </c>
      <c r="C333" s="6" t="s">
        <v>114</v>
      </c>
      <c r="D333" s="6" t="s">
        <v>174</v>
      </c>
      <c r="E333" s="6">
        <v>12</v>
      </c>
      <c r="F333" s="7">
        <v>8.6</v>
      </c>
      <c r="G333" s="7">
        <v>0</v>
      </c>
      <c r="H333" s="7">
        <v>34.6</v>
      </c>
      <c r="I333" s="7">
        <v>0.6</v>
      </c>
      <c r="J333" s="7">
        <v>1.2</v>
      </c>
      <c r="K333" s="7">
        <v>2</v>
      </c>
      <c r="L333" s="6">
        <v>42</v>
      </c>
      <c r="M333" s="6">
        <v>20</v>
      </c>
      <c r="N333" s="7">
        <v>9.1</v>
      </c>
      <c r="O333" s="6" t="s">
        <v>201</v>
      </c>
      <c r="P333" s="6" t="s">
        <v>202</v>
      </c>
      <c r="Q333" s="6" t="s">
        <v>606</v>
      </c>
      <c r="R333" s="6" t="s">
        <v>607</v>
      </c>
      <c r="S333" s="6"/>
    </row>
    <row r="334" ht="15" customHeight="1" spans="1:19" x14ac:dyDescent="0.25">
      <c r="A334" s="6" t="s">
        <v>609</v>
      </c>
      <c r="B334" s="6" t="s">
        <v>61</v>
      </c>
      <c r="C334" s="6" t="s">
        <v>114</v>
      </c>
      <c r="D334" s="6" t="s">
        <v>174</v>
      </c>
      <c r="E334" s="6">
        <v>13</v>
      </c>
      <c r="F334" s="7">
        <v>9.2</v>
      </c>
      <c r="G334" s="7">
        <v>0</v>
      </c>
      <c r="H334" s="7">
        <v>34.6</v>
      </c>
      <c r="I334" s="7">
        <v>0.6</v>
      </c>
      <c r="J334" s="7">
        <v>1.2</v>
      </c>
      <c r="K334" s="7">
        <v>2</v>
      </c>
      <c r="L334" s="6">
        <v>42</v>
      </c>
      <c r="M334" s="6">
        <v>20</v>
      </c>
      <c r="N334" s="7">
        <v>9.1</v>
      </c>
      <c r="O334" s="6" t="s">
        <v>201</v>
      </c>
      <c r="P334" s="6" t="s">
        <v>202</v>
      </c>
      <c r="Q334" s="6" t="s">
        <v>606</v>
      </c>
      <c r="R334" s="6" t="s">
        <v>607</v>
      </c>
      <c r="S334" s="6"/>
    </row>
    <row r="335" ht="15" customHeight="1" spans="1:19" x14ac:dyDescent="0.25">
      <c r="A335" s="6" t="s">
        <v>610</v>
      </c>
      <c r="B335" s="6" t="s">
        <v>61</v>
      </c>
      <c r="C335" s="6" t="s">
        <v>114</v>
      </c>
      <c r="D335" s="6" t="s">
        <v>174</v>
      </c>
      <c r="E335" s="6">
        <v>14</v>
      </c>
      <c r="F335" s="7">
        <v>9.8</v>
      </c>
      <c r="G335" s="7">
        <v>0</v>
      </c>
      <c r="H335" s="7">
        <v>34.6</v>
      </c>
      <c r="I335" s="7">
        <v>0.6</v>
      </c>
      <c r="J335" s="7">
        <v>1.2</v>
      </c>
      <c r="K335" s="7">
        <v>2</v>
      </c>
      <c r="L335" s="6">
        <v>42</v>
      </c>
      <c r="M335" s="6">
        <v>20</v>
      </c>
      <c r="N335" s="7">
        <v>9.1</v>
      </c>
      <c r="O335" s="6" t="s">
        <v>201</v>
      </c>
      <c r="P335" s="6" t="s">
        <v>202</v>
      </c>
      <c r="Q335" s="6" t="s">
        <v>606</v>
      </c>
      <c r="R335" s="6" t="s">
        <v>607</v>
      </c>
      <c r="S335" s="6"/>
    </row>
    <row r="336" ht="15" customHeight="1" spans="1:19" x14ac:dyDescent="0.25">
      <c r="A336" s="6" t="s">
        <v>611</v>
      </c>
      <c r="B336" s="6" t="s">
        <v>61</v>
      </c>
      <c r="C336" s="6" t="s">
        <v>114</v>
      </c>
      <c r="D336" s="6" t="s">
        <v>174</v>
      </c>
      <c r="E336" s="6">
        <v>15</v>
      </c>
      <c r="F336" s="7">
        <v>10.4</v>
      </c>
      <c r="G336" s="7">
        <v>0</v>
      </c>
      <c r="H336" s="7">
        <v>34.6</v>
      </c>
      <c r="I336" s="7">
        <v>0.6</v>
      </c>
      <c r="J336" s="7">
        <v>1.2</v>
      </c>
      <c r="K336" s="7">
        <v>2</v>
      </c>
      <c r="L336" s="6">
        <v>42</v>
      </c>
      <c r="M336" s="6">
        <v>20</v>
      </c>
      <c r="N336" s="7">
        <v>9.6</v>
      </c>
      <c r="O336" s="6" t="s">
        <v>201</v>
      </c>
      <c r="P336" s="6" t="s">
        <v>202</v>
      </c>
      <c r="Q336" s="6" t="s">
        <v>606</v>
      </c>
      <c r="R336" s="6" t="s">
        <v>607</v>
      </c>
      <c r="S336" s="6"/>
    </row>
    <row r="337" ht="15" customHeight="1" spans="1:19" x14ac:dyDescent="0.25">
      <c r="A337" s="6" t="s">
        <v>612</v>
      </c>
      <c r="B337" s="6" t="s">
        <v>61</v>
      </c>
      <c r="C337" s="6" t="s">
        <v>114</v>
      </c>
      <c r="D337" s="6" t="s">
        <v>174</v>
      </c>
      <c r="E337" s="6">
        <v>16</v>
      </c>
      <c r="F337" s="7">
        <v>11</v>
      </c>
      <c r="G337" s="7">
        <v>0</v>
      </c>
      <c r="H337" s="7">
        <v>34.6</v>
      </c>
      <c r="I337" s="7">
        <v>0.6</v>
      </c>
      <c r="J337" s="7">
        <v>1.2</v>
      </c>
      <c r="K337" s="7">
        <v>2</v>
      </c>
      <c r="L337" s="6">
        <v>42</v>
      </c>
      <c r="M337" s="6">
        <v>20</v>
      </c>
      <c r="N337" s="7">
        <v>0</v>
      </c>
      <c r="O337" s="6" t="s">
        <v>225</v>
      </c>
      <c r="P337" s="6"/>
      <c r="Q337" s="6" t="s">
        <v>606</v>
      </c>
      <c r="R337" s="6" t="s">
        <v>607</v>
      </c>
      <c r="S337" s="6"/>
    </row>
    <row r="338" ht="15" customHeight="1" spans="1:19" x14ac:dyDescent="0.25">
      <c r="A338" s="6" t="s">
        <v>613</v>
      </c>
      <c r="B338" s="6" t="s">
        <v>61</v>
      </c>
      <c r="C338" s="6" t="s">
        <v>114</v>
      </c>
      <c r="D338" s="6" t="s">
        <v>174</v>
      </c>
      <c r="E338" s="6">
        <v>17</v>
      </c>
      <c r="F338" s="7">
        <v>11.6</v>
      </c>
      <c r="G338" s="7">
        <v>0</v>
      </c>
      <c r="H338" s="7">
        <v>34.6</v>
      </c>
      <c r="I338" s="7">
        <v>0.6</v>
      </c>
      <c r="J338" s="7">
        <v>1.2</v>
      </c>
      <c r="K338" s="7">
        <v>2</v>
      </c>
      <c r="L338" s="6">
        <v>42</v>
      </c>
      <c r="M338" s="6">
        <v>20</v>
      </c>
      <c r="N338" s="7">
        <v>0</v>
      </c>
      <c r="O338" s="6" t="s">
        <v>225</v>
      </c>
      <c r="P338" s="6"/>
      <c r="Q338" s="6" t="s">
        <v>606</v>
      </c>
      <c r="R338" s="6" t="s">
        <v>607</v>
      </c>
      <c r="S338" s="6"/>
    </row>
    <row r="339" ht="15" customHeight="1" spans="1:19" x14ac:dyDescent="0.25">
      <c r="A339" s="6" t="s">
        <v>614</v>
      </c>
      <c r="B339" s="6" t="s">
        <v>61</v>
      </c>
      <c r="C339" s="6" t="s">
        <v>114</v>
      </c>
      <c r="D339" s="6" t="s">
        <v>174</v>
      </c>
      <c r="E339" s="6">
        <v>18</v>
      </c>
      <c r="F339" s="7">
        <v>12.2</v>
      </c>
      <c r="G339" s="7">
        <v>0</v>
      </c>
      <c r="H339" s="7">
        <v>34.6</v>
      </c>
      <c r="I339" s="7">
        <v>0.6</v>
      </c>
      <c r="J339" s="7">
        <v>1.2</v>
      </c>
      <c r="K339" s="7">
        <v>2</v>
      </c>
      <c r="L339" s="6">
        <v>42</v>
      </c>
      <c r="M339" s="6">
        <v>20</v>
      </c>
      <c r="N339" s="7">
        <v>0</v>
      </c>
      <c r="O339" s="6" t="s">
        <v>225</v>
      </c>
      <c r="P339" s="6"/>
      <c r="Q339" s="6" t="s">
        <v>606</v>
      </c>
      <c r="R339" s="6" t="s">
        <v>607</v>
      </c>
      <c r="S339" s="6"/>
    </row>
    <row r="340" ht="15" customHeight="1" spans="1:19" x14ac:dyDescent="0.25">
      <c r="A340" s="6" t="s">
        <v>615</v>
      </c>
      <c r="B340" s="6" t="s">
        <v>61</v>
      </c>
      <c r="C340" s="6" t="s">
        <v>114</v>
      </c>
      <c r="D340" s="6" t="s">
        <v>174</v>
      </c>
      <c r="E340" s="6">
        <v>19</v>
      </c>
      <c r="F340" s="7">
        <v>12.8</v>
      </c>
      <c r="G340" s="7">
        <v>0</v>
      </c>
      <c r="H340" s="7">
        <v>34.6</v>
      </c>
      <c r="I340" s="7">
        <v>0.6</v>
      </c>
      <c r="J340" s="7">
        <v>1.2</v>
      </c>
      <c r="K340" s="7">
        <v>2</v>
      </c>
      <c r="L340" s="6">
        <v>42</v>
      </c>
      <c r="M340" s="6">
        <v>20</v>
      </c>
      <c r="N340" s="7">
        <v>0</v>
      </c>
      <c r="O340" s="6" t="s">
        <v>225</v>
      </c>
      <c r="P340" s="6"/>
      <c r="Q340" s="6" t="s">
        <v>606</v>
      </c>
      <c r="R340" s="6" t="s">
        <v>607</v>
      </c>
      <c r="S340" s="6"/>
    </row>
    <row r="341" ht="15" customHeight="1" spans="1:19" x14ac:dyDescent="0.25">
      <c r="A341" s="6" t="s">
        <v>616</v>
      </c>
      <c r="B341" s="6" t="s">
        <v>61</v>
      </c>
      <c r="C341" s="6" t="s">
        <v>114</v>
      </c>
      <c r="D341" s="6" t="s">
        <v>174</v>
      </c>
      <c r="E341" s="6">
        <v>20</v>
      </c>
      <c r="F341" s="7">
        <v>13.4</v>
      </c>
      <c r="G341" s="7">
        <v>0</v>
      </c>
      <c r="H341" s="7">
        <v>34.6</v>
      </c>
      <c r="I341" s="7">
        <v>0.6</v>
      </c>
      <c r="J341" s="7">
        <v>1.2</v>
      </c>
      <c r="K341" s="7">
        <v>2</v>
      </c>
      <c r="L341" s="6">
        <v>42</v>
      </c>
      <c r="M341" s="6">
        <v>20</v>
      </c>
      <c r="N341" s="7">
        <v>0</v>
      </c>
      <c r="O341" s="6" t="s">
        <v>225</v>
      </c>
      <c r="P341" s="6"/>
      <c r="Q341" s="6" t="s">
        <v>606</v>
      </c>
      <c r="R341" s="6" t="s">
        <v>607</v>
      </c>
      <c r="S341" s="6"/>
    </row>
    <row r="342" ht="15" customHeight="1" spans="1:19" x14ac:dyDescent="0.25">
      <c r="A342" s="6" t="s">
        <v>617</v>
      </c>
      <c r="B342" s="6" t="s">
        <v>61</v>
      </c>
      <c r="C342" s="6" t="s">
        <v>114</v>
      </c>
      <c r="D342" s="6" t="s">
        <v>176</v>
      </c>
      <c r="E342" s="6">
        <v>1</v>
      </c>
      <c r="F342" s="7">
        <v>2</v>
      </c>
      <c r="G342" s="7">
        <v>0</v>
      </c>
      <c r="H342" s="7">
        <v>37</v>
      </c>
      <c r="I342" s="7">
        <v>0.6</v>
      </c>
      <c r="J342" s="7">
        <v>1.2</v>
      </c>
      <c r="K342" s="7">
        <v>2</v>
      </c>
      <c r="L342" s="6">
        <v>42</v>
      </c>
      <c r="M342" s="6">
        <v>20</v>
      </c>
      <c r="N342" s="7">
        <v>9.2</v>
      </c>
      <c r="O342" s="6" t="s">
        <v>201</v>
      </c>
      <c r="P342" s="6" t="s">
        <v>252</v>
      </c>
      <c r="Q342" s="6" t="s">
        <v>618</v>
      </c>
      <c r="R342" s="6" t="s">
        <v>619</v>
      </c>
      <c r="S342" s="6"/>
    </row>
    <row r="343" ht="15" customHeight="1" spans="1:19" x14ac:dyDescent="0.25">
      <c r="A343" s="6" t="s">
        <v>620</v>
      </c>
      <c r="B343" s="6" t="s">
        <v>61</v>
      </c>
      <c r="C343" s="6" t="s">
        <v>114</v>
      </c>
      <c r="D343" s="6" t="s">
        <v>176</v>
      </c>
      <c r="E343" s="6">
        <v>2</v>
      </c>
      <c r="F343" s="7">
        <v>2.6</v>
      </c>
      <c r="G343" s="7">
        <v>0</v>
      </c>
      <c r="H343" s="7">
        <v>37</v>
      </c>
      <c r="I343" s="7">
        <v>0.6</v>
      </c>
      <c r="J343" s="7">
        <v>1.2</v>
      </c>
      <c r="K343" s="7">
        <v>2</v>
      </c>
      <c r="L343" s="6">
        <v>42</v>
      </c>
      <c r="M343" s="6">
        <v>20</v>
      </c>
      <c r="N343" s="7">
        <v>9.2</v>
      </c>
      <c r="O343" s="6" t="s">
        <v>201</v>
      </c>
      <c r="P343" s="6" t="s">
        <v>252</v>
      </c>
      <c r="Q343" s="6" t="s">
        <v>618</v>
      </c>
      <c r="R343" s="6" t="s">
        <v>619</v>
      </c>
      <c r="S343" s="6"/>
    </row>
    <row r="344" ht="15" customHeight="1" spans="1:19" x14ac:dyDescent="0.25">
      <c r="A344" s="6" t="s">
        <v>621</v>
      </c>
      <c r="B344" s="6" t="s">
        <v>61</v>
      </c>
      <c r="C344" s="6" t="s">
        <v>114</v>
      </c>
      <c r="D344" s="6" t="s">
        <v>176</v>
      </c>
      <c r="E344" s="6">
        <v>3</v>
      </c>
      <c r="F344" s="7">
        <v>3.2</v>
      </c>
      <c r="G344" s="7">
        <v>0</v>
      </c>
      <c r="H344" s="7">
        <v>37</v>
      </c>
      <c r="I344" s="7">
        <v>0.6</v>
      </c>
      <c r="J344" s="7">
        <v>1.2</v>
      </c>
      <c r="K344" s="7">
        <v>2</v>
      </c>
      <c r="L344" s="6">
        <v>42</v>
      </c>
      <c r="M344" s="6">
        <v>20</v>
      </c>
      <c r="N344" s="7">
        <v>9.2</v>
      </c>
      <c r="O344" s="6" t="s">
        <v>201</v>
      </c>
      <c r="P344" s="6" t="s">
        <v>252</v>
      </c>
      <c r="Q344" s="6" t="s">
        <v>618</v>
      </c>
      <c r="R344" s="6" t="s">
        <v>619</v>
      </c>
      <c r="S344" s="6"/>
    </row>
    <row r="345" ht="15" customHeight="1" spans="1:19" x14ac:dyDescent="0.25">
      <c r="A345" s="6" t="s">
        <v>622</v>
      </c>
      <c r="B345" s="6" t="s">
        <v>61</v>
      </c>
      <c r="C345" s="6" t="s">
        <v>114</v>
      </c>
      <c r="D345" s="6" t="s">
        <v>176</v>
      </c>
      <c r="E345" s="6">
        <v>4</v>
      </c>
      <c r="F345" s="7">
        <v>3.8</v>
      </c>
      <c r="G345" s="7">
        <v>0</v>
      </c>
      <c r="H345" s="7">
        <v>37</v>
      </c>
      <c r="I345" s="7">
        <v>0.6</v>
      </c>
      <c r="J345" s="7">
        <v>1.2</v>
      </c>
      <c r="K345" s="7">
        <v>2</v>
      </c>
      <c r="L345" s="6">
        <v>42</v>
      </c>
      <c r="M345" s="6">
        <v>20</v>
      </c>
      <c r="N345" s="7">
        <v>9.2</v>
      </c>
      <c r="O345" s="6" t="s">
        <v>201</v>
      </c>
      <c r="P345" s="6" t="s">
        <v>252</v>
      </c>
      <c r="Q345" s="6" t="s">
        <v>618</v>
      </c>
      <c r="R345" s="6" t="s">
        <v>619</v>
      </c>
      <c r="S345" s="6"/>
    </row>
    <row r="346" ht="15" customHeight="1" spans="1:19" x14ac:dyDescent="0.25">
      <c r="A346" s="6" t="s">
        <v>623</v>
      </c>
      <c r="B346" s="6" t="s">
        <v>61</v>
      </c>
      <c r="C346" s="6" t="s">
        <v>114</v>
      </c>
      <c r="D346" s="6" t="s">
        <v>176</v>
      </c>
      <c r="E346" s="6">
        <v>5</v>
      </c>
      <c r="F346" s="7">
        <v>4.4</v>
      </c>
      <c r="G346" s="7">
        <v>0</v>
      </c>
      <c r="H346" s="7">
        <v>37</v>
      </c>
      <c r="I346" s="7">
        <v>0.6</v>
      </c>
      <c r="J346" s="7">
        <v>1.2</v>
      </c>
      <c r="K346" s="7">
        <v>2</v>
      </c>
      <c r="L346" s="6">
        <v>42</v>
      </c>
      <c r="M346" s="6">
        <v>20</v>
      </c>
      <c r="N346" s="7">
        <v>9.2</v>
      </c>
      <c r="O346" s="6" t="s">
        <v>201</v>
      </c>
      <c r="P346" s="6" t="s">
        <v>252</v>
      </c>
      <c r="Q346" s="6" t="s">
        <v>618</v>
      </c>
      <c r="R346" s="6" t="s">
        <v>619</v>
      </c>
      <c r="S346" s="6"/>
    </row>
    <row r="347" ht="15" customHeight="1" spans="1:19" x14ac:dyDescent="0.25">
      <c r="A347" s="6" t="s">
        <v>624</v>
      </c>
      <c r="B347" s="6" t="s">
        <v>61</v>
      </c>
      <c r="C347" s="6" t="s">
        <v>114</v>
      </c>
      <c r="D347" s="6" t="s">
        <v>176</v>
      </c>
      <c r="E347" s="6">
        <v>6</v>
      </c>
      <c r="F347" s="7">
        <v>5</v>
      </c>
      <c r="G347" s="7">
        <v>0</v>
      </c>
      <c r="H347" s="7">
        <v>37</v>
      </c>
      <c r="I347" s="7">
        <v>0.6</v>
      </c>
      <c r="J347" s="7">
        <v>1.2</v>
      </c>
      <c r="K347" s="7">
        <v>2</v>
      </c>
      <c r="L347" s="6">
        <v>42</v>
      </c>
      <c r="M347" s="6">
        <v>20</v>
      </c>
      <c r="N347" s="7">
        <v>9.2</v>
      </c>
      <c r="O347" s="6" t="s">
        <v>201</v>
      </c>
      <c r="P347" s="6" t="s">
        <v>252</v>
      </c>
      <c r="Q347" s="6" t="s">
        <v>618</v>
      </c>
      <c r="R347" s="6" t="s">
        <v>619</v>
      </c>
      <c r="S347" s="6"/>
    </row>
    <row r="348" ht="15" customHeight="1" spans="1:19" x14ac:dyDescent="0.25">
      <c r="A348" s="6" t="s">
        <v>625</v>
      </c>
      <c r="B348" s="6" t="s">
        <v>61</v>
      </c>
      <c r="C348" s="6" t="s">
        <v>114</v>
      </c>
      <c r="D348" s="6" t="s">
        <v>176</v>
      </c>
      <c r="E348" s="6">
        <v>7</v>
      </c>
      <c r="F348" s="7">
        <v>5.6</v>
      </c>
      <c r="G348" s="7">
        <v>0</v>
      </c>
      <c r="H348" s="7">
        <v>37</v>
      </c>
      <c r="I348" s="7">
        <v>0.6</v>
      </c>
      <c r="J348" s="7">
        <v>1.2</v>
      </c>
      <c r="K348" s="7">
        <v>2</v>
      </c>
      <c r="L348" s="6">
        <v>42</v>
      </c>
      <c r="M348" s="6">
        <v>20</v>
      </c>
      <c r="N348" s="7">
        <v>9.2</v>
      </c>
      <c r="O348" s="6" t="s">
        <v>201</v>
      </c>
      <c r="P348" s="6" t="s">
        <v>252</v>
      </c>
      <c r="Q348" s="6" t="s">
        <v>618</v>
      </c>
      <c r="R348" s="6" t="s">
        <v>619</v>
      </c>
      <c r="S348" s="6"/>
    </row>
    <row r="349" ht="15" customHeight="1" spans="1:19" x14ac:dyDescent="0.25">
      <c r="A349" s="6" t="s">
        <v>626</v>
      </c>
      <c r="B349" s="6" t="s">
        <v>61</v>
      </c>
      <c r="C349" s="6" t="s">
        <v>114</v>
      </c>
      <c r="D349" s="6" t="s">
        <v>176</v>
      </c>
      <c r="E349" s="6">
        <v>8</v>
      </c>
      <c r="F349" s="7">
        <v>6.2</v>
      </c>
      <c r="G349" s="7">
        <v>0</v>
      </c>
      <c r="H349" s="7">
        <v>37</v>
      </c>
      <c r="I349" s="7">
        <v>0.6</v>
      </c>
      <c r="J349" s="7">
        <v>1.2</v>
      </c>
      <c r="K349" s="7">
        <v>2</v>
      </c>
      <c r="L349" s="6">
        <v>42</v>
      </c>
      <c r="M349" s="6">
        <v>20</v>
      </c>
      <c r="N349" s="7">
        <v>9.2</v>
      </c>
      <c r="O349" s="6" t="s">
        <v>201</v>
      </c>
      <c r="P349" s="6" t="s">
        <v>252</v>
      </c>
      <c r="Q349" s="6" t="s">
        <v>618</v>
      </c>
      <c r="R349" s="6" t="s">
        <v>619</v>
      </c>
      <c r="S349" s="6"/>
    </row>
    <row r="350" ht="15" customHeight="1" spans="1:19" x14ac:dyDescent="0.25">
      <c r="A350" s="6" t="s">
        <v>627</v>
      </c>
      <c r="B350" s="6" t="s">
        <v>61</v>
      </c>
      <c r="C350" s="6" t="s">
        <v>114</v>
      </c>
      <c r="D350" s="6" t="s">
        <v>176</v>
      </c>
      <c r="E350" s="6">
        <v>9</v>
      </c>
      <c r="F350" s="7">
        <v>6.8</v>
      </c>
      <c r="G350" s="7">
        <v>0</v>
      </c>
      <c r="H350" s="7">
        <v>37</v>
      </c>
      <c r="I350" s="7">
        <v>0.6</v>
      </c>
      <c r="J350" s="7">
        <v>1.2</v>
      </c>
      <c r="K350" s="7">
        <v>2</v>
      </c>
      <c r="L350" s="6">
        <v>42</v>
      </c>
      <c r="M350" s="6">
        <v>20</v>
      </c>
      <c r="N350" s="7">
        <v>9.2</v>
      </c>
      <c r="O350" s="6" t="s">
        <v>201</v>
      </c>
      <c r="P350" s="6" t="s">
        <v>252</v>
      </c>
      <c r="Q350" s="6" t="s">
        <v>618</v>
      </c>
      <c r="R350" s="6" t="s">
        <v>619</v>
      </c>
      <c r="S350" s="6"/>
    </row>
    <row r="351" ht="15" customHeight="1" spans="1:19" x14ac:dyDescent="0.25">
      <c r="A351" s="6" t="s">
        <v>628</v>
      </c>
      <c r="B351" s="6" t="s">
        <v>61</v>
      </c>
      <c r="C351" s="6" t="s">
        <v>114</v>
      </c>
      <c r="D351" s="6" t="s">
        <v>176</v>
      </c>
      <c r="E351" s="6">
        <v>10</v>
      </c>
      <c r="F351" s="7">
        <v>7.4</v>
      </c>
      <c r="G351" s="7">
        <v>0</v>
      </c>
      <c r="H351" s="7">
        <v>37</v>
      </c>
      <c r="I351" s="7">
        <v>0.6</v>
      </c>
      <c r="J351" s="7">
        <v>1.2</v>
      </c>
      <c r="K351" s="7">
        <v>2</v>
      </c>
      <c r="L351" s="6">
        <v>42</v>
      </c>
      <c r="M351" s="6">
        <v>20</v>
      </c>
      <c r="N351" s="7">
        <v>9.2</v>
      </c>
      <c r="O351" s="6" t="s">
        <v>201</v>
      </c>
      <c r="P351" s="6" t="s">
        <v>252</v>
      </c>
      <c r="Q351" s="6" t="s">
        <v>618</v>
      </c>
      <c r="R351" s="6" t="s">
        <v>619</v>
      </c>
      <c r="S351" s="6"/>
    </row>
    <row r="352" ht="15" customHeight="1" spans="1:19" x14ac:dyDescent="0.25">
      <c r="A352" s="6" t="s">
        <v>629</v>
      </c>
      <c r="B352" s="6" t="s">
        <v>61</v>
      </c>
      <c r="C352" s="6" t="s">
        <v>114</v>
      </c>
      <c r="D352" s="6" t="s">
        <v>176</v>
      </c>
      <c r="E352" s="6">
        <v>11</v>
      </c>
      <c r="F352" s="7">
        <v>8</v>
      </c>
      <c r="G352" s="7">
        <v>0</v>
      </c>
      <c r="H352" s="7">
        <v>37</v>
      </c>
      <c r="I352" s="7">
        <v>0.6</v>
      </c>
      <c r="J352" s="7">
        <v>1.2</v>
      </c>
      <c r="K352" s="7">
        <v>2</v>
      </c>
      <c r="L352" s="6">
        <v>42</v>
      </c>
      <c r="M352" s="6">
        <v>20</v>
      </c>
      <c r="N352" s="7">
        <v>9.2</v>
      </c>
      <c r="O352" s="6" t="s">
        <v>201</v>
      </c>
      <c r="P352" s="6" t="s">
        <v>252</v>
      </c>
      <c r="Q352" s="6" t="s">
        <v>630</v>
      </c>
      <c r="R352" s="6" t="s">
        <v>631</v>
      </c>
      <c r="S352" s="6"/>
    </row>
    <row r="353" ht="15" customHeight="1" spans="1:19" x14ac:dyDescent="0.25">
      <c r="A353" s="6" t="s">
        <v>632</v>
      </c>
      <c r="B353" s="6" t="s">
        <v>61</v>
      </c>
      <c r="C353" s="6" t="s">
        <v>114</v>
      </c>
      <c r="D353" s="6" t="s">
        <v>176</v>
      </c>
      <c r="E353" s="6">
        <v>12</v>
      </c>
      <c r="F353" s="7">
        <v>8.6</v>
      </c>
      <c r="G353" s="7">
        <v>0</v>
      </c>
      <c r="H353" s="7">
        <v>37</v>
      </c>
      <c r="I353" s="7">
        <v>0.6</v>
      </c>
      <c r="J353" s="7">
        <v>1.2</v>
      </c>
      <c r="K353" s="7">
        <v>2</v>
      </c>
      <c r="L353" s="6">
        <v>42</v>
      </c>
      <c r="M353" s="6">
        <v>20</v>
      </c>
      <c r="N353" s="7">
        <v>9.2</v>
      </c>
      <c r="O353" s="6" t="s">
        <v>201</v>
      </c>
      <c r="P353" s="6" t="s">
        <v>252</v>
      </c>
      <c r="Q353" s="6" t="s">
        <v>630</v>
      </c>
      <c r="R353" s="6" t="s">
        <v>631</v>
      </c>
      <c r="S353" s="6"/>
    </row>
    <row r="354" ht="15" customHeight="1" spans="1:19" x14ac:dyDescent="0.25">
      <c r="A354" s="6" t="s">
        <v>633</v>
      </c>
      <c r="B354" s="6" t="s">
        <v>61</v>
      </c>
      <c r="C354" s="6" t="s">
        <v>114</v>
      </c>
      <c r="D354" s="6" t="s">
        <v>176</v>
      </c>
      <c r="E354" s="6">
        <v>13</v>
      </c>
      <c r="F354" s="7">
        <v>9.2</v>
      </c>
      <c r="G354" s="7">
        <v>0</v>
      </c>
      <c r="H354" s="7">
        <v>37</v>
      </c>
      <c r="I354" s="7">
        <v>0.6</v>
      </c>
      <c r="J354" s="7">
        <v>1.2</v>
      </c>
      <c r="K354" s="7">
        <v>2</v>
      </c>
      <c r="L354" s="6">
        <v>42</v>
      </c>
      <c r="M354" s="6">
        <v>20</v>
      </c>
      <c r="N354" s="7">
        <v>9.2</v>
      </c>
      <c r="O354" s="6" t="s">
        <v>201</v>
      </c>
      <c r="P354" s="6" t="s">
        <v>252</v>
      </c>
      <c r="Q354" s="6" t="s">
        <v>630</v>
      </c>
      <c r="R354" s="6" t="s">
        <v>631</v>
      </c>
      <c r="S354" s="6"/>
    </row>
    <row r="355" ht="15" customHeight="1" spans="1:19" x14ac:dyDescent="0.25">
      <c r="A355" s="6" t="s">
        <v>634</v>
      </c>
      <c r="B355" s="6" t="s">
        <v>61</v>
      </c>
      <c r="C355" s="6" t="s">
        <v>114</v>
      </c>
      <c r="D355" s="6" t="s">
        <v>176</v>
      </c>
      <c r="E355" s="6">
        <v>14</v>
      </c>
      <c r="F355" s="7">
        <v>9.8</v>
      </c>
      <c r="G355" s="7">
        <v>0</v>
      </c>
      <c r="H355" s="7">
        <v>37</v>
      </c>
      <c r="I355" s="7">
        <v>0.6</v>
      </c>
      <c r="J355" s="7">
        <v>1.2</v>
      </c>
      <c r="K355" s="7">
        <v>2</v>
      </c>
      <c r="L355" s="6">
        <v>42</v>
      </c>
      <c r="M355" s="6">
        <v>20</v>
      </c>
      <c r="N355" s="7">
        <v>9.2</v>
      </c>
      <c r="O355" s="6" t="s">
        <v>201</v>
      </c>
      <c r="P355" s="6" t="s">
        <v>252</v>
      </c>
      <c r="Q355" s="6" t="s">
        <v>630</v>
      </c>
      <c r="R355" s="6" t="s">
        <v>631</v>
      </c>
      <c r="S355" s="6"/>
    </row>
    <row r="356" ht="15" customHeight="1" spans="1:19" x14ac:dyDescent="0.25">
      <c r="A356" s="6" t="s">
        <v>635</v>
      </c>
      <c r="B356" s="6" t="s">
        <v>61</v>
      </c>
      <c r="C356" s="6" t="s">
        <v>114</v>
      </c>
      <c r="D356" s="6" t="s">
        <v>176</v>
      </c>
      <c r="E356" s="6">
        <v>15</v>
      </c>
      <c r="F356" s="7">
        <v>10.4</v>
      </c>
      <c r="G356" s="7">
        <v>0</v>
      </c>
      <c r="H356" s="7">
        <v>37</v>
      </c>
      <c r="I356" s="7">
        <v>0.6</v>
      </c>
      <c r="J356" s="7">
        <v>1.2</v>
      </c>
      <c r="K356" s="7">
        <v>2</v>
      </c>
      <c r="L356" s="6">
        <v>42</v>
      </c>
      <c r="M356" s="6">
        <v>20</v>
      </c>
      <c r="N356" s="7">
        <v>9.2</v>
      </c>
      <c r="O356" s="6" t="s">
        <v>201</v>
      </c>
      <c r="P356" s="6" t="s">
        <v>252</v>
      </c>
      <c r="Q356" s="6" t="s">
        <v>630</v>
      </c>
      <c r="R356" s="6" t="s">
        <v>631</v>
      </c>
      <c r="S356" s="6"/>
    </row>
    <row r="357" ht="15" customHeight="1" spans="1:19" x14ac:dyDescent="0.25">
      <c r="A357" s="6" t="s">
        <v>636</v>
      </c>
      <c r="B357" s="6" t="s">
        <v>61</v>
      </c>
      <c r="C357" s="6" t="s">
        <v>114</v>
      </c>
      <c r="D357" s="6" t="s">
        <v>176</v>
      </c>
      <c r="E357" s="6">
        <v>16</v>
      </c>
      <c r="F357" s="7">
        <v>11</v>
      </c>
      <c r="G357" s="7">
        <v>0</v>
      </c>
      <c r="H357" s="7">
        <v>37</v>
      </c>
      <c r="I357" s="7">
        <v>0.6</v>
      </c>
      <c r="J357" s="7">
        <v>1.2</v>
      </c>
      <c r="K357" s="7">
        <v>2</v>
      </c>
      <c r="L357" s="6">
        <v>42</v>
      </c>
      <c r="M357" s="6">
        <v>20</v>
      </c>
      <c r="N357" s="7">
        <v>0</v>
      </c>
      <c r="O357" s="6" t="s">
        <v>225</v>
      </c>
      <c r="P357" s="6"/>
      <c r="Q357" s="6" t="s">
        <v>630</v>
      </c>
      <c r="R357" s="6" t="s">
        <v>631</v>
      </c>
      <c r="S357" s="6"/>
    </row>
    <row r="358" ht="15" customHeight="1" spans="1:19" x14ac:dyDescent="0.25">
      <c r="A358" s="6" t="s">
        <v>637</v>
      </c>
      <c r="B358" s="6" t="s">
        <v>61</v>
      </c>
      <c r="C358" s="6" t="s">
        <v>114</v>
      </c>
      <c r="D358" s="6" t="s">
        <v>176</v>
      </c>
      <c r="E358" s="6">
        <v>17</v>
      </c>
      <c r="F358" s="7">
        <v>11.6</v>
      </c>
      <c r="G358" s="7">
        <v>0</v>
      </c>
      <c r="H358" s="7">
        <v>37</v>
      </c>
      <c r="I358" s="7">
        <v>0.6</v>
      </c>
      <c r="J358" s="7">
        <v>1.2</v>
      </c>
      <c r="K358" s="7">
        <v>2</v>
      </c>
      <c r="L358" s="6">
        <v>42</v>
      </c>
      <c r="M358" s="6">
        <v>20</v>
      </c>
      <c r="N358" s="7">
        <v>0</v>
      </c>
      <c r="O358" s="6" t="s">
        <v>225</v>
      </c>
      <c r="P358" s="6"/>
      <c r="Q358" s="6" t="s">
        <v>630</v>
      </c>
      <c r="R358" s="6" t="s">
        <v>631</v>
      </c>
      <c r="S358" s="6"/>
    </row>
    <row r="359" ht="15" customHeight="1" spans="1:19" x14ac:dyDescent="0.25">
      <c r="A359" s="6" t="s">
        <v>638</v>
      </c>
      <c r="B359" s="6" t="s">
        <v>61</v>
      </c>
      <c r="C359" s="6" t="s">
        <v>114</v>
      </c>
      <c r="D359" s="6" t="s">
        <v>176</v>
      </c>
      <c r="E359" s="6">
        <v>18</v>
      </c>
      <c r="F359" s="7">
        <v>12.2</v>
      </c>
      <c r="G359" s="7">
        <v>0</v>
      </c>
      <c r="H359" s="7">
        <v>37</v>
      </c>
      <c r="I359" s="7">
        <v>0.6</v>
      </c>
      <c r="J359" s="7">
        <v>1.2</v>
      </c>
      <c r="K359" s="7">
        <v>2</v>
      </c>
      <c r="L359" s="6">
        <v>42</v>
      </c>
      <c r="M359" s="6">
        <v>20</v>
      </c>
      <c r="N359" s="7">
        <v>0</v>
      </c>
      <c r="O359" s="6" t="s">
        <v>225</v>
      </c>
      <c r="P359" s="6"/>
      <c r="Q359" s="6" t="s">
        <v>630</v>
      </c>
      <c r="R359" s="6" t="s">
        <v>631</v>
      </c>
      <c r="S359" s="6"/>
    </row>
    <row r="360" ht="15" customHeight="1" spans="1:19" x14ac:dyDescent="0.25">
      <c r="A360" s="6" t="s">
        <v>639</v>
      </c>
      <c r="B360" s="6" t="s">
        <v>61</v>
      </c>
      <c r="C360" s="6" t="s">
        <v>114</v>
      </c>
      <c r="D360" s="6" t="s">
        <v>176</v>
      </c>
      <c r="E360" s="6">
        <v>19</v>
      </c>
      <c r="F360" s="7">
        <v>12.8</v>
      </c>
      <c r="G360" s="7">
        <v>0</v>
      </c>
      <c r="H360" s="7">
        <v>37</v>
      </c>
      <c r="I360" s="7">
        <v>0.6</v>
      </c>
      <c r="J360" s="7">
        <v>1.2</v>
      </c>
      <c r="K360" s="7">
        <v>2</v>
      </c>
      <c r="L360" s="6">
        <v>42</v>
      </c>
      <c r="M360" s="6">
        <v>20</v>
      </c>
      <c r="N360" s="7">
        <v>0</v>
      </c>
      <c r="O360" s="6" t="s">
        <v>225</v>
      </c>
      <c r="P360" s="6"/>
      <c r="Q360" s="6" t="s">
        <v>630</v>
      </c>
      <c r="R360" s="6" t="s">
        <v>631</v>
      </c>
      <c r="S360" s="6"/>
    </row>
    <row r="361" ht="15" customHeight="1" spans="1:19" x14ac:dyDescent="0.25">
      <c r="A361" s="6" t="s">
        <v>640</v>
      </c>
      <c r="B361" s="6" t="s">
        <v>61</v>
      </c>
      <c r="C361" s="6" t="s">
        <v>114</v>
      </c>
      <c r="D361" s="6" t="s">
        <v>176</v>
      </c>
      <c r="E361" s="6">
        <v>20</v>
      </c>
      <c r="F361" s="7">
        <v>13.4</v>
      </c>
      <c r="G361" s="7">
        <v>0</v>
      </c>
      <c r="H361" s="7">
        <v>37</v>
      </c>
      <c r="I361" s="7">
        <v>0.6</v>
      </c>
      <c r="J361" s="7">
        <v>1.2</v>
      </c>
      <c r="K361" s="7">
        <v>2</v>
      </c>
      <c r="L361" s="6">
        <v>42</v>
      </c>
      <c r="M361" s="6">
        <v>20</v>
      </c>
      <c r="N361" s="7">
        <v>0</v>
      </c>
      <c r="O361" s="6" t="s">
        <v>225</v>
      </c>
      <c r="P361" s="6"/>
      <c r="Q361" s="6" t="s">
        <v>630</v>
      </c>
      <c r="R361" s="6" t="s">
        <v>631</v>
      </c>
      <c r="S361" s="6"/>
    </row>
    <row r="362" ht="15" customHeight="1" spans="1:19" x14ac:dyDescent="0.25">
      <c r="A362" s="6" t="s">
        <v>641</v>
      </c>
      <c r="B362" s="6" t="s">
        <v>61</v>
      </c>
      <c r="C362" s="6" t="s">
        <v>116</v>
      </c>
      <c r="D362" s="6" t="s">
        <v>177</v>
      </c>
      <c r="E362" s="6">
        <v>1</v>
      </c>
      <c r="F362" s="7">
        <v>22</v>
      </c>
      <c r="G362" s="7">
        <v>0</v>
      </c>
      <c r="H362" s="7">
        <v>25</v>
      </c>
      <c r="I362" s="7">
        <v>0.6</v>
      </c>
      <c r="J362" s="7">
        <v>1.2</v>
      </c>
      <c r="K362" s="7">
        <v>2</v>
      </c>
      <c r="L362" s="6">
        <v>42</v>
      </c>
      <c r="M362" s="6">
        <v>60</v>
      </c>
      <c r="N362" s="7">
        <v>45</v>
      </c>
      <c r="O362" s="6" t="s">
        <v>201</v>
      </c>
      <c r="P362" s="6" t="s">
        <v>449</v>
      </c>
      <c r="Q362" s="6" t="s">
        <v>642</v>
      </c>
      <c r="R362" s="6" t="s">
        <v>643</v>
      </c>
      <c r="S362" s="6"/>
    </row>
    <row r="363" ht="15" customHeight="1" spans="1:19" x14ac:dyDescent="0.25">
      <c r="A363" s="6" t="s">
        <v>644</v>
      </c>
      <c r="B363" s="6" t="s">
        <v>61</v>
      </c>
      <c r="C363" s="6" t="s">
        <v>116</v>
      </c>
      <c r="D363" s="6" t="s">
        <v>177</v>
      </c>
      <c r="E363" s="6">
        <v>2</v>
      </c>
      <c r="F363" s="7">
        <v>22.6</v>
      </c>
      <c r="G363" s="7">
        <v>0</v>
      </c>
      <c r="H363" s="7">
        <v>25</v>
      </c>
      <c r="I363" s="7">
        <v>0.6</v>
      </c>
      <c r="J363" s="7">
        <v>1.2</v>
      </c>
      <c r="K363" s="7">
        <v>2</v>
      </c>
      <c r="L363" s="6">
        <v>42</v>
      </c>
      <c r="M363" s="6">
        <v>60</v>
      </c>
      <c r="N363" s="7">
        <v>45</v>
      </c>
      <c r="O363" s="6" t="s">
        <v>201</v>
      </c>
      <c r="P363" s="6" t="s">
        <v>449</v>
      </c>
      <c r="Q363" s="6" t="s">
        <v>642</v>
      </c>
      <c r="R363" s="6" t="s">
        <v>643</v>
      </c>
      <c r="S363" s="6"/>
    </row>
    <row r="364" ht="15" customHeight="1" spans="1:19" x14ac:dyDescent="0.25">
      <c r="A364" s="6" t="s">
        <v>645</v>
      </c>
      <c r="B364" s="6" t="s">
        <v>61</v>
      </c>
      <c r="C364" s="6" t="s">
        <v>116</v>
      </c>
      <c r="D364" s="6" t="s">
        <v>177</v>
      </c>
      <c r="E364" s="6">
        <v>3</v>
      </c>
      <c r="F364" s="7">
        <v>23.2</v>
      </c>
      <c r="G364" s="7">
        <v>0</v>
      </c>
      <c r="H364" s="7">
        <v>25</v>
      </c>
      <c r="I364" s="7">
        <v>0.6</v>
      </c>
      <c r="J364" s="7">
        <v>1.2</v>
      </c>
      <c r="K364" s="7">
        <v>2</v>
      </c>
      <c r="L364" s="6">
        <v>42</v>
      </c>
      <c r="M364" s="6">
        <v>60</v>
      </c>
      <c r="N364" s="7">
        <v>45</v>
      </c>
      <c r="O364" s="6" t="s">
        <v>201</v>
      </c>
      <c r="P364" s="6" t="s">
        <v>449</v>
      </c>
      <c r="Q364" s="6" t="s">
        <v>642</v>
      </c>
      <c r="R364" s="6" t="s">
        <v>643</v>
      </c>
      <c r="S364" s="6"/>
    </row>
    <row r="365" ht="15" customHeight="1" spans="1:19" x14ac:dyDescent="0.25">
      <c r="A365" s="6" t="s">
        <v>646</v>
      </c>
      <c r="B365" s="6" t="s">
        <v>61</v>
      </c>
      <c r="C365" s="6" t="s">
        <v>116</v>
      </c>
      <c r="D365" s="6" t="s">
        <v>177</v>
      </c>
      <c r="E365" s="6">
        <v>4</v>
      </c>
      <c r="F365" s="7">
        <v>23.8</v>
      </c>
      <c r="G365" s="7">
        <v>0</v>
      </c>
      <c r="H365" s="7">
        <v>25</v>
      </c>
      <c r="I365" s="7">
        <v>0.6</v>
      </c>
      <c r="J365" s="7">
        <v>1.2</v>
      </c>
      <c r="K365" s="7">
        <v>2</v>
      </c>
      <c r="L365" s="6">
        <v>42</v>
      </c>
      <c r="M365" s="6">
        <v>60</v>
      </c>
      <c r="N365" s="7">
        <v>45</v>
      </c>
      <c r="O365" s="6" t="s">
        <v>201</v>
      </c>
      <c r="P365" s="6" t="s">
        <v>449</v>
      </c>
      <c r="Q365" s="6" t="s">
        <v>642</v>
      </c>
      <c r="R365" s="6" t="s">
        <v>643</v>
      </c>
      <c r="S365" s="6"/>
    </row>
    <row r="366" ht="15" customHeight="1" spans="1:19" x14ac:dyDescent="0.25">
      <c r="A366" s="6" t="s">
        <v>647</v>
      </c>
      <c r="B366" s="6" t="s">
        <v>61</v>
      </c>
      <c r="C366" s="6" t="s">
        <v>116</v>
      </c>
      <c r="D366" s="6" t="s">
        <v>177</v>
      </c>
      <c r="E366" s="6">
        <v>5</v>
      </c>
      <c r="F366" s="7">
        <v>24.4</v>
      </c>
      <c r="G366" s="7">
        <v>0</v>
      </c>
      <c r="H366" s="7">
        <v>25</v>
      </c>
      <c r="I366" s="7">
        <v>0.6</v>
      </c>
      <c r="J366" s="7">
        <v>1.2</v>
      </c>
      <c r="K366" s="7">
        <v>2</v>
      </c>
      <c r="L366" s="6">
        <v>42</v>
      </c>
      <c r="M366" s="6">
        <v>60</v>
      </c>
      <c r="N366" s="7">
        <v>45</v>
      </c>
      <c r="O366" s="6" t="s">
        <v>201</v>
      </c>
      <c r="P366" s="6" t="s">
        <v>449</v>
      </c>
      <c r="Q366" s="6" t="s">
        <v>642</v>
      </c>
      <c r="R366" s="6" t="s">
        <v>643</v>
      </c>
      <c r="S366" s="6"/>
    </row>
    <row r="367" ht="15" customHeight="1" spans="1:19" x14ac:dyDescent="0.25">
      <c r="A367" s="6" t="s">
        <v>648</v>
      </c>
      <c r="B367" s="6" t="s">
        <v>61</v>
      </c>
      <c r="C367" s="6" t="s">
        <v>116</v>
      </c>
      <c r="D367" s="6" t="s">
        <v>177</v>
      </c>
      <c r="E367" s="6">
        <v>6</v>
      </c>
      <c r="F367" s="7">
        <v>25</v>
      </c>
      <c r="G367" s="7">
        <v>0</v>
      </c>
      <c r="H367" s="7">
        <v>25</v>
      </c>
      <c r="I367" s="7">
        <v>0.6</v>
      </c>
      <c r="J367" s="7">
        <v>1.2</v>
      </c>
      <c r="K367" s="7">
        <v>2</v>
      </c>
      <c r="L367" s="6">
        <v>42</v>
      </c>
      <c r="M367" s="6">
        <v>60</v>
      </c>
      <c r="N367" s="7">
        <v>45</v>
      </c>
      <c r="O367" s="6" t="s">
        <v>201</v>
      </c>
      <c r="P367" s="6" t="s">
        <v>449</v>
      </c>
      <c r="Q367" s="6" t="s">
        <v>642</v>
      </c>
      <c r="R367" s="6" t="s">
        <v>643</v>
      </c>
      <c r="S367" s="6"/>
    </row>
    <row r="368" ht="15" customHeight="1" spans="1:19" x14ac:dyDescent="0.25">
      <c r="A368" s="6" t="s">
        <v>649</v>
      </c>
      <c r="B368" s="6" t="s">
        <v>61</v>
      </c>
      <c r="C368" s="6" t="s">
        <v>116</v>
      </c>
      <c r="D368" s="6" t="s">
        <v>177</v>
      </c>
      <c r="E368" s="6">
        <v>7</v>
      </c>
      <c r="F368" s="7">
        <v>25.6</v>
      </c>
      <c r="G368" s="7">
        <v>0</v>
      </c>
      <c r="H368" s="7">
        <v>25</v>
      </c>
      <c r="I368" s="7">
        <v>0.6</v>
      </c>
      <c r="J368" s="7">
        <v>1.2</v>
      </c>
      <c r="K368" s="7">
        <v>2</v>
      </c>
      <c r="L368" s="6">
        <v>42</v>
      </c>
      <c r="M368" s="6">
        <v>60</v>
      </c>
      <c r="N368" s="7">
        <v>45</v>
      </c>
      <c r="O368" s="6" t="s">
        <v>201</v>
      </c>
      <c r="P368" s="6" t="s">
        <v>449</v>
      </c>
      <c r="Q368" s="6" t="s">
        <v>642</v>
      </c>
      <c r="R368" s="6" t="s">
        <v>643</v>
      </c>
      <c r="S368" s="6"/>
    </row>
    <row r="369" ht="15" customHeight="1" spans="1:19" x14ac:dyDescent="0.25">
      <c r="A369" s="6" t="s">
        <v>650</v>
      </c>
      <c r="B369" s="6" t="s">
        <v>61</v>
      </c>
      <c r="C369" s="6" t="s">
        <v>116</v>
      </c>
      <c r="D369" s="6" t="s">
        <v>177</v>
      </c>
      <c r="E369" s="6">
        <v>8</v>
      </c>
      <c r="F369" s="7">
        <v>26.2</v>
      </c>
      <c r="G369" s="7">
        <v>0</v>
      </c>
      <c r="H369" s="7">
        <v>25</v>
      </c>
      <c r="I369" s="7">
        <v>0.6</v>
      </c>
      <c r="J369" s="7">
        <v>1.2</v>
      </c>
      <c r="K369" s="7">
        <v>2</v>
      </c>
      <c r="L369" s="6">
        <v>42</v>
      </c>
      <c r="M369" s="6">
        <v>60</v>
      </c>
      <c r="N369" s="7">
        <v>45</v>
      </c>
      <c r="O369" s="6" t="s">
        <v>201</v>
      </c>
      <c r="P369" s="6" t="s">
        <v>449</v>
      </c>
      <c r="Q369" s="6" t="s">
        <v>642</v>
      </c>
      <c r="R369" s="6" t="s">
        <v>643</v>
      </c>
      <c r="S369" s="6"/>
    </row>
    <row r="370" ht="15" customHeight="1" spans="1:19" x14ac:dyDescent="0.25">
      <c r="A370" s="6" t="s">
        <v>651</v>
      </c>
      <c r="B370" s="6" t="s">
        <v>61</v>
      </c>
      <c r="C370" s="6" t="s">
        <v>116</v>
      </c>
      <c r="D370" s="6" t="s">
        <v>177</v>
      </c>
      <c r="E370" s="6">
        <v>9</v>
      </c>
      <c r="F370" s="7">
        <v>26.8</v>
      </c>
      <c r="G370" s="7">
        <v>0</v>
      </c>
      <c r="H370" s="7">
        <v>25</v>
      </c>
      <c r="I370" s="7">
        <v>0.6</v>
      </c>
      <c r="J370" s="7">
        <v>1.2</v>
      </c>
      <c r="K370" s="7">
        <v>2</v>
      </c>
      <c r="L370" s="6">
        <v>42</v>
      </c>
      <c r="M370" s="6">
        <v>60</v>
      </c>
      <c r="N370" s="7">
        <v>45</v>
      </c>
      <c r="O370" s="6" t="s">
        <v>201</v>
      </c>
      <c r="P370" s="6" t="s">
        <v>449</v>
      </c>
      <c r="Q370" s="6" t="s">
        <v>642</v>
      </c>
      <c r="R370" s="6" t="s">
        <v>643</v>
      </c>
      <c r="S370" s="6"/>
    </row>
    <row r="371" ht="15" customHeight="1" spans="1:19" x14ac:dyDescent="0.25">
      <c r="A371" s="6" t="s">
        <v>652</v>
      </c>
      <c r="B371" s="6" t="s">
        <v>61</v>
      </c>
      <c r="C371" s="6" t="s">
        <v>116</v>
      </c>
      <c r="D371" s="6" t="s">
        <v>177</v>
      </c>
      <c r="E371" s="6">
        <v>10</v>
      </c>
      <c r="F371" s="7">
        <v>27.4</v>
      </c>
      <c r="G371" s="7">
        <v>0</v>
      </c>
      <c r="H371" s="7">
        <v>25</v>
      </c>
      <c r="I371" s="7">
        <v>0.6</v>
      </c>
      <c r="J371" s="7">
        <v>1.2</v>
      </c>
      <c r="K371" s="7">
        <v>2</v>
      </c>
      <c r="L371" s="6">
        <v>42</v>
      </c>
      <c r="M371" s="6">
        <v>60</v>
      </c>
      <c r="N371" s="7">
        <v>45</v>
      </c>
      <c r="O371" s="6" t="s">
        <v>201</v>
      </c>
      <c r="P371" s="6" t="s">
        <v>449</v>
      </c>
      <c r="Q371" s="6" t="s">
        <v>642</v>
      </c>
      <c r="R371" s="6" t="s">
        <v>643</v>
      </c>
      <c r="S371" s="6"/>
    </row>
    <row r="372" ht="15" customHeight="1" spans="1:19" x14ac:dyDescent="0.25">
      <c r="A372" s="6" t="s">
        <v>653</v>
      </c>
      <c r="B372" s="6" t="s">
        <v>61</v>
      </c>
      <c r="C372" s="6" t="s">
        <v>116</v>
      </c>
      <c r="D372" s="6" t="s">
        <v>177</v>
      </c>
      <c r="E372" s="6">
        <v>11</v>
      </c>
      <c r="F372" s="7">
        <v>28</v>
      </c>
      <c r="G372" s="7">
        <v>0</v>
      </c>
      <c r="H372" s="7">
        <v>25</v>
      </c>
      <c r="I372" s="7">
        <v>0.6</v>
      </c>
      <c r="J372" s="7">
        <v>1.2</v>
      </c>
      <c r="K372" s="7">
        <v>2</v>
      </c>
      <c r="L372" s="6">
        <v>42</v>
      </c>
      <c r="M372" s="6">
        <v>60</v>
      </c>
      <c r="N372" s="7">
        <v>45</v>
      </c>
      <c r="O372" s="6" t="s">
        <v>201</v>
      </c>
      <c r="P372" s="6" t="s">
        <v>449</v>
      </c>
      <c r="Q372" s="6" t="s">
        <v>654</v>
      </c>
      <c r="R372" s="6" t="s">
        <v>655</v>
      </c>
      <c r="S372" s="6"/>
    </row>
    <row r="373" ht="15" customHeight="1" spans="1:19" x14ac:dyDescent="0.25">
      <c r="A373" s="6" t="s">
        <v>656</v>
      </c>
      <c r="B373" s="6" t="s">
        <v>61</v>
      </c>
      <c r="C373" s="6" t="s">
        <v>116</v>
      </c>
      <c r="D373" s="6" t="s">
        <v>177</v>
      </c>
      <c r="E373" s="6">
        <v>12</v>
      </c>
      <c r="F373" s="7">
        <v>28.6</v>
      </c>
      <c r="G373" s="7">
        <v>0</v>
      </c>
      <c r="H373" s="7">
        <v>25</v>
      </c>
      <c r="I373" s="7">
        <v>0.6</v>
      </c>
      <c r="J373" s="7">
        <v>1.2</v>
      </c>
      <c r="K373" s="7">
        <v>2</v>
      </c>
      <c r="L373" s="6">
        <v>42</v>
      </c>
      <c r="M373" s="6">
        <v>60</v>
      </c>
      <c r="N373" s="7">
        <v>45</v>
      </c>
      <c r="O373" s="6" t="s">
        <v>201</v>
      </c>
      <c r="P373" s="6" t="s">
        <v>449</v>
      </c>
      <c r="Q373" s="6" t="s">
        <v>654</v>
      </c>
      <c r="R373" s="6" t="s">
        <v>655</v>
      </c>
      <c r="S373" s="6"/>
    </row>
    <row r="374" ht="15" customHeight="1" spans="1:19" x14ac:dyDescent="0.25">
      <c r="A374" s="6" t="s">
        <v>657</v>
      </c>
      <c r="B374" s="6" t="s">
        <v>61</v>
      </c>
      <c r="C374" s="6" t="s">
        <v>116</v>
      </c>
      <c r="D374" s="6" t="s">
        <v>177</v>
      </c>
      <c r="E374" s="6">
        <v>13</v>
      </c>
      <c r="F374" s="7">
        <v>29.2</v>
      </c>
      <c r="G374" s="7">
        <v>0</v>
      </c>
      <c r="H374" s="7">
        <v>25</v>
      </c>
      <c r="I374" s="7">
        <v>0.6</v>
      </c>
      <c r="J374" s="7">
        <v>1.2</v>
      </c>
      <c r="K374" s="7">
        <v>2</v>
      </c>
      <c r="L374" s="6">
        <v>42</v>
      </c>
      <c r="M374" s="6">
        <v>60</v>
      </c>
      <c r="N374" s="7">
        <v>45</v>
      </c>
      <c r="O374" s="6" t="s">
        <v>201</v>
      </c>
      <c r="P374" s="6" t="s">
        <v>449</v>
      </c>
      <c r="Q374" s="6" t="s">
        <v>654</v>
      </c>
      <c r="R374" s="6" t="s">
        <v>655</v>
      </c>
      <c r="S374" s="6"/>
    </row>
    <row r="375" ht="15" customHeight="1" spans="1:19" x14ac:dyDescent="0.25">
      <c r="A375" s="6" t="s">
        <v>658</v>
      </c>
      <c r="B375" s="6" t="s">
        <v>61</v>
      </c>
      <c r="C375" s="6" t="s">
        <v>116</v>
      </c>
      <c r="D375" s="6" t="s">
        <v>177</v>
      </c>
      <c r="E375" s="6">
        <v>14</v>
      </c>
      <c r="F375" s="7">
        <v>29.8</v>
      </c>
      <c r="G375" s="7">
        <v>0</v>
      </c>
      <c r="H375" s="7">
        <v>25</v>
      </c>
      <c r="I375" s="7">
        <v>0.6</v>
      </c>
      <c r="J375" s="7">
        <v>1.2</v>
      </c>
      <c r="K375" s="7">
        <v>2</v>
      </c>
      <c r="L375" s="6">
        <v>42</v>
      </c>
      <c r="M375" s="6">
        <v>60</v>
      </c>
      <c r="N375" s="7">
        <v>45</v>
      </c>
      <c r="O375" s="6" t="s">
        <v>201</v>
      </c>
      <c r="P375" s="6" t="s">
        <v>449</v>
      </c>
      <c r="Q375" s="6" t="s">
        <v>654</v>
      </c>
      <c r="R375" s="6" t="s">
        <v>655</v>
      </c>
      <c r="S375" s="6"/>
    </row>
    <row r="376" ht="15" customHeight="1" spans="1:19" x14ac:dyDescent="0.25">
      <c r="A376" s="6" t="s">
        <v>659</v>
      </c>
      <c r="B376" s="6" t="s">
        <v>61</v>
      </c>
      <c r="C376" s="6" t="s">
        <v>116</v>
      </c>
      <c r="D376" s="6" t="s">
        <v>177</v>
      </c>
      <c r="E376" s="6">
        <v>15</v>
      </c>
      <c r="F376" s="7">
        <v>30.4</v>
      </c>
      <c r="G376" s="7">
        <v>0</v>
      </c>
      <c r="H376" s="7">
        <v>25</v>
      </c>
      <c r="I376" s="7">
        <v>0.6</v>
      </c>
      <c r="J376" s="7">
        <v>1.2</v>
      </c>
      <c r="K376" s="7">
        <v>2</v>
      </c>
      <c r="L376" s="6">
        <v>42</v>
      </c>
      <c r="M376" s="6">
        <v>60</v>
      </c>
      <c r="N376" s="7">
        <v>45</v>
      </c>
      <c r="O376" s="6" t="s">
        <v>201</v>
      </c>
      <c r="P376" s="6" t="s">
        <v>449</v>
      </c>
      <c r="Q376" s="6" t="s">
        <v>654</v>
      </c>
      <c r="R376" s="6" t="s">
        <v>655</v>
      </c>
      <c r="S376" s="6"/>
    </row>
    <row r="377" ht="15" customHeight="1" spans="1:19" x14ac:dyDescent="0.25">
      <c r="A377" s="6" t="s">
        <v>660</v>
      </c>
      <c r="B377" s="6" t="s">
        <v>61</v>
      </c>
      <c r="C377" s="6" t="s">
        <v>116</v>
      </c>
      <c r="D377" s="6" t="s">
        <v>177</v>
      </c>
      <c r="E377" s="6">
        <v>16</v>
      </c>
      <c r="F377" s="7">
        <v>31</v>
      </c>
      <c r="G377" s="7">
        <v>0</v>
      </c>
      <c r="H377" s="7">
        <v>25</v>
      </c>
      <c r="I377" s="7">
        <v>0.6</v>
      </c>
      <c r="J377" s="7">
        <v>1.2</v>
      </c>
      <c r="K377" s="7">
        <v>2</v>
      </c>
      <c r="L377" s="6">
        <v>42</v>
      </c>
      <c r="M377" s="6">
        <v>60</v>
      </c>
      <c r="N377" s="7">
        <v>45</v>
      </c>
      <c r="O377" s="6" t="s">
        <v>201</v>
      </c>
      <c r="P377" s="6" t="s">
        <v>449</v>
      </c>
      <c r="Q377" s="6" t="s">
        <v>654</v>
      </c>
      <c r="R377" s="6" t="s">
        <v>655</v>
      </c>
      <c r="S377" s="6"/>
    </row>
    <row r="378" ht="15" customHeight="1" spans="1:19" x14ac:dyDescent="0.25">
      <c r="A378" s="6" t="s">
        <v>661</v>
      </c>
      <c r="B378" s="6" t="s">
        <v>61</v>
      </c>
      <c r="C378" s="6" t="s">
        <v>116</v>
      </c>
      <c r="D378" s="6" t="s">
        <v>177</v>
      </c>
      <c r="E378" s="6">
        <v>17</v>
      </c>
      <c r="F378" s="7">
        <v>31.6</v>
      </c>
      <c r="G378" s="7">
        <v>0</v>
      </c>
      <c r="H378" s="7">
        <v>25</v>
      </c>
      <c r="I378" s="7">
        <v>0.6</v>
      </c>
      <c r="J378" s="7">
        <v>1.2</v>
      </c>
      <c r="K378" s="7">
        <v>2</v>
      </c>
      <c r="L378" s="6">
        <v>42</v>
      </c>
      <c r="M378" s="6">
        <v>60</v>
      </c>
      <c r="N378" s="7">
        <v>0</v>
      </c>
      <c r="O378" s="6" t="s">
        <v>225</v>
      </c>
      <c r="P378" s="6"/>
      <c r="Q378" s="6" t="s">
        <v>654</v>
      </c>
      <c r="R378" s="6" t="s">
        <v>655</v>
      </c>
      <c r="S378" s="6"/>
    </row>
    <row r="379" ht="15" customHeight="1" spans="1:19" x14ac:dyDescent="0.25">
      <c r="A379" s="6" t="s">
        <v>662</v>
      </c>
      <c r="B379" s="6" t="s">
        <v>61</v>
      </c>
      <c r="C379" s="6" t="s">
        <v>116</v>
      </c>
      <c r="D379" s="6" t="s">
        <v>177</v>
      </c>
      <c r="E379" s="6">
        <v>18</v>
      </c>
      <c r="F379" s="7">
        <v>32.2</v>
      </c>
      <c r="G379" s="7">
        <v>0</v>
      </c>
      <c r="H379" s="7">
        <v>25</v>
      </c>
      <c r="I379" s="7">
        <v>0.6</v>
      </c>
      <c r="J379" s="7">
        <v>1.2</v>
      </c>
      <c r="K379" s="7">
        <v>2</v>
      </c>
      <c r="L379" s="6">
        <v>42</v>
      </c>
      <c r="M379" s="6">
        <v>60</v>
      </c>
      <c r="N379" s="7">
        <v>0</v>
      </c>
      <c r="O379" s="6" t="s">
        <v>225</v>
      </c>
      <c r="P379" s="6"/>
      <c r="Q379" s="6" t="s">
        <v>654</v>
      </c>
      <c r="R379" s="6" t="s">
        <v>655</v>
      </c>
      <c r="S379" s="6"/>
    </row>
    <row r="380" ht="15" customHeight="1" spans="1:19" x14ac:dyDescent="0.25">
      <c r="A380" s="6" t="s">
        <v>663</v>
      </c>
      <c r="B380" s="6" t="s">
        <v>61</v>
      </c>
      <c r="C380" s="6" t="s">
        <v>116</v>
      </c>
      <c r="D380" s="6" t="s">
        <v>177</v>
      </c>
      <c r="E380" s="6">
        <v>19</v>
      </c>
      <c r="F380" s="7">
        <v>32.8</v>
      </c>
      <c r="G380" s="7">
        <v>0</v>
      </c>
      <c r="H380" s="7">
        <v>25</v>
      </c>
      <c r="I380" s="7">
        <v>0.6</v>
      </c>
      <c r="J380" s="7">
        <v>1.2</v>
      </c>
      <c r="K380" s="7">
        <v>2</v>
      </c>
      <c r="L380" s="6">
        <v>42</v>
      </c>
      <c r="M380" s="6">
        <v>60</v>
      </c>
      <c r="N380" s="7">
        <v>0</v>
      </c>
      <c r="O380" s="6" t="s">
        <v>225</v>
      </c>
      <c r="P380" s="6"/>
      <c r="Q380" s="6" t="s">
        <v>654</v>
      </c>
      <c r="R380" s="6" t="s">
        <v>655</v>
      </c>
      <c r="S380" s="6"/>
    </row>
    <row r="381" ht="15" customHeight="1" spans="1:19" x14ac:dyDescent="0.25">
      <c r="A381" s="6" t="s">
        <v>664</v>
      </c>
      <c r="B381" s="6" t="s">
        <v>61</v>
      </c>
      <c r="C381" s="6" t="s">
        <v>116</v>
      </c>
      <c r="D381" s="6" t="s">
        <v>177</v>
      </c>
      <c r="E381" s="6">
        <v>20</v>
      </c>
      <c r="F381" s="7">
        <v>33.4</v>
      </c>
      <c r="G381" s="7">
        <v>0</v>
      </c>
      <c r="H381" s="7">
        <v>25</v>
      </c>
      <c r="I381" s="7">
        <v>0.6</v>
      </c>
      <c r="J381" s="7">
        <v>1.2</v>
      </c>
      <c r="K381" s="7">
        <v>2</v>
      </c>
      <c r="L381" s="6">
        <v>42</v>
      </c>
      <c r="M381" s="6">
        <v>60</v>
      </c>
      <c r="N381" s="7">
        <v>0</v>
      </c>
      <c r="O381" s="6" t="s">
        <v>225</v>
      </c>
      <c r="P381" s="6"/>
      <c r="Q381" s="6" t="s">
        <v>654</v>
      </c>
      <c r="R381" s="6" t="s">
        <v>655</v>
      </c>
      <c r="S381" s="6"/>
    </row>
    <row r="382" ht="15" customHeight="1" spans="1:19" x14ac:dyDescent="0.25">
      <c r="A382" s="6" t="s">
        <v>665</v>
      </c>
      <c r="B382" s="6" t="s">
        <v>61</v>
      </c>
      <c r="C382" s="6" t="s">
        <v>116</v>
      </c>
      <c r="D382" s="6" t="s">
        <v>180</v>
      </c>
      <c r="E382" s="6">
        <v>1</v>
      </c>
      <c r="F382" s="7">
        <v>22</v>
      </c>
      <c r="G382" s="7">
        <v>0</v>
      </c>
      <c r="H382" s="7">
        <v>27.4</v>
      </c>
      <c r="I382" s="7">
        <v>0.6</v>
      </c>
      <c r="J382" s="7">
        <v>1.2</v>
      </c>
      <c r="K382" s="7">
        <v>2</v>
      </c>
      <c r="L382" s="6">
        <v>42</v>
      </c>
      <c r="M382" s="6">
        <v>60</v>
      </c>
      <c r="N382" s="7">
        <v>47.1</v>
      </c>
      <c r="O382" s="6" t="s">
        <v>201</v>
      </c>
      <c r="P382" s="6" t="s">
        <v>449</v>
      </c>
      <c r="Q382" s="6" t="s">
        <v>666</v>
      </c>
      <c r="R382" s="6" t="s">
        <v>667</v>
      </c>
      <c r="S382" s="6"/>
    </row>
    <row r="383" ht="15" customHeight="1" spans="1:19" x14ac:dyDescent="0.25">
      <c r="A383" s="6" t="s">
        <v>668</v>
      </c>
      <c r="B383" s="6" t="s">
        <v>61</v>
      </c>
      <c r="C383" s="6" t="s">
        <v>116</v>
      </c>
      <c r="D383" s="6" t="s">
        <v>180</v>
      </c>
      <c r="E383" s="6">
        <v>2</v>
      </c>
      <c r="F383" s="7">
        <v>22.6</v>
      </c>
      <c r="G383" s="7">
        <v>0</v>
      </c>
      <c r="H383" s="7">
        <v>27.4</v>
      </c>
      <c r="I383" s="7">
        <v>0.6</v>
      </c>
      <c r="J383" s="7">
        <v>1.2</v>
      </c>
      <c r="K383" s="7">
        <v>2</v>
      </c>
      <c r="L383" s="6">
        <v>42</v>
      </c>
      <c r="M383" s="6">
        <v>60</v>
      </c>
      <c r="N383" s="7">
        <v>47.1</v>
      </c>
      <c r="O383" s="6" t="s">
        <v>201</v>
      </c>
      <c r="P383" s="6" t="s">
        <v>449</v>
      </c>
      <c r="Q383" s="6" t="s">
        <v>666</v>
      </c>
      <c r="R383" s="6" t="s">
        <v>667</v>
      </c>
      <c r="S383" s="6"/>
    </row>
    <row r="384" ht="15" customHeight="1" spans="1:19" x14ac:dyDescent="0.25">
      <c r="A384" s="6" t="s">
        <v>669</v>
      </c>
      <c r="B384" s="6" t="s">
        <v>61</v>
      </c>
      <c r="C384" s="6" t="s">
        <v>116</v>
      </c>
      <c r="D384" s="6" t="s">
        <v>180</v>
      </c>
      <c r="E384" s="6">
        <v>3</v>
      </c>
      <c r="F384" s="7">
        <v>23.2</v>
      </c>
      <c r="G384" s="7">
        <v>0</v>
      </c>
      <c r="H384" s="7">
        <v>27.4</v>
      </c>
      <c r="I384" s="7">
        <v>0.6</v>
      </c>
      <c r="J384" s="7">
        <v>1.2</v>
      </c>
      <c r="K384" s="7">
        <v>2</v>
      </c>
      <c r="L384" s="6">
        <v>42</v>
      </c>
      <c r="M384" s="6">
        <v>60</v>
      </c>
      <c r="N384" s="7">
        <v>47.1</v>
      </c>
      <c r="O384" s="6" t="s">
        <v>201</v>
      </c>
      <c r="P384" s="6" t="s">
        <v>449</v>
      </c>
      <c r="Q384" s="6" t="s">
        <v>666</v>
      </c>
      <c r="R384" s="6" t="s">
        <v>667</v>
      </c>
      <c r="S384" s="6"/>
    </row>
    <row r="385" ht="15" customHeight="1" spans="1:19" x14ac:dyDescent="0.25">
      <c r="A385" s="6" t="s">
        <v>670</v>
      </c>
      <c r="B385" s="6" t="s">
        <v>61</v>
      </c>
      <c r="C385" s="6" t="s">
        <v>116</v>
      </c>
      <c r="D385" s="6" t="s">
        <v>180</v>
      </c>
      <c r="E385" s="6">
        <v>4</v>
      </c>
      <c r="F385" s="7">
        <v>23.8</v>
      </c>
      <c r="G385" s="7">
        <v>0</v>
      </c>
      <c r="H385" s="7">
        <v>27.4</v>
      </c>
      <c r="I385" s="7">
        <v>0.6</v>
      </c>
      <c r="J385" s="7">
        <v>1.2</v>
      </c>
      <c r="K385" s="7">
        <v>2</v>
      </c>
      <c r="L385" s="6">
        <v>42</v>
      </c>
      <c r="M385" s="6">
        <v>60</v>
      </c>
      <c r="N385" s="7">
        <v>47.1</v>
      </c>
      <c r="O385" s="6" t="s">
        <v>201</v>
      </c>
      <c r="P385" s="6" t="s">
        <v>449</v>
      </c>
      <c r="Q385" s="6" t="s">
        <v>666</v>
      </c>
      <c r="R385" s="6" t="s">
        <v>667</v>
      </c>
      <c r="S385" s="6"/>
    </row>
    <row r="386" ht="15" customHeight="1" spans="1:19" x14ac:dyDescent="0.25">
      <c r="A386" s="6" t="s">
        <v>671</v>
      </c>
      <c r="B386" s="6" t="s">
        <v>61</v>
      </c>
      <c r="C386" s="6" t="s">
        <v>116</v>
      </c>
      <c r="D386" s="6" t="s">
        <v>180</v>
      </c>
      <c r="E386" s="6">
        <v>5</v>
      </c>
      <c r="F386" s="7">
        <v>24.4</v>
      </c>
      <c r="G386" s="7">
        <v>0</v>
      </c>
      <c r="H386" s="7">
        <v>27.4</v>
      </c>
      <c r="I386" s="7">
        <v>0.6</v>
      </c>
      <c r="J386" s="7">
        <v>1.2</v>
      </c>
      <c r="K386" s="7">
        <v>2</v>
      </c>
      <c r="L386" s="6">
        <v>42</v>
      </c>
      <c r="M386" s="6">
        <v>60</v>
      </c>
      <c r="N386" s="7">
        <v>47.1</v>
      </c>
      <c r="O386" s="6" t="s">
        <v>201</v>
      </c>
      <c r="P386" s="6" t="s">
        <v>449</v>
      </c>
      <c r="Q386" s="6" t="s">
        <v>666</v>
      </c>
      <c r="R386" s="6" t="s">
        <v>667</v>
      </c>
      <c r="S386" s="6"/>
    </row>
    <row r="387" ht="15" customHeight="1" spans="1:19" x14ac:dyDescent="0.25">
      <c r="A387" s="6" t="s">
        <v>672</v>
      </c>
      <c r="B387" s="6" t="s">
        <v>61</v>
      </c>
      <c r="C387" s="6" t="s">
        <v>116</v>
      </c>
      <c r="D387" s="6" t="s">
        <v>180</v>
      </c>
      <c r="E387" s="6">
        <v>6</v>
      </c>
      <c r="F387" s="7">
        <v>25</v>
      </c>
      <c r="G387" s="7">
        <v>0</v>
      </c>
      <c r="H387" s="7">
        <v>27.4</v>
      </c>
      <c r="I387" s="7">
        <v>0.6</v>
      </c>
      <c r="J387" s="7">
        <v>1.2</v>
      </c>
      <c r="K387" s="7">
        <v>2</v>
      </c>
      <c r="L387" s="6">
        <v>42</v>
      </c>
      <c r="M387" s="6">
        <v>60</v>
      </c>
      <c r="N387" s="7">
        <v>47.1</v>
      </c>
      <c r="O387" s="6" t="s">
        <v>201</v>
      </c>
      <c r="P387" s="6" t="s">
        <v>449</v>
      </c>
      <c r="Q387" s="6" t="s">
        <v>666</v>
      </c>
      <c r="R387" s="6" t="s">
        <v>667</v>
      </c>
      <c r="S387" s="6"/>
    </row>
    <row r="388" ht="15" customHeight="1" spans="1:19" x14ac:dyDescent="0.25">
      <c r="A388" s="6" t="s">
        <v>673</v>
      </c>
      <c r="B388" s="6" t="s">
        <v>61</v>
      </c>
      <c r="C388" s="6" t="s">
        <v>116</v>
      </c>
      <c r="D388" s="6" t="s">
        <v>180</v>
      </c>
      <c r="E388" s="6">
        <v>7</v>
      </c>
      <c r="F388" s="7">
        <v>25.6</v>
      </c>
      <c r="G388" s="7">
        <v>0</v>
      </c>
      <c r="H388" s="7">
        <v>27.4</v>
      </c>
      <c r="I388" s="7">
        <v>0.6</v>
      </c>
      <c r="J388" s="7">
        <v>1.2</v>
      </c>
      <c r="K388" s="7">
        <v>2</v>
      </c>
      <c r="L388" s="6">
        <v>42</v>
      </c>
      <c r="M388" s="6">
        <v>60</v>
      </c>
      <c r="N388" s="7">
        <v>47.1</v>
      </c>
      <c r="O388" s="6" t="s">
        <v>201</v>
      </c>
      <c r="P388" s="6" t="s">
        <v>449</v>
      </c>
      <c r="Q388" s="6" t="s">
        <v>666</v>
      </c>
      <c r="R388" s="6" t="s">
        <v>667</v>
      </c>
      <c r="S388" s="6"/>
    </row>
    <row r="389" ht="15" customHeight="1" spans="1:19" x14ac:dyDescent="0.25">
      <c r="A389" s="6" t="s">
        <v>674</v>
      </c>
      <c r="B389" s="6" t="s">
        <v>61</v>
      </c>
      <c r="C389" s="6" t="s">
        <v>116</v>
      </c>
      <c r="D389" s="6" t="s">
        <v>180</v>
      </c>
      <c r="E389" s="6">
        <v>8</v>
      </c>
      <c r="F389" s="7">
        <v>26.2</v>
      </c>
      <c r="G389" s="7">
        <v>0</v>
      </c>
      <c r="H389" s="7">
        <v>27.4</v>
      </c>
      <c r="I389" s="7">
        <v>0.6</v>
      </c>
      <c r="J389" s="7">
        <v>1.2</v>
      </c>
      <c r="K389" s="7">
        <v>2</v>
      </c>
      <c r="L389" s="6">
        <v>42</v>
      </c>
      <c r="M389" s="6">
        <v>60</v>
      </c>
      <c r="N389" s="7">
        <v>47.1</v>
      </c>
      <c r="O389" s="6" t="s">
        <v>201</v>
      </c>
      <c r="P389" s="6" t="s">
        <v>449</v>
      </c>
      <c r="Q389" s="6" t="s">
        <v>666</v>
      </c>
      <c r="R389" s="6" t="s">
        <v>667</v>
      </c>
      <c r="S389" s="6"/>
    </row>
    <row r="390" ht="15" customHeight="1" spans="1:19" x14ac:dyDescent="0.25">
      <c r="A390" s="6" t="s">
        <v>675</v>
      </c>
      <c r="B390" s="6" t="s">
        <v>61</v>
      </c>
      <c r="C390" s="6" t="s">
        <v>116</v>
      </c>
      <c r="D390" s="6" t="s">
        <v>180</v>
      </c>
      <c r="E390" s="6">
        <v>9</v>
      </c>
      <c r="F390" s="7">
        <v>26.8</v>
      </c>
      <c r="G390" s="7">
        <v>0</v>
      </c>
      <c r="H390" s="7">
        <v>27.4</v>
      </c>
      <c r="I390" s="7">
        <v>0.6</v>
      </c>
      <c r="J390" s="7">
        <v>1.2</v>
      </c>
      <c r="K390" s="7">
        <v>2</v>
      </c>
      <c r="L390" s="6">
        <v>42</v>
      </c>
      <c r="M390" s="6">
        <v>60</v>
      </c>
      <c r="N390" s="7">
        <v>47.1</v>
      </c>
      <c r="O390" s="6" t="s">
        <v>201</v>
      </c>
      <c r="P390" s="6" t="s">
        <v>449</v>
      </c>
      <c r="Q390" s="6" t="s">
        <v>666</v>
      </c>
      <c r="R390" s="6" t="s">
        <v>667</v>
      </c>
      <c r="S390" s="6"/>
    </row>
    <row r="391" ht="15" customHeight="1" spans="1:19" x14ac:dyDescent="0.25">
      <c r="A391" s="6" t="s">
        <v>676</v>
      </c>
      <c r="B391" s="6" t="s">
        <v>61</v>
      </c>
      <c r="C391" s="6" t="s">
        <v>116</v>
      </c>
      <c r="D391" s="6" t="s">
        <v>180</v>
      </c>
      <c r="E391" s="6">
        <v>10</v>
      </c>
      <c r="F391" s="7">
        <v>27.4</v>
      </c>
      <c r="G391" s="7">
        <v>0</v>
      </c>
      <c r="H391" s="7">
        <v>27.4</v>
      </c>
      <c r="I391" s="7">
        <v>0.6</v>
      </c>
      <c r="J391" s="7">
        <v>1.2</v>
      </c>
      <c r="K391" s="7">
        <v>2</v>
      </c>
      <c r="L391" s="6">
        <v>42</v>
      </c>
      <c r="M391" s="6">
        <v>60</v>
      </c>
      <c r="N391" s="7">
        <v>47.1</v>
      </c>
      <c r="O391" s="6" t="s">
        <v>201</v>
      </c>
      <c r="P391" s="6" t="s">
        <v>449</v>
      </c>
      <c r="Q391" s="6" t="s">
        <v>666</v>
      </c>
      <c r="R391" s="6" t="s">
        <v>667</v>
      </c>
      <c r="S391" s="6"/>
    </row>
    <row r="392" ht="15" customHeight="1" spans="1:19" x14ac:dyDescent="0.25">
      <c r="A392" s="6" t="s">
        <v>677</v>
      </c>
      <c r="B392" s="6" t="s">
        <v>61</v>
      </c>
      <c r="C392" s="6" t="s">
        <v>116</v>
      </c>
      <c r="D392" s="6" t="s">
        <v>180</v>
      </c>
      <c r="E392" s="6">
        <v>11</v>
      </c>
      <c r="F392" s="7">
        <v>28</v>
      </c>
      <c r="G392" s="7">
        <v>0</v>
      </c>
      <c r="H392" s="7">
        <v>27.4</v>
      </c>
      <c r="I392" s="7">
        <v>0.6</v>
      </c>
      <c r="J392" s="7">
        <v>1.2</v>
      </c>
      <c r="K392" s="7">
        <v>2</v>
      </c>
      <c r="L392" s="6">
        <v>42</v>
      </c>
      <c r="M392" s="6">
        <v>60</v>
      </c>
      <c r="N392" s="7">
        <v>47.1</v>
      </c>
      <c r="O392" s="6" t="s">
        <v>201</v>
      </c>
      <c r="P392" s="6" t="s">
        <v>449</v>
      </c>
      <c r="Q392" s="6" t="s">
        <v>678</v>
      </c>
      <c r="R392" s="6" t="s">
        <v>679</v>
      </c>
      <c r="S392" s="6"/>
    </row>
    <row r="393" ht="15" customHeight="1" spans="1:19" x14ac:dyDescent="0.25">
      <c r="A393" s="6" t="s">
        <v>680</v>
      </c>
      <c r="B393" s="6" t="s">
        <v>61</v>
      </c>
      <c r="C393" s="6" t="s">
        <v>116</v>
      </c>
      <c r="D393" s="6" t="s">
        <v>180</v>
      </c>
      <c r="E393" s="6">
        <v>12</v>
      </c>
      <c r="F393" s="7">
        <v>28.6</v>
      </c>
      <c r="G393" s="7">
        <v>0</v>
      </c>
      <c r="H393" s="7">
        <v>27.4</v>
      </c>
      <c r="I393" s="7">
        <v>0.6</v>
      </c>
      <c r="J393" s="7">
        <v>1.2</v>
      </c>
      <c r="K393" s="7">
        <v>2</v>
      </c>
      <c r="L393" s="6">
        <v>42</v>
      </c>
      <c r="M393" s="6">
        <v>60</v>
      </c>
      <c r="N393" s="7">
        <v>47.1</v>
      </c>
      <c r="O393" s="6" t="s">
        <v>201</v>
      </c>
      <c r="P393" s="6" t="s">
        <v>449</v>
      </c>
      <c r="Q393" s="6" t="s">
        <v>678</v>
      </c>
      <c r="R393" s="6" t="s">
        <v>679</v>
      </c>
      <c r="S393" s="6"/>
    </row>
    <row r="394" ht="15" customHeight="1" spans="1:19" x14ac:dyDescent="0.25">
      <c r="A394" s="6" t="s">
        <v>681</v>
      </c>
      <c r="B394" s="6" t="s">
        <v>61</v>
      </c>
      <c r="C394" s="6" t="s">
        <v>116</v>
      </c>
      <c r="D394" s="6" t="s">
        <v>180</v>
      </c>
      <c r="E394" s="6">
        <v>13</v>
      </c>
      <c r="F394" s="7">
        <v>29.2</v>
      </c>
      <c r="G394" s="7">
        <v>0</v>
      </c>
      <c r="H394" s="7">
        <v>27.4</v>
      </c>
      <c r="I394" s="7">
        <v>0.6</v>
      </c>
      <c r="J394" s="7">
        <v>1.2</v>
      </c>
      <c r="K394" s="7">
        <v>2</v>
      </c>
      <c r="L394" s="6">
        <v>42</v>
      </c>
      <c r="M394" s="6">
        <v>60</v>
      </c>
      <c r="N394" s="7">
        <v>47.1</v>
      </c>
      <c r="O394" s="6" t="s">
        <v>201</v>
      </c>
      <c r="P394" s="6" t="s">
        <v>449</v>
      </c>
      <c r="Q394" s="6" t="s">
        <v>678</v>
      </c>
      <c r="R394" s="6" t="s">
        <v>679</v>
      </c>
      <c r="S394" s="6"/>
    </row>
    <row r="395" ht="15" customHeight="1" spans="1:19" x14ac:dyDescent="0.25">
      <c r="A395" s="6" t="s">
        <v>682</v>
      </c>
      <c r="B395" s="6" t="s">
        <v>61</v>
      </c>
      <c r="C395" s="6" t="s">
        <v>116</v>
      </c>
      <c r="D395" s="6" t="s">
        <v>180</v>
      </c>
      <c r="E395" s="6">
        <v>14</v>
      </c>
      <c r="F395" s="7">
        <v>29.8</v>
      </c>
      <c r="G395" s="7">
        <v>0</v>
      </c>
      <c r="H395" s="7">
        <v>27.4</v>
      </c>
      <c r="I395" s="7">
        <v>0.6</v>
      </c>
      <c r="J395" s="7">
        <v>1.2</v>
      </c>
      <c r="K395" s="7">
        <v>2</v>
      </c>
      <c r="L395" s="6">
        <v>42</v>
      </c>
      <c r="M395" s="6">
        <v>60</v>
      </c>
      <c r="N395" s="7">
        <v>47.7</v>
      </c>
      <c r="O395" s="6" t="s">
        <v>201</v>
      </c>
      <c r="P395" s="6" t="s">
        <v>449</v>
      </c>
      <c r="Q395" s="6" t="s">
        <v>678</v>
      </c>
      <c r="R395" s="6" t="s">
        <v>679</v>
      </c>
      <c r="S395" s="6"/>
    </row>
    <row r="396" ht="15" customHeight="1" spans="1:19" x14ac:dyDescent="0.25">
      <c r="A396" s="6" t="s">
        <v>683</v>
      </c>
      <c r="B396" s="6" t="s">
        <v>61</v>
      </c>
      <c r="C396" s="6" t="s">
        <v>116</v>
      </c>
      <c r="D396" s="6" t="s">
        <v>180</v>
      </c>
      <c r="E396" s="6">
        <v>15</v>
      </c>
      <c r="F396" s="7">
        <v>30.4</v>
      </c>
      <c r="G396" s="7">
        <v>0</v>
      </c>
      <c r="H396" s="7">
        <v>27.4</v>
      </c>
      <c r="I396" s="7">
        <v>0.6</v>
      </c>
      <c r="J396" s="7">
        <v>1.2</v>
      </c>
      <c r="K396" s="7">
        <v>2</v>
      </c>
      <c r="L396" s="6">
        <v>42</v>
      </c>
      <c r="M396" s="6">
        <v>60</v>
      </c>
      <c r="N396" s="7">
        <v>0</v>
      </c>
      <c r="O396" s="6" t="s">
        <v>225</v>
      </c>
      <c r="P396" s="6"/>
      <c r="Q396" s="6" t="s">
        <v>678</v>
      </c>
      <c r="R396" s="6" t="s">
        <v>679</v>
      </c>
      <c r="S396" s="6"/>
    </row>
    <row r="397" ht="15" customHeight="1" spans="1:19" x14ac:dyDescent="0.25">
      <c r="A397" s="6" t="s">
        <v>684</v>
      </c>
      <c r="B397" s="6" t="s">
        <v>61</v>
      </c>
      <c r="C397" s="6" t="s">
        <v>116</v>
      </c>
      <c r="D397" s="6" t="s">
        <v>180</v>
      </c>
      <c r="E397" s="6">
        <v>16</v>
      </c>
      <c r="F397" s="7">
        <v>31</v>
      </c>
      <c r="G397" s="7">
        <v>0</v>
      </c>
      <c r="H397" s="7">
        <v>27.4</v>
      </c>
      <c r="I397" s="7">
        <v>0.6</v>
      </c>
      <c r="J397" s="7">
        <v>1.2</v>
      </c>
      <c r="K397" s="7">
        <v>2</v>
      </c>
      <c r="L397" s="6">
        <v>42</v>
      </c>
      <c r="M397" s="6">
        <v>60</v>
      </c>
      <c r="N397" s="7">
        <v>0</v>
      </c>
      <c r="O397" s="6" t="s">
        <v>225</v>
      </c>
      <c r="P397" s="6"/>
      <c r="Q397" s="6" t="s">
        <v>678</v>
      </c>
      <c r="R397" s="6" t="s">
        <v>679</v>
      </c>
      <c r="S397" s="6"/>
    </row>
    <row r="398" ht="15" customHeight="1" spans="1:19" x14ac:dyDescent="0.25">
      <c r="A398" s="6" t="s">
        <v>685</v>
      </c>
      <c r="B398" s="6" t="s">
        <v>61</v>
      </c>
      <c r="C398" s="6" t="s">
        <v>116</v>
      </c>
      <c r="D398" s="6" t="s">
        <v>180</v>
      </c>
      <c r="E398" s="6">
        <v>17</v>
      </c>
      <c r="F398" s="7">
        <v>31.6</v>
      </c>
      <c r="G398" s="7">
        <v>0</v>
      </c>
      <c r="H398" s="7">
        <v>27.4</v>
      </c>
      <c r="I398" s="7">
        <v>0.6</v>
      </c>
      <c r="J398" s="7">
        <v>1.2</v>
      </c>
      <c r="K398" s="7">
        <v>2</v>
      </c>
      <c r="L398" s="6">
        <v>42</v>
      </c>
      <c r="M398" s="6">
        <v>60</v>
      </c>
      <c r="N398" s="7">
        <v>0</v>
      </c>
      <c r="O398" s="6" t="s">
        <v>225</v>
      </c>
      <c r="P398" s="6"/>
      <c r="Q398" s="6" t="s">
        <v>678</v>
      </c>
      <c r="R398" s="6" t="s">
        <v>679</v>
      </c>
      <c r="S398" s="6"/>
    </row>
    <row r="399" ht="15" customHeight="1" spans="1:19" x14ac:dyDescent="0.25">
      <c r="A399" s="6" t="s">
        <v>686</v>
      </c>
      <c r="B399" s="6" t="s">
        <v>61</v>
      </c>
      <c r="C399" s="6" t="s">
        <v>116</v>
      </c>
      <c r="D399" s="6" t="s">
        <v>180</v>
      </c>
      <c r="E399" s="6">
        <v>18</v>
      </c>
      <c r="F399" s="7">
        <v>32.2</v>
      </c>
      <c r="G399" s="7">
        <v>0</v>
      </c>
      <c r="H399" s="7">
        <v>27.4</v>
      </c>
      <c r="I399" s="7">
        <v>0.6</v>
      </c>
      <c r="J399" s="7">
        <v>1.2</v>
      </c>
      <c r="K399" s="7">
        <v>2</v>
      </c>
      <c r="L399" s="6">
        <v>42</v>
      </c>
      <c r="M399" s="6">
        <v>60</v>
      </c>
      <c r="N399" s="7">
        <v>0</v>
      </c>
      <c r="O399" s="6" t="s">
        <v>225</v>
      </c>
      <c r="P399" s="6"/>
      <c r="Q399" s="6" t="s">
        <v>678</v>
      </c>
      <c r="R399" s="6" t="s">
        <v>679</v>
      </c>
      <c r="S399" s="6"/>
    </row>
    <row r="400" ht="15" customHeight="1" spans="1:19" x14ac:dyDescent="0.25">
      <c r="A400" s="6" t="s">
        <v>687</v>
      </c>
      <c r="B400" s="6" t="s">
        <v>61</v>
      </c>
      <c r="C400" s="6" t="s">
        <v>116</v>
      </c>
      <c r="D400" s="6" t="s">
        <v>180</v>
      </c>
      <c r="E400" s="6">
        <v>19</v>
      </c>
      <c r="F400" s="7">
        <v>32.8</v>
      </c>
      <c r="G400" s="7">
        <v>0</v>
      </c>
      <c r="H400" s="7">
        <v>27.4</v>
      </c>
      <c r="I400" s="7">
        <v>0.6</v>
      </c>
      <c r="J400" s="7">
        <v>1.2</v>
      </c>
      <c r="K400" s="7">
        <v>2</v>
      </c>
      <c r="L400" s="6">
        <v>42</v>
      </c>
      <c r="M400" s="6">
        <v>60</v>
      </c>
      <c r="N400" s="7">
        <v>0</v>
      </c>
      <c r="O400" s="6" t="s">
        <v>225</v>
      </c>
      <c r="P400" s="6"/>
      <c r="Q400" s="6" t="s">
        <v>678</v>
      </c>
      <c r="R400" s="6" t="s">
        <v>679</v>
      </c>
      <c r="S400" s="6"/>
    </row>
    <row r="401" ht="15" customHeight="1" spans="1:19" x14ac:dyDescent="0.25">
      <c r="A401" s="6" t="s">
        <v>688</v>
      </c>
      <c r="B401" s="6" t="s">
        <v>61</v>
      </c>
      <c r="C401" s="6" t="s">
        <v>116</v>
      </c>
      <c r="D401" s="6" t="s">
        <v>180</v>
      </c>
      <c r="E401" s="6">
        <v>20</v>
      </c>
      <c r="F401" s="7">
        <v>33.4</v>
      </c>
      <c r="G401" s="7">
        <v>0</v>
      </c>
      <c r="H401" s="7">
        <v>27.4</v>
      </c>
      <c r="I401" s="7">
        <v>0.6</v>
      </c>
      <c r="J401" s="7">
        <v>1.2</v>
      </c>
      <c r="K401" s="7">
        <v>2</v>
      </c>
      <c r="L401" s="6">
        <v>42</v>
      </c>
      <c r="M401" s="6">
        <v>60</v>
      </c>
      <c r="N401" s="7">
        <v>0</v>
      </c>
      <c r="O401" s="6" t="s">
        <v>225</v>
      </c>
      <c r="P401" s="6"/>
      <c r="Q401" s="6" t="s">
        <v>678</v>
      </c>
      <c r="R401" s="6" t="s">
        <v>679</v>
      </c>
      <c r="S401" s="6"/>
    </row>
    <row r="402" ht="15" customHeight="1" spans="1:19" x14ac:dyDescent="0.25">
      <c r="A402" s="6" t="s">
        <v>689</v>
      </c>
      <c r="B402" s="6" t="s">
        <v>61</v>
      </c>
      <c r="C402" s="6" t="s">
        <v>116</v>
      </c>
      <c r="D402" s="6" t="s">
        <v>181</v>
      </c>
      <c r="E402" s="6">
        <v>1</v>
      </c>
      <c r="F402" s="7">
        <v>22</v>
      </c>
      <c r="G402" s="7">
        <v>0</v>
      </c>
      <c r="H402" s="7">
        <v>29.8</v>
      </c>
      <c r="I402" s="7">
        <v>0.6</v>
      </c>
      <c r="J402" s="7">
        <v>1.2</v>
      </c>
      <c r="K402" s="7">
        <v>2</v>
      </c>
      <c r="L402" s="6">
        <v>42</v>
      </c>
      <c r="M402" s="6">
        <v>60</v>
      </c>
      <c r="N402" s="7">
        <v>46</v>
      </c>
      <c r="O402" s="6" t="s">
        <v>201</v>
      </c>
      <c r="P402" s="6" t="s">
        <v>449</v>
      </c>
      <c r="Q402" s="6" t="s">
        <v>690</v>
      </c>
      <c r="R402" s="6" t="s">
        <v>691</v>
      </c>
      <c r="S402" s="6"/>
    </row>
    <row r="403" ht="15" customHeight="1" spans="1:19" x14ac:dyDescent="0.25">
      <c r="A403" s="6" t="s">
        <v>692</v>
      </c>
      <c r="B403" s="6" t="s">
        <v>61</v>
      </c>
      <c r="C403" s="6" t="s">
        <v>116</v>
      </c>
      <c r="D403" s="6" t="s">
        <v>181</v>
      </c>
      <c r="E403" s="6">
        <v>2</v>
      </c>
      <c r="F403" s="7">
        <v>22.6</v>
      </c>
      <c r="G403" s="7">
        <v>0</v>
      </c>
      <c r="H403" s="7">
        <v>29.8</v>
      </c>
      <c r="I403" s="7">
        <v>0.6</v>
      </c>
      <c r="J403" s="7">
        <v>1.2</v>
      </c>
      <c r="K403" s="7">
        <v>2</v>
      </c>
      <c r="L403" s="6">
        <v>42</v>
      </c>
      <c r="M403" s="6">
        <v>60</v>
      </c>
      <c r="N403" s="7">
        <v>46</v>
      </c>
      <c r="O403" s="6" t="s">
        <v>201</v>
      </c>
      <c r="P403" s="6" t="s">
        <v>449</v>
      </c>
      <c r="Q403" s="6" t="s">
        <v>690</v>
      </c>
      <c r="R403" s="6" t="s">
        <v>691</v>
      </c>
      <c r="S403" s="6"/>
    </row>
    <row r="404" ht="15" customHeight="1" spans="1:19" x14ac:dyDescent="0.25">
      <c r="A404" s="6" t="s">
        <v>693</v>
      </c>
      <c r="B404" s="6" t="s">
        <v>61</v>
      </c>
      <c r="C404" s="6" t="s">
        <v>116</v>
      </c>
      <c r="D404" s="6" t="s">
        <v>181</v>
      </c>
      <c r="E404" s="6">
        <v>3</v>
      </c>
      <c r="F404" s="7">
        <v>23.2</v>
      </c>
      <c r="G404" s="7">
        <v>0</v>
      </c>
      <c r="H404" s="7">
        <v>29.8</v>
      </c>
      <c r="I404" s="7">
        <v>0.6</v>
      </c>
      <c r="J404" s="7">
        <v>1.2</v>
      </c>
      <c r="K404" s="7">
        <v>2</v>
      </c>
      <c r="L404" s="6">
        <v>42</v>
      </c>
      <c r="M404" s="6">
        <v>60</v>
      </c>
      <c r="N404" s="7">
        <v>46</v>
      </c>
      <c r="O404" s="6" t="s">
        <v>201</v>
      </c>
      <c r="P404" s="6" t="s">
        <v>449</v>
      </c>
      <c r="Q404" s="6" t="s">
        <v>690</v>
      </c>
      <c r="R404" s="6" t="s">
        <v>691</v>
      </c>
      <c r="S404" s="6"/>
    </row>
    <row r="405" ht="15" customHeight="1" spans="1:19" x14ac:dyDescent="0.25">
      <c r="A405" s="6" t="s">
        <v>694</v>
      </c>
      <c r="B405" s="6" t="s">
        <v>61</v>
      </c>
      <c r="C405" s="6" t="s">
        <v>116</v>
      </c>
      <c r="D405" s="6" t="s">
        <v>181</v>
      </c>
      <c r="E405" s="6">
        <v>4</v>
      </c>
      <c r="F405" s="7">
        <v>23.8</v>
      </c>
      <c r="G405" s="7">
        <v>0</v>
      </c>
      <c r="H405" s="7">
        <v>29.8</v>
      </c>
      <c r="I405" s="7">
        <v>0.6</v>
      </c>
      <c r="J405" s="7">
        <v>1.2</v>
      </c>
      <c r="K405" s="7">
        <v>2</v>
      </c>
      <c r="L405" s="6">
        <v>42</v>
      </c>
      <c r="M405" s="6">
        <v>60</v>
      </c>
      <c r="N405" s="7">
        <v>46</v>
      </c>
      <c r="O405" s="6" t="s">
        <v>201</v>
      </c>
      <c r="P405" s="6" t="s">
        <v>449</v>
      </c>
      <c r="Q405" s="6" t="s">
        <v>690</v>
      </c>
      <c r="R405" s="6" t="s">
        <v>691</v>
      </c>
      <c r="S405" s="6"/>
    </row>
    <row r="406" ht="15" customHeight="1" spans="1:19" x14ac:dyDescent="0.25">
      <c r="A406" s="6" t="s">
        <v>695</v>
      </c>
      <c r="B406" s="6" t="s">
        <v>61</v>
      </c>
      <c r="C406" s="6" t="s">
        <v>116</v>
      </c>
      <c r="D406" s="6" t="s">
        <v>181</v>
      </c>
      <c r="E406" s="6">
        <v>5</v>
      </c>
      <c r="F406" s="7">
        <v>24.4</v>
      </c>
      <c r="G406" s="7">
        <v>0</v>
      </c>
      <c r="H406" s="7">
        <v>29.8</v>
      </c>
      <c r="I406" s="7">
        <v>0.6</v>
      </c>
      <c r="J406" s="7">
        <v>1.2</v>
      </c>
      <c r="K406" s="7">
        <v>2</v>
      </c>
      <c r="L406" s="6">
        <v>42</v>
      </c>
      <c r="M406" s="6">
        <v>60</v>
      </c>
      <c r="N406" s="7">
        <v>46</v>
      </c>
      <c r="O406" s="6" t="s">
        <v>201</v>
      </c>
      <c r="P406" s="6" t="s">
        <v>449</v>
      </c>
      <c r="Q406" s="6" t="s">
        <v>690</v>
      </c>
      <c r="R406" s="6" t="s">
        <v>691</v>
      </c>
      <c r="S406" s="6"/>
    </row>
    <row r="407" ht="15" customHeight="1" spans="1:19" x14ac:dyDescent="0.25">
      <c r="A407" s="6" t="s">
        <v>696</v>
      </c>
      <c r="B407" s="6" t="s">
        <v>61</v>
      </c>
      <c r="C407" s="6" t="s">
        <v>116</v>
      </c>
      <c r="D407" s="6" t="s">
        <v>181</v>
      </c>
      <c r="E407" s="6">
        <v>6</v>
      </c>
      <c r="F407" s="7">
        <v>25</v>
      </c>
      <c r="G407" s="7">
        <v>0</v>
      </c>
      <c r="H407" s="7">
        <v>29.8</v>
      </c>
      <c r="I407" s="7">
        <v>0.6</v>
      </c>
      <c r="J407" s="7">
        <v>1.2</v>
      </c>
      <c r="K407" s="7">
        <v>2</v>
      </c>
      <c r="L407" s="6">
        <v>42</v>
      </c>
      <c r="M407" s="6">
        <v>60</v>
      </c>
      <c r="N407" s="7">
        <v>46</v>
      </c>
      <c r="O407" s="6" t="s">
        <v>201</v>
      </c>
      <c r="P407" s="6" t="s">
        <v>449</v>
      </c>
      <c r="Q407" s="6" t="s">
        <v>690</v>
      </c>
      <c r="R407" s="6" t="s">
        <v>691</v>
      </c>
      <c r="S407" s="6"/>
    </row>
    <row r="408" ht="15" customHeight="1" spans="1:19" x14ac:dyDescent="0.25">
      <c r="A408" s="6" t="s">
        <v>697</v>
      </c>
      <c r="B408" s="6" t="s">
        <v>61</v>
      </c>
      <c r="C408" s="6" t="s">
        <v>116</v>
      </c>
      <c r="D408" s="6" t="s">
        <v>181</v>
      </c>
      <c r="E408" s="6">
        <v>7</v>
      </c>
      <c r="F408" s="7">
        <v>25.6</v>
      </c>
      <c r="G408" s="7">
        <v>0</v>
      </c>
      <c r="H408" s="7">
        <v>29.8</v>
      </c>
      <c r="I408" s="7">
        <v>0.6</v>
      </c>
      <c r="J408" s="7">
        <v>1.2</v>
      </c>
      <c r="K408" s="7">
        <v>2</v>
      </c>
      <c r="L408" s="6">
        <v>42</v>
      </c>
      <c r="M408" s="6">
        <v>60</v>
      </c>
      <c r="N408" s="7">
        <v>46</v>
      </c>
      <c r="O408" s="6" t="s">
        <v>201</v>
      </c>
      <c r="P408" s="6" t="s">
        <v>449</v>
      </c>
      <c r="Q408" s="6" t="s">
        <v>690</v>
      </c>
      <c r="R408" s="6" t="s">
        <v>691</v>
      </c>
      <c r="S408" s="6"/>
    </row>
    <row r="409" ht="15" customHeight="1" spans="1:19" x14ac:dyDescent="0.25">
      <c r="A409" s="6" t="s">
        <v>698</v>
      </c>
      <c r="B409" s="6" t="s">
        <v>61</v>
      </c>
      <c r="C409" s="6" t="s">
        <v>116</v>
      </c>
      <c r="D409" s="6" t="s">
        <v>181</v>
      </c>
      <c r="E409" s="6">
        <v>8</v>
      </c>
      <c r="F409" s="7">
        <v>26.2</v>
      </c>
      <c r="G409" s="7">
        <v>0</v>
      </c>
      <c r="H409" s="7">
        <v>29.8</v>
      </c>
      <c r="I409" s="7">
        <v>0.6</v>
      </c>
      <c r="J409" s="7">
        <v>1.2</v>
      </c>
      <c r="K409" s="7">
        <v>2</v>
      </c>
      <c r="L409" s="6">
        <v>42</v>
      </c>
      <c r="M409" s="6">
        <v>60</v>
      </c>
      <c r="N409" s="7">
        <v>46</v>
      </c>
      <c r="O409" s="6" t="s">
        <v>201</v>
      </c>
      <c r="P409" s="6" t="s">
        <v>449</v>
      </c>
      <c r="Q409" s="6" t="s">
        <v>690</v>
      </c>
      <c r="R409" s="6" t="s">
        <v>691</v>
      </c>
      <c r="S409" s="6"/>
    </row>
    <row r="410" ht="15" customHeight="1" spans="1:19" x14ac:dyDescent="0.25">
      <c r="A410" s="6" t="s">
        <v>699</v>
      </c>
      <c r="B410" s="6" t="s">
        <v>61</v>
      </c>
      <c r="C410" s="6" t="s">
        <v>116</v>
      </c>
      <c r="D410" s="6" t="s">
        <v>181</v>
      </c>
      <c r="E410" s="6">
        <v>9</v>
      </c>
      <c r="F410" s="7">
        <v>26.8</v>
      </c>
      <c r="G410" s="7">
        <v>0</v>
      </c>
      <c r="H410" s="7">
        <v>29.8</v>
      </c>
      <c r="I410" s="7">
        <v>0.6</v>
      </c>
      <c r="J410" s="7">
        <v>1.2</v>
      </c>
      <c r="K410" s="7">
        <v>2</v>
      </c>
      <c r="L410" s="6">
        <v>42</v>
      </c>
      <c r="M410" s="6">
        <v>60</v>
      </c>
      <c r="N410" s="7">
        <v>46</v>
      </c>
      <c r="O410" s="6" t="s">
        <v>201</v>
      </c>
      <c r="P410" s="6" t="s">
        <v>449</v>
      </c>
      <c r="Q410" s="6" t="s">
        <v>690</v>
      </c>
      <c r="R410" s="6" t="s">
        <v>691</v>
      </c>
      <c r="S410" s="6"/>
    </row>
    <row r="411" ht="15" customHeight="1" spans="1:19" x14ac:dyDescent="0.25">
      <c r="A411" s="6" t="s">
        <v>700</v>
      </c>
      <c r="B411" s="6" t="s">
        <v>61</v>
      </c>
      <c r="C411" s="6" t="s">
        <v>116</v>
      </c>
      <c r="D411" s="6" t="s">
        <v>181</v>
      </c>
      <c r="E411" s="6">
        <v>10</v>
      </c>
      <c r="F411" s="7">
        <v>27.4</v>
      </c>
      <c r="G411" s="7">
        <v>0</v>
      </c>
      <c r="H411" s="7">
        <v>29.8</v>
      </c>
      <c r="I411" s="7">
        <v>0.6</v>
      </c>
      <c r="J411" s="7">
        <v>1.2</v>
      </c>
      <c r="K411" s="7">
        <v>2</v>
      </c>
      <c r="L411" s="6">
        <v>42</v>
      </c>
      <c r="M411" s="6">
        <v>60</v>
      </c>
      <c r="N411" s="7">
        <v>46</v>
      </c>
      <c r="O411" s="6" t="s">
        <v>201</v>
      </c>
      <c r="P411" s="6" t="s">
        <v>449</v>
      </c>
      <c r="Q411" s="6" t="s">
        <v>690</v>
      </c>
      <c r="R411" s="6" t="s">
        <v>691</v>
      </c>
      <c r="S411" s="6"/>
    </row>
    <row r="412" ht="15" customHeight="1" spans="1:19" x14ac:dyDescent="0.25">
      <c r="A412" s="6" t="s">
        <v>701</v>
      </c>
      <c r="B412" s="6" t="s">
        <v>61</v>
      </c>
      <c r="C412" s="6" t="s">
        <v>116</v>
      </c>
      <c r="D412" s="6" t="s">
        <v>181</v>
      </c>
      <c r="E412" s="6">
        <v>11</v>
      </c>
      <c r="F412" s="7">
        <v>28</v>
      </c>
      <c r="G412" s="7">
        <v>0</v>
      </c>
      <c r="H412" s="7">
        <v>29.8</v>
      </c>
      <c r="I412" s="7">
        <v>0.6</v>
      </c>
      <c r="J412" s="7">
        <v>1.2</v>
      </c>
      <c r="K412" s="7">
        <v>2</v>
      </c>
      <c r="L412" s="6">
        <v>42</v>
      </c>
      <c r="M412" s="6">
        <v>60</v>
      </c>
      <c r="N412" s="7">
        <v>46</v>
      </c>
      <c r="O412" s="6" t="s">
        <v>201</v>
      </c>
      <c r="P412" s="6" t="s">
        <v>449</v>
      </c>
      <c r="Q412" s="6" t="s">
        <v>702</v>
      </c>
      <c r="R412" s="6" t="s">
        <v>703</v>
      </c>
      <c r="S412" s="6"/>
    </row>
    <row r="413" ht="15" customHeight="1" spans="1:19" x14ac:dyDescent="0.25">
      <c r="A413" s="6" t="s">
        <v>704</v>
      </c>
      <c r="B413" s="6" t="s">
        <v>61</v>
      </c>
      <c r="C413" s="6" t="s">
        <v>116</v>
      </c>
      <c r="D413" s="6" t="s">
        <v>181</v>
      </c>
      <c r="E413" s="6">
        <v>12</v>
      </c>
      <c r="F413" s="7">
        <v>28.6</v>
      </c>
      <c r="G413" s="7">
        <v>0</v>
      </c>
      <c r="H413" s="7">
        <v>29.8</v>
      </c>
      <c r="I413" s="7">
        <v>0.6</v>
      </c>
      <c r="J413" s="7">
        <v>1.2</v>
      </c>
      <c r="K413" s="7">
        <v>2</v>
      </c>
      <c r="L413" s="6">
        <v>42</v>
      </c>
      <c r="M413" s="6">
        <v>60</v>
      </c>
      <c r="N413" s="7">
        <v>46</v>
      </c>
      <c r="O413" s="6" t="s">
        <v>201</v>
      </c>
      <c r="P413" s="6" t="s">
        <v>449</v>
      </c>
      <c r="Q413" s="6" t="s">
        <v>702</v>
      </c>
      <c r="R413" s="6" t="s">
        <v>703</v>
      </c>
      <c r="S413" s="6"/>
    </row>
    <row r="414" ht="15" customHeight="1" spans="1:19" x14ac:dyDescent="0.25">
      <c r="A414" s="6" t="s">
        <v>705</v>
      </c>
      <c r="B414" s="6" t="s">
        <v>61</v>
      </c>
      <c r="C414" s="6" t="s">
        <v>116</v>
      </c>
      <c r="D414" s="6" t="s">
        <v>181</v>
      </c>
      <c r="E414" s="6">
        <v>13</v>
      </c>
      <c r="F414" s="7">
        <v>29.2</v>
      </c>
      <c r="G414" s="7">
        <v>0</v>
      </c>
      <c r="H414" s="7">
        <v>29.8</v>
      </c>
      <c r="I414" s="7">
        <v>0.6</v>
      </c>
      <c r="J414" s="7">
        <v>1.2</v>
      </c>
      <c r="K414" s="7">
        <v>2</v>
      </c>
      <c r="L414" s="6">
        <v>42</v>
      </c>
      <c r="M414" s="6">
        <v>60</v>
      </c>
      <c r="N414" s="7">
        <v>46</v>
      </c>
      <c r="O414" s="6" t="s">
        <v>201</v>
      </c>
      <c r="P414" s="6" t="s">
        <v>449</v>
      </c>
      <c r="Q414" s="6" t="s">
        <v>702</v>
      </c>
      <c r="R414" s="6" t="s">
        <v>703</v>
      </c>
      <c r="S414" s="6"/>
    </row>
    <row r="415" ht="15" customHeight="1" spans="1:19" x14ac:dyDescent="0.25">
      <c r="A415" s="6" t="s">
        <v>706</v>
      </c>
      <c r="B415" s="6" t="s">
        <v>61</v>
      </c>
      <c r="C415" s="6" t="s">
        <v>116</v>
      </c>
      <c r="D415" s="6" t="s">
        <v>181</v>
      </c>
      <c r="E415" s="6">
        <v>14</v>
      </c>
      <c r="F415" s="7">
        <v>29.8</v>
      </c>
      <c r="G415" s="7">
        <v>0</v>
      </c>
      <c r="H415" s="7">
        <v>29.8</v>
      </c>
      <c r="I415" s="7">
        <v>0.6</v>
      </c>
      <c r="J415" s="7">
        <v>1.2</v>
      </c>
      <c r="K415" s="7">
        <v>2</v>
      </c>
      <c r="L415" s="6">
        <v>42</v>
      </c>
      <c r="M415" s="6">
        <v>60</v>
      </c>
      <c r="N415" s="7">
        <v>46</v>
      </c>
      <c r="O415" s="6" t="s">
        <v>201</v>
      </c>
      <c r="P415" s="6" t="s">
        <v>449</v>
      </c>
      <c r="Q415" s="6" t="s">
        <v>702</v>
      </c>
      <c r="R415" s="6" t="s">
        <v>703</v>
      </c>
      <c r="S415" s="6"/>
    </row>
    <row r="416" ht="15" customHeight="1" spans="1:19" x14ac:dyDescent="0.25">
      <c r="A416" s="6" t="s">
        <v>707</v>
      </c>
      <c r="B416" s="6" t="s">
        <v>61</v>
      </c>
      <c r="C416" s="6" t="s">
        <v>116</v>
      </c>
      <c r="D416" s="6" t="s">
        <v>181</v>
      </c>
      <c r="E416" s="6">
        <v>15</v>
      </c>
      <c r="F416" s="7">
        <v>30.4</v>
      </c>
      <c r="G416" s="7">
        <v>0</v>
      </c>
      <c r="H416" s="7">
        <v>29.8</v>
      </c>
      <c r="I416" s="7">
        <v>0.6</v>
      </c>
      <c r="J416" s="7">
        <v>1.2</v>
      </c>
      <c r="K416" s="7">
        <v>2</v>
      </c>
      <c r="L416" s="6">
        <v>42</v>
      </c>
      <c r="M416" s="6">
        <v>60</v>
      </c>
      <c r="N416" s="7">
        <v>46</v>
      </c>
      <c r="O416" s="6" t="s">
        <v>201</v>
      </c>
      <c r="P416" s="6" t="s">
        <v>449</v>
      </c>
      <c r="Q416" s="6" t="s">
        <v>702</v>
      </c>
      <c r="R416" s="6" t="s">
        <v>703</v>
      </c>
      <c r="S416" s="6"/>
    </row>
    <row r="417" ht="15" customHeight="1" spans="1:19" x14ac:dyDescent="0.25">
      <c r="A417" s="6" t="s">
        <v>708</v>
      </c>
      <c r="B417" s="6" t="s">
        <v>61</v>
      </c>
      <c r="C417" s="6" t="s">
        <v>116</v>
      </c>
      <c r="D417" s="6" t="s">
        <v>181</v>
      </c>
      <c r="E417" s="6">
        <v>16</v>
      </c>
      <c r="F417" s="7">
        <v>31</v>
      </c>
      <c r="G417" s="7">
        <v>0</v>
      </c>
      <c r="H417" s="7">
        <v>29.8</v>
      </c>
      <c r="I417" s="7">
        <v>0.6</v>
      </c>
      <c r="J417" s="7">
        <v>1.2</v>
      </c>
      <c r="K417" s="7">
        <v>2</v>
      </c>
      <c r="L417" s="6">
        <v>42</v>
      </c>
      <c r="M417" s="6">
        <v>60</v>
      </c>
      <c r="N417" s="7">
        <v>0</v>
      </c>
      <c r="O417" s="6" t="s">
        <v>225</v>
      </c>
      <c r="P417" s="6"/>
      <c r="Q417" s="6" t="s">
        <v>702</v>
      </c>
      <c r="R417" s="6" t="s">
        <v>703</v>
      </c>
      <c r="S417" s="6"/>
    </row>
    <row r="418" ht="15" customHeight="1" spans="1:19" x14ac:dyDescent="0.25">
      <c r="A418" s="6" t="s">
        <v>709</v>
      </c>
      <c r="B418" s="6" t="s">
        <v>61</v>
      </c>
      <c r="C418" s="6" t="s">
        <v>116</v>
      </c>
      <c r="D418" s="6" t="s">
        <v>181</v>
      </c>
      <c r="E418" s="6">
        <v>17</v>
      </c>
      <c r="F418" s="7">
        <v>31.6</v>
      </c>
      <c r="G418" s="7">
        <v>0</v>
      </c>
      <c r="H418" s="7">
        <v>29.8</v>
      </c>
      <c r="I418" s="7">
        <v>0.6</v>
      </c>
      <c r="J418" s="7">
        <v>1.2</v>
      </c>
      <c r="K418" s="7">
        <v>2</v>
      </c>
      <c r="L418" s="6">
        <v>42</v>
      </c>
      <c r="M418" s="6">
        <v>60</v>
      </c>
      <c r="N418" s="7">
        <v>0</v>
      </c>
      <c r="O418" s="6" t="s">
        <v>225</v>
      </c>
      <c r="P418" s="6"/>
      <c r="Q418" s="6" t="s">
        <v>702</v>
      </c>
      <c r="R418" s="6" t="s">
        <v>703</v>
      </c>
      <c r="S418" s="6"/>
    </row>
    <row r="419" ht="15" customHeight="1" spans="1:19" x14ac:dyDescent="0.25">
      <c r="A419" s="6" t="s">
        <v>710</v>
      </c>
      <c r="B419" s="6" t="s">
        <v>61</v>
      </c>
      <c r="C419" s="6" t="s">
        <v>116</v>
      </c>
      <c r="D419" s="6" t="s">
        <v>181</v>
      </c>
      <c r="E419" s="6">
        <v>18</v>
      </c>
      <c r="F419" s="7">
        <v>32.2</v>
      </c>
      <c r="G419" s="7">
        <v>0</v>
      </c>
      <c r="H419" s="7">
        <v>29.8</v>
      </c>
      <c r="I419" s="7">
        <v>0.6</v>
      </c>
      <c r="J419" s="7">
        <v>1.2</v>
      </c>
      <c r="K419" s="7">
        <v>2</v>
      </c>
      <c r="L419" s="6">
        <v>42</v>
      </c>
      <c r="M419" s="6">
        <v>60</v>
      </c>
      <c r="N419" s="7">
        <v>0</v>
      </c>
      <c r="O419" s="6" t="s">
        <v>225</v>
      </c>
      <c r="P419" s="6"/>
      <c r="Q419" s="6" t="s">
        <v>702</v>
      </c>
      <c r="R419" s="6" t="s">
        <v>703</v>
      </c>
      <c r="S419" s="6"/>
    </row>
    <row r="420" ht="15" customHeight="1" spans="1:19" x14ac:dyDescent="0.25">
      <c r="A420" s="6" t="s">
        <v>711</v>
      </c>
      <c r="B420" s="6" t="s">
        <v>61</v>
      </c>
      <c r="C420" s="6" t="s">
        <v>116</v>
      </c>
      <c r="D420" s="6" t="s">
        <v>181</v>
      </c>
      <c r="E420" s="6">
        <v>19</v>
      </c>
      <c r="F420" s="7">
        <v>32.8</v>
      </c>
      <c r="G420" s="7">
        <v>0</v>
      </c>
      <c r="H420" s="7">
        <v>29.8</v>
      </c>
      <c r="I420" s="7">
        <v>0.6</v>
      </c>
      <c r="J420" s="7">
        <v>1.2</v>
      </c>
      <c r="K420" s="7">
        <v>2</v>
      </c>
      <c r="L420" s="6">
        <v>42</v>
      </c>
      <c r="M420" s="6">
        <v>60</v>
      </c>
      <c r="N420" s="7">
        <v>0</v>
      </c>
      <c r="O420" s="6" t="s">
        <v>225</v>
      </c>
      <c r="P420" s="6"/>
      <c r="Q420" s="6" t="s">
        <v>702</v>
      </c>
      <c r="R420" s="6" t="s">
        <v>703</v>
      </c>
      <c r="S420" s="6"/>
    </row>
    <row r="421" ht="15" customHeight="1" spans="1:19" x14ac:dyDescent="0.25">
      <c r="A421" s="6" t="s">
        <v>712</v>
      </c>
      <c r="B421" s="6" t="s">
        <v>61</v>
      </c>
      <c r="C421" s="6" t="s">
        <v>116</v>
      </c>
      <c r="D421" s="6" t="s">
        <v>181</v>
      </c>
      <c r="E421" s="6">
        <v>20</v>
      </c>
      <c r="F421" s="7">
        <v>33.4</v>
      </c>
      <c r="G421" s="7">
        <v>0</v>
      </c>
      <c r="H421" s="7">
        <v>29.8</v>
      </c>
      <c r="I421" s="7">
        <v>0.6</v>
      </c>
      <c r="J421" s="7">
        <v>1.2</v>
      </c>
      <c r="K421" s="7">
        <v>2</v>
      </c>
      <c r="L421" s="6">
        <v>42</v>
      </c>
      <c r="M421" s="6">
        <v>60</v>
      </c>
      <c r="N421" s="7">
        <v>0</v>
      </c>
      <c r="O421" s="6" t="s">
        <v>225</v>
      </c>
      <c r="P421" s="6"/>
      <c r="Q421" s="6" t="s">
        <v>702</v>
      </c>
      <c r="R421" s="6" t="s">
        <v>703</v>
      </c>
      <c r="S421" s="6"/>
    </row>
    <row r="422" ht="15" customHeight="1" spans="1:19" x14ac:dyDescent="0.25">
      <c r="A422" s="6" t="s">
        <v>713</v>
      </c>
      <c r="B422" s="6" t="s">
        <v>61</v>
      </c>
      <c r="C422" s="6" t="s">
        <v>116</v>
      </c>
      <c r="D422" s="6" t="s">
        <v>182</v>
      </c>
      <c r="E422" s="6">
        <v>1</v>
      </c>
      <c r="F422" s="7">
        <v>22</v>
      </c>
      <c r="G422" s="7">
        <v>0</v>
      </c>
      <c r="H422" s="7">
        <v>32.2</v>
      </c>
      <c r="I422" s="7">
        <v>0.6</v>
      </c>
      <c r="J422" s="7">
        <v>1.2</v>
      </c>
      <c r="K422" s="7">
        <v>2</v>
      </c>
      <c r="L422" s="6">
        <v>42</v>
      </c>
      <c r="M422" s="6">
        <v>60</v>
      </c>
      <c r="N422" s="7">
        <v>48.5</v>
      </c>
      <c r="O422" s="6" t="s">
        <v>201</v>
      </c>
      <c r="P422" s="6" t="s">
        <v>449</v>
      </c>
      <c r="Q422" s="6" t="s">
        <v>714</v>
      </c>
      <c r="R422" s="6" t="s">
        <v>715</v>
      </c>
      <c r="S422" s="6"/>
    </row>
    <row r="423" ht="15" customHeight="1" spans="1:19" x14ac:dyDescent="0.25">
      <c r="A423" s="6" t="s">
        <v>716</v>
      </c>
      <c r="B423" s="6" t="s">
        <v>61</v>
      </c>
      <c r="C423" s="6" t="s">
        <v>116</v>
      </c>
      <c r="D423" s="6" t="s">
        <v>182</v>
      </c>
      <c r="E423" s="6">
        <v>2</v>
      </c>
      <c r="F423" s="7">
        <v>22.6</v>
      </c>
      <c r="G423" s="7">
        <v>0</v>
      </c>
      <c r="H423" s="7">
        <v>32.2</v>
      </c>
      <c r="I423" s="7">
        <v>0.6</v>
      </c>
      <c r="J423" s="7">
        <v>1.2</v>
      </c>
      <c r="K423" s="7">
        <v>2</v>
      </c>
      <c r="L423" s="6">
        <v>42</v>
      </c>
      <c r="M423" s="6">
        <v>60</v>
      </c>
      <c r="N423" s="7">
        <v>48.5</v>
      </c>
      <c r="O423" s="6" t="s">
        <v>201</v>
      </c>
      <c r="P423" s="6" t="s">
        <v>449</v>
      </c>
      <c r="Q423" s="6" t="s">
        <v>714</v>
      </c>
      <c r="R423" s="6" t="s">
        <v>715</v>
      </c>
      <c r="S423" s="6"/>
    </row>
    <row r="424" ht="15" customHeight="1" spans="1:19" x14ac:dyDescent="0.25">
      <c r="A424" s="6" t="s">
        <v>717</v>
      </c>
      <c r="B424" s="6" t="s">
        <v>61</v>
      </c>
      <c r="C424" s="6" t="s">
        <v>116</v>
      </c>
      <c r="D424" s="6" t="s">
        <v>182</v>
      </c>
      <c r="E424" s="6">
        <v>3</v>
      </c>
      <c r="F424" s="7">
        <v>23.2</v>
      </c>
      <c r="G424" s="7">
        <v>0</v>
      </c>
      <c r="H424" s="7">
        <v>32.2</v>
      </c>
      <c r="I424" s="7">
        <v>0.6</v>
      </c>
      <c r="J424" s="7">
        <v>1.2</v>
      </c>
      <c r="K424" s="7">
        <v>2</v>
      </c>
      <c r="L424" s="6">
        <v>42</v>
      </c>
      <c r="M424" s="6">
        <v>60</v>
      </c>
      <c r="N424" s="7">
        <v>48.5</v>
      </c>
      <c r="O424" s="6" t="s">
        <v>201</v>
      </c>
      <c r="P424" s="6" t="s">
        <v>449</v>
      </c>
      <c r="Q424" s="6" t="s">
        <v>714</v>
      </c>
      <c r="R424" s="6" t="s">
        <v>715</v>
      </c>
      <c r="S424" s="6"/>
    </row>
    <row r="425" ht="15" customHeight="1" spans="1:19" x14ac:dyDescent="0.25">
      <c r="A425" s="6" t="s">
        <v>718</v>
      </c>
      <c r="B425" s="6" t="s">
        <v>61</v>
      </c>
      <c r="C425" s="6" t="s">
        <v>116</v>
      </c>
      <c r="D425" s="6" t="s">
        <v>182</v>
      </c>
      <c r="E425" s="6">
        <v>4</v>
      </c>
      <c r="F425" s="7">
        <v>23.8</v>
      </c>
      <c r="G425" s="7">
        <v>0</v>
      </c>
      <c r="H425" s="7">
        <v>32.2</v>
      </c>
      <c r="I425" s="7">
        <v>0.6</v>
      </c>
      <c r="J425" s="7">
        <v>1.2</v>
      </c>
      <c r="K425" s="7">
        <v>2</v>
      </c>
      <c r="L425" s="6">
        <v>42</v>
      </c>
      <c r="M425" s="6">
        <v>60</v>
      </c>
      <c r="N425" s="7">
        <v>48.5</v>
      </c>
      <c r="O425" s="6" t="s">
        <v>201</v>
      </c>
      <c r="P425" s="6" t="s">
        <v>449</v>
      </c>
      <c r="Q425" s="6" t="s">
        <v>714</v>
      </c>
      <c r="R425" s="6" t="s">
        <v>715</v>
      </c>
      <c r="S425" s="6"/>
    </row>
    <row r="426" ht="15" customHeight="1" spans="1:19" x14ac:dyDescent="0.25">
      <c r="A426" s="6" t="s">
        <v>719</v>
      </c>
      <c r="B426" s="6" t="s">
        <v>61</v>
      </c>
      <c r="C426" s="6" t="s">
        <v>116</v>
      </c>
      <c r="D426" s="6" t="s">
        <v>182</v>
      </c>
      <c r="E426" s="6">
        <v>5</v>
      </c>
      <c r="F426" s="7">
        <v>24.4</v>
      </c>
      <c r="G426" s="7">
        <v>0</v>
      </c>
      <c r="H426" s="7">
        <v>32.2</v>
      </c>
      <c r="I426" s="7">
        <v>0.6</v>
      </c>
      <c r="J426" s="7">
        <v>1.2</v>
      </c>
      <c r="K426" s="7">
        <v>2</v>
      </c>
      <c r="L426" s="6">
        <v>42</v>
      </c>
      <c r="M426" s="6">
        <v>60</v>
      </c>
      <c r="N426" s="7">
        <v>48.5</v>
      </c>
      <c r="O426" s="6" t="s">
        <v>201</v>
      </c>
      <c r="P426" s="6" t="s">
        <v>449</v>
      </c>
      <c r="Q426" s="6" t="s">
        <v>714</v>
      </c>
      <c r="R426" s="6" t="s">
        <v>715</v>
      </c>
      <c r="S426" s="6"/>
    </row>
    <row r="427" ht="15" customHeight="1" spans="1:19" x14ac:dyDescent="0.25">
      <c r="A427" s="6" t="s">
        <v>720</v>
      </c>
      <c r="B427" s="6" t="s">
        <v>61</v>
      </c>
      <c r="C427" s="6" t="s">
        <v>116</v>
      </c>
      <c r="D427" s="6" t="s">
        <v>182</v>
      </c>
      <c r="E427" s="6">
        <v>6</v>
      </c>
      <c r="F427" s="7">
        <v>25</v>
      </c>
      <c r="G427" s="7">
        <v>0</v>
      </c>
      <c r="H427" s="7">
        <v>32.2</v>
      </c>
      <c r="I427" s="7">
        <v>0.6</v>
      </c>
      <c r="J427" s="7">
        <v>1.2</v>
      </c>
      <c r="K427" s="7">
        <v>2</v>
      </c>
      <c r="L427" s="6">
        <v>42</v>
      </c>
      <c r="M427" s="6">
        <v>60</v>
      </c>
      <c r="N427" s="7">
        <v>48.5</v>
      </c>
      <c r="O427" s="6" t="s">
        <v>201</v>
      </c>
      <c r="P427" s="6" t="s">
        <v>449</v>
      </c>
      <c r="Q427" s="6" t="s">
        <v>714</v>
      </c>
      <c r="R427" s="6" t="s">
        <v>715</v>
      </c>
      <c r="S427" s="6"/>
    </row>
    <row r="428" ht="15" customHeight="1" spans="1:19" x14ac:dyDescent="0.25">
      <c r="A428" s="6" t="s">
        <v>721</v>
      </c>
      <c r="B428" s="6" t="s">
        <v>61</v>
      </c>
      <c r="C428" s="6" t="s">
        <v>116</v>
      </c>
      <c r="D428" s="6" t="s">
        <v>182</v>
      </c>
      <c r="E428" s="6">
        <v>7</v>
      </c>
      <c r="F428" s="7">
        <v>25.6</v>
      </c>
      <c r="G428" s="7">
        <v>0</v>
      </c>
      <c r="H428" s="7">
        <v>32.2</v>
      </c>
      <c r="I428" s="7">
        <v>0.6</v>
      </c>
      <c r="J428" s="7">
        <v>1.2</v>
      </c>
      <c r="K428" s="7">
        <v>2</v>
      </c>
      <c r="L428" s="6">
        <v>42</v>
      </c>
      <c r="M428" s="6">
        <v>60</v>
      </c>
      <c r="N428" s="7">
        <v>48.5</v>
      </c>
      <c r="O428" s="6" t="s">
        <v>201</v>
      </c>
      <c r="P428" s="6" t="s">
        <v>449</v>
      </c>
      <c r="Q428" s="6" t="s">
        <v>714</v>
      </c>
      <c r="R428" s="6" t="s">
        <v>715</v>
      </c>
      <c r="S428" s="6"/>
    </row>
    <row r="429" ht="15" customHeight="1" spans="1:19" x14ac:dyDescent="0.25">
      <c r="A429" s="6" t="s">
        <v>722</v>
      </c>
      <c r="B429" s="6" t="s">
        <v>61</v>
      </c>
      <c r="C429" s="6" t="s">
        <v>116</v>
      </c>
      <c r="D429" s="6" t="s">
        <v>182</v>
      </c>
      <c r="E429" s="6">
        <v>8</v>
      </c>
      <c r="F429" s="7">
        <v>26.2</v>
      </c>
      <c r="G429" s="7">
        <v>0</v>
      </c>
      <c r="H429" s="7">
        <v>32.2</v>
      </c>
      <c r="I429" s="7">
        <v>0.6</v>
      </c>
      <c r="J429" s="7">
        <v>1.2</v>
      </c>
      <c r="K429" s="7">
        <v>2</v>
      </c>
      <c r="L429" s="6">
        <v>42</v>
      </c>
      <c r="M429" s="6">
        <v>60</v>
      </c>
      <c r="N429" s="7">
        <v>48.5</v>
      </c>
      <c r="O429" s="6" t="s">
        <v>201</v>
      </c>
      <c r="P429" s="6" t="s">
        <v>449</v>
      </c>
      <c r="Q429" s="6" t="s">
        <v>714</v>
      </c>
      <c r="R429" s="6" t="s">
        <v>715</v>
      </c>
      <c r="S429" s="6"/>
    </row>
    <row r="430" ht="15" customHeight="1" spans="1:19" x14ac:dyDescent="0.25">
      <c r="A430" s="6" t="s">
        <v>723</v>
      </c>
      <c r="B430" s="6" t="s">
        <v>61</v>
      </c>
      <c r="C430" s="6" t="s">
        <v>116</v>
      </c>
      <c r="D430" s="6" t="s">
        <v>182</v>
      </c>
      <c r="E430" s="6">
        <v>9</v>
      </c>
      <c r="F430" s="7">
        <v>26.8</v>
      </c>
      <c r="G430" s="7">
        <v>0</v>
      </c>
      <c r="H430" s="7">
        <v>32.2</v>
      </c>
      <c r="I430" s="7">
        <v>0.6</v>
      </c>
      <c r="J430" s="7">
        <v>1.2</v>
      </c>
      <c r="K430" s="7">
        <v>2</v>
      </c>
      <c r="L430" s="6">
        <v>42</v>
      </c>
      <c r="M430" s="6">
        <v>60</v>
      </c>
      <c r="N430" s="7">
        <v>48.5</v>
      </c>
      <c r="O430" s="6" t="s">
        <v>201</v>
      </c>
      <c r="P430" s="6" t="s">
        <v>449</v>
      </c>
      <c r="Q430" s="6" t="s">
        <v>714</v>
      </c>
      <c r="R430" s="6" t="s">
        <v>715</v>
      </c>
      <c r="S430" s="6"/>
    </row>
    <row r="431" ht="15" customHeight="1" spans="1:19" x14ac:dyDescent="0.25">
      <c r="A431" s="6" t="s">
        <v>724</v>
      </c>
      <c r="B431" s="6" t="s">
        <v>61</v>
      </c>
      <c r="C431" s="6" t="s">
        <v>116</v>
      </c>
      <c r="D431" s="6" t="s">
        <v>182</v>
      </c>
      <c r="E431" s="6">
        <v>10</v>
      </c>
      <c r="F431" s="7">
        <v>27.4</v>
      </c>
      <c r="G431" s="7">
        <v>0</v>
      </c>
      <c r="H431" s="7">
        <v>32.2</v>
      </c>
      <c r="I431" s="7">
        <v>0.6</v>
      </c>
      <c r="J431" s="7">
        <v>1.2</v>
      </c>
      <c r="K431" s="7">
        <v>2</v>
      </c>
      <c r="L431" s="6">
        <v>42</v>
      </c>
      <c r="M431" s="6">
        <v>60</v>
      </c>
      <c r="N431" s="7">
        <v>48.5</v>
      </c>
      <c r="O431" s="6" t="s">
        <v>201</v>
      </c>
      <c r="P431" s="6" t="s">
        <v>449</v>
      </c>
      <c r="Q431" s="6" t="s">
        <v>714</v>
      </c>
      <c r="R431" s="6" t="s">
        <v>715</v>
      </c>
      <c r="S431" s="6"/>
    </row>
    <row r="432" ht="15" customHeight="1" spans="1:19" x14ac:dyDescent="0.25">
      <c r="A432" s="6" t="s">
        <v>725</v>
      </c>
      <c r="B432" s="6" t="s">
        <v>61</v>
      </c>
      <c r="C432" s="6" t="s">
        <v>116</v>
      </c>
      <c r="D432" s="6" t="s">
        <v>182</v>
      </c>
      <c r="E432" s="6">
        <v>11</v>
      </c>
      <c r="F432" s="7">
        <v>28</v>
      </c>
      <c r="G432" s="7">
        <v>0</v>
      </c>
      <c r="H432" s="7">
        <v>32.2</v>
      </c>
      <c r="I432" s="7">
        <v>0.6</v>
      </c>
      <c r="J432" s="7">
        <v>1.2</v>
      </c>
      <c r="K432" s="7">
        <v>2</v>
      </c>
      <c r="L432" s="6">
        <v>42</v>
      </c>
      <c r="M432" s="6">
        <v>60</v>
      </c>
      <c r="N432" s="7">
        <v>48.5</v>
      </c>
      <c r="O432" s="6" t="s">
        <v>201</v>
      </c>
      <c r="P432" s="6" t="s">
        <v>449</v>
      </c>
      <c r="Q432" s="6" t="s">
        <v>726</v>
      </c>
      <c r="R432" s="6" t="s">
        <v>727</v>
      </c>
      <c r="S432" s="6"/>
    </row>
    <row r="433" ht="15" customHeight="1" spans="1:19" x14ac:dyDescent="0.25">
      <c r="A433" s="6" t="s">
        <v>728</v>
      </c>
      <c r="B433" s="6" t="s">
        <v>61</v>
      </c>
      <c r="C433" s="6" t="s">
        <v>116</v>
      </c>
      <c r="D433" s="6" t="s">
        <v>182</v>
      </c>
      <c r="E433" s="6">
        <v>12</v>
      </c>
      <c r="F433" s="7">
        <v>28.6</v>
      </c>
      <c r="G433" s="7">
        <v>0</v>
      </c>
      <c r="H433" s="7">
        <v>32.2</v>
      </c>
      <c r="I433" s="7">
        <v>0.6</v>
      </c>
      <c r="J433" s="7">
        <v>1.2</v>
      </c>
      <c r="K433" s="7">
        <v>2</v>
      </c>
      <c r="L433" s="6">
        <v>42</v>
      </c>
      <c r="M433" s="6">
        <v>60</v>
      </c>
      <c r="N433" s="7">
        <v>48.5</v>
      </c>
      <c r="O433" s="6" t="s">
        <v>201</v>
      </c>
      <c r="P433" s="6" t="s">
        <v>449</v>
      </c>
      <c r="Q433" s="6" t="s">
        <v>726</v>
      </c>
      <c r="R433" s="6" t="s">
        <v>727</v>
      </c>
      <c r="S433" s="6"/>
    </row>
    <row r="434" ht="15" customHeight="1" spans="1:19" x14ac:dyDescent="0.25">
      <c r="A434" s="6" t="s">
        <v>729</v>
      </c>
      <c r="B434" s="6" t="s">
        <v>61</v>
      </c>
      <c r="C434" s="6" t="s">
        <v>116</v>
      </c>
      <c r="D434" s="6" t="s">
        <v>182</v>
      </c>
      <c r="E434" s="6">
        <v>13</v>
      </c>
      <c r="F434" s="7">
        <v>29.2</v>
      </c>
      <c r="G434" s="7">
        <v>0</v>
      </c>
      <c r="H434" s="7">
        <v>32.2</v>
      </c>
      <c r="I434" s="7">
        <v>0.6</v>
      </c>
      <c r="J434" s="7">
        <v>1.2</v>
      </c>
      <c r="K434" s="7">
        <v>2</v>
      </c>
      <c r="L434" s="6">
        <v>42</v>
      </c>
      <c r="M434" s="6">
        <v>60</v>
      </c>
      <c r="N434" s="7">
        <v>48</v>
      </c>
      <c r="O434" s="6" t="s">
        <v>201</v>
      </c>
      <c r="P434" s="6" t="s">
        <v>449</v>
      </c>
      <c r="Q434" s="6" t="s">
        <v>726</v>
      </c>
      <c r="R434" s="6" t="s">
        <v>727</v>
      </c>
      <c r="S434" s="6"/>
    </row>
    <row r="435" ht="15" customHeight="1" spans="1:19" x14ac:dyDescent="0.25">
      <c r="A435" s="6" t="s">
        <v>730</v>
      </c>
      <c r="B435" s="6" t="s">
        <v>61</v>
      </c>
      <c r="C435" s="6" t="s">
        <v>116</v>
      </c>
      <c r="D435" s="6" t="s">
        <v>182</v>
      </c>
      <c r="E435" s="6">
        <v>14</v>
      </c>
      <c r="F435" s="7">
        <v>29.8</v>
      </c>
      <c r="G435" s="7">
        <v>0</v>
      </c>
      <c r="H435" s="7">
        <v>32.2</v>
      </c>
      <c r="I435" s="7">
        <v>0.6</v>
      </c>
      <c r="J435" s="7">
        <v>1.2</v>
      </c>
      <c r="K435" s="7">
        <v>2</v>
      </c>
      <c r="L435" s="6">
        <v>42</v>
      </c>
      <c r="M435" s="6">
        <v>60</v>
      </c>
      <c r="N435" s="7">
        <v>0</v>
      </c>
      <c r="O435" s="6" t="s">
        <v>225</v>
      </c>
      <c r="P435" s="6"/>
      <c r="Q435" s="6" t="s">
        <v>726</v>
      </c>
      <c r="R435" s="6" t="s">
        <v>727</v>
      </c>
      <c r="S435" s="6"/>
    </row>
    <row r="436" ht="15" customHeight="1" spans="1:19" x14ac:dyDescent="0.25">
      <c r="A436" s="6" t="s">
        <v>731</v>
      </c>
      <c r="B436" s="6" t="s">
        <v>61</v>
      </c>
      <c r="C436" s="6" t="s">
        <v>116</v>
      </c>
      <c r="D436" s="6" t="s">
        <v>182</v>
      </c>
      <c r="E436" s="6">
        <v>15</v>
      </c>
      <c r="F436" s="7">
        <v>30.4</v>
      </c>
      <c r="G436" s="7">
        <v>0</v>
      </c>
      <c r="H436" s="7">
        <v>32.2</v>
      </c>
      <c r="I436" s="7">
        <v>0.6</v>
      </c>
      <c r="J436" s="7">
        <v>1.2</v>
      </c>
      <c r="K436" s="7">
        <v>2</v>
      </c>
      <c r="L436" s="6">
        <v>42</v>
      </c>
      <c r="M436" s="6">
        <v>60</v>
      </c>
      <c r="N436" s="7">
        <v>0</v>
      </c>
      <c r="O436" s="6" t="s">
        <v>225</v>
      </c>
      <c r="P436" s="6"/>
      <c r="Q436" s="6" t="s">
        <v>726</v>
      </c>
      <c r="R436" s="6" t="s">
        <v>727</v>
      </c>
      <c r="S436" s="6"/>
    </row>
    <row r="437" ht="15" customHeight="1" spans="1:19" x14ac:dyDescent="0.25">
      <c r="A437" s="6" t="s">
        <v>732</v>
      </c>
      <c r="B437" s="6" t="s">
        <v>61</v>
      </c>
      <c r="C437" s="6" t="s">
        <v>116</v>
      </c>
      <c r="D437" s="6" t="s">
        <v>182</v>
      </c>
      <c r="E437" s="6">
        <v>16</v>
      </c>
      <c r="F437" s="7">
        <v>31</v>
      </c>
      <c r="G437" s="7">
        <v>0</v>
      </c>
      <c r="H437" s="7">
        <v>32.2</v>
      </c>
      <c r="I437" s="7">
        <v>0.6</v>
      </c>
      <c r="J437" s="7">
        <v>1.2</v>
      </c>
      <c r="K437" s="7">
        <v>2</v>
      </c>
      <c r="L437" s="6">
        <v>42</v>
      </c>
      <c r="M437" s="6">
        <v>60</v>
      </c>
      <c r="N437" s="7">
        <v>0</v>
      </c>
      <c r="O437" s="6" t="s">
        <v>225</v>
      </c>
      <c r="P437" s="6"/>
      <c r="Q437" s="6" t="s">
        <v>726</v>
      </c>
      <c r="R437" s="6" t="s">
        <v>727</v>
      </c>
      <c r="S437" s="6"/>
    </row>
    <row r="438" ht="15" customHeight="1" spans="1:19" x14ac:dyDescent="0.25">
      <c r="A438" s="6" t="s">
        <v>733</v>
      </c>
      <c r="B438" s="6" t="s">
        <v>61</v>
      </c>
      <c r="C438" s="6" t="s">
        <v>116</v>
      </c>
      <c r="D438" s="6" t="s">
        <v>182</v>
      </c>
      <c r="E438" s="6">
        <v>17</v>
      </c>
      <c r="F438" s="7">
        <v>31.6</v>
      </c>
      <c r="G438" s="7">
        <v>0</v>
      </c>
      <c r="H438" s="7">
        <v>32.2</v>
      </c>
      <c r="I438" s="7">
        <v>0.6</v>
      </c>
      <c r="J438" s="7">
        <v>1.2</v>
      </c>
      <c r="K438" s="7">
        <v>2</v>
      </c>
      <c r="L438" s="6">
        <v>42</v>
      </c>
      <c r="M438" s="6">
        <v>60</v>
      </c>
      <c r="N438" s="7">
        <v>0</v>
      </c>
      <c r="O438" s="6" t="s">
        <v>225</v>
      </c>
      <c r="P438" s="6"/>
      <c r="Q438" s="6" t="s">
        <v>726</v>
      </c>
      <c r="R438" s="6" t="s">
        <v>727</v>
      </c>
      <c r="S438" s="6"/>
    </row>
    <row r="439" ht="15" customHeight="1" spans="1:19" x14ac:dyDescent="0.25">
      <c r="A439" s="6" t="s">
        <v>734</v>
      </c>
      <c r="B439" s="6" t="s">
        <v>61</v>
      </c>
      <c r="C439" s="6" t="s">
        <v>116</v>
      </c>
      <c r="D439" s="6" t="s">
        <v>182</v>
      </c>
      <c r="E439" s="6">
        <v>18</v>
      </c>
      <c r="F439" s="7">
        <v>32.2</v>
      </c>
      <c r="G439" s="7">
        <v>0</v>
      </c>
      <c r="H439" s="7">
        <v>32.2</v>
      </c>
      <c r="I439" s="7">
        <v>0.6</v>
      </c>
      <c r="J439" s="7">
        <v>1.2</v>
      </c>
      <c r="K439" s="7">
        <v>2</v>
      </c>
      <c r="L439" s="6">
        <v>42</v>
      </c>
      <c r="M439" s="6">
        <v>60</v>
      </c>
      <c r="N439" s="7">
        <v>0</v>
      </c>
      <c r="O439" s="6" t="s">
        <v>225</v>
      </c>
      <c r="P439" s="6"/>
      <c r="Q439" s="6" t="s">
        <v>726</v>
      </c>
      <c r="R439" s="6" t="s">
        <v>727</v>
      </c>
      <c r="S439" s="6"/>
    </row>
    <row r="440" ht="15" customHeight="1" spans="1:19" x14ac:dyDescent="0.25">
      <c r="A440" s="6" t="s">
        <v>735</v>
      </c>
      <c r="B440" s="6" t="s">
        <v>61</v>
      </c>
      <c r="C440" s="6" t="s">
        <v>116</v>
      </c>
      <c r="D440" s="6" t="s">
        <v>182</v>
      </c>
      <c r="E440" s="6">
        <v>19</v>
      </c>
      <c r="F440" s="7">
        <v>32.8</v>
      </c>
      <c r="G440" s="7">
        <v>0</v>
      </c>
      <c r="H440" s="7">
        <v>32.2</v>
      </c>
      <c r="I440" s="7">
        <v>0.6</v>
      </c>
      <c r="J440" s="7">
        <v>1.2</v>
      </c>
      <c r="K440" s="7">
        <v>2</v>
      </c>
      <c r="L440" s="6">
        <v>42</v>
      </c>
      <c r="M440" s="6">
        <v>60</v>
      </c>
      <c r="N440" s="7">
        <v>0</v>
      </c>
      <c r="O440" s="6" t="s">
        <v>225</v>
      </c>
      <c r="P440" s="6"/>
      <c r="Q440" s="6" t="s">
        <v>726</v>
      </c>
      <c r="R440" s="6" t="s">
        <v>727</v>
      </c>
      <c r="S440" s="6"/>
    </row>
    <row r="441" ht="15" customHeight="1" spans="1:19" x14ac:dyDescent="0.25">
      <c r="A441" s="6" t="s">
        <v>736</v>
      </c>
      <c r="B441" s="6" t="s">
        <v>61</v>
      </c>
      <c r="C441" s="6" t="s">
        <v>116</v>
      </c>
      <c r="D441" s="6" t="s">
        <v>182</v>
      </c>
      <c r="E441" s="6">
        <v>20</v>
      </c>
      <c r="F441" s="7">
        <v>33.4</v>
      </c>
      <c r="G441" s="7">
        <v>0</v>
      </c>
      <c r="H441" s="7">
        <v>32.2</v>
      </c>
      <c r="I441" s="7">
        <v>0.6</v>
      </c>
      <c r="J441" s="7">
        <v>1.2</v>
      </c>
      <c r="K441" s="7">
        <v>2</v>
      </c>
      <c r="L441" s="6">
        <v>42</v>
      </c>
      <c r="M441" s="6">
        <v>60</v>
      </c>
      <c r="N441" s="7">
        <v>0</v>
      </c>
      <c r="O441" s="6" t="s">
        <v>225</v>
      </c>
      <c r="P441" s="6"/>
      <c r="Q441" s="6" t="s">
        <v>726</v>
      </c>
      <c r="R441" s="6" t="s">
        <v>727</v>
      </c>
      <c r="S441" s="6"/>
    </row>
    <row r="442" ht="15" customHeight="1" spans="1:19" x14ac:dyDescent="0.25">
      <c r="A442" s="6" t="s">
        <v>737</v>
      </c>
      <c r="B442" s="6" t="s">
        <v>61</v>
      </c>
      <c r="C442" s="6" t="s">
        <v>116</v>
      </c>
      <c r="D442" s="6" t="s">
        <v>183</v>
      </c>
      <c r="E442" s="6">
        <v>1</v>
      </c>
      <c r="F442" s="7">
        <v>22</v>
      </c>
      <c r="G442" s="7">
        <v>0</v>
      </c>
      <c r="H442" s="7">
        <v>34.6</v>
      </c>
      <c r="I442" s="7">
        <v>0.6</v>
      </c>
      <c r="J442" s="7">
        <v>1.2</v>
      </c>
      <c r="K442" s="7">
        <v>2</v>
      </c>
      <c r="L442" s="6">
        <v>42</v>
      </c>
      <c r="M442" s="6">
        <v>60</v>
      </c>
      <c r="N442" s="7">
        <v>47.9</v>
      </c>
      <c r="O442" s="6" t="s">
        <v>201</v>
      </c>
      <c r="P442" s="6" t="s">
        <v>449</v>
      </c>
      <c r="Q442" s="6" t="s">
        <v>738</v>
      </c>
      <c r="R442" s="6" t="s">
        <v>739</v>
      </c>
      <c r="S442" s="6"/>
    </row>
    <row r="443" ht="15" customHeight="1" spans="1:19" x14ac:dyDescent="0.25">
      <c r="A443" s="6" t="s">
        <v>740</v>
      </c>
      <c r="B443" s="6" t="s">
        <v>61</v>
      </c>
      <c r="C443" s="6" t="s">
        <v>116</v>
      </c>
      <c r="D443" s="6" t="s">
        <v>183</v>
      </c>
      <c r="E443" s="6">
        <v>2</v>
      </c>
      <c r="F443" s="7">
        <v>22.6</v>
      </c>
      <c r="G443" s="7">
        <v>0</v>
      </c>
      <c r="H443" s="7">
        <v>34.6</v>
      </c>
      <c r="I443" s="7">
        <v>0.6</v>
      </c>
      <c r="J443" s="7">
        <v>1.2</v>
      </c>
      <c r="K443" s="7">
        <v>2</v>
      </c>
      <c r="L443" s="6">
        <v>42</v>
      </c>
      <c r="M443" s="6">
        <v>60</v>
      </c>
      <c r="N443" s="7">
        <v>47.9</v>
      </c>
      <c r="O443" s="6" t="s">
        <v>201</v>
      </c>
      <c r="P443" s="6" t="s">
        <v>449</v>
      </c>
      <c r="Q443" s="6" t="s">
        <v>738</v>
      </c>
      <c r="R443" s="6" t="s">
        <v>739</v>
      </c>
      <c r="S443" s="6"/>
    </row>
    <row r="444" ht="15" customHeight="1" spans="1:19" x14ac:dyDescent="0.25">
      <c r="A444" s="6" t="s">
        <v>741</v>
      </c>
      <c r="B444" s="6" t="s">
        <v>61</v>
      </c>
      <c r="C444" s="6" t="s">
        <v>116</v>
      </c>
      <c r="D444" s="6" t="s">
        <v>183</v>
      </c>
      <c r="E444" s="6">
        <v>3</v>
      </c>
      <c r="F444" s="7">
        <v>23.2</v>
      </c>
      <c r="G444" s="7">
        <v>0</v>
      </c>
      <c r="H444" s="7">
        <v>34.6</v>
      </c>
      <c r="I444" s="7">
        <v>0.6</v>
      </c>
      <c r="J444" s="7">
        <v>1.2</v>
      </c>
      <c r="K444" s="7">
        <v>2</v>
      </c>
      <c r="L444" s="6">
        <v>42</v>
      </c>
      <c r="M444" s="6">
        <v>60</v>
      </c>
      <c r="N444" s="7">
        <v>47.9</v>
      </c>
      <c r="O444" s="6" t="s">
        <v>201</v>
      </c>
      <c r="P444" s="6" t="s">
        <v>449</v>
      </c>
      <c r="Q444" s="6" t="s">
        <v>738</v>
      </c>
      <c r="R444" s="6" t="s">
        <v>739</v>
      </c>
      <c r="S444" s="6"/>
    </row>
    <row r="445" ht="15" customHeight="1" spans="1:19" x14ac:dyDescent="0.25">
      <c r="A445" s="6" t="s">
        <v>742</v>
      </c>
      <c r="B445" s="6" t="s">
        <v>61</v>
      </c>
      <c r="C445" s="6" t="s">
        <v>116</v>
      </c>
      <c r="D445" s="6" t="s">
        <v>183</v>
      </c>
      <c r="E445" s="6">
        <v>4</v>
      </c>
      <c r="F445" s="7">
        <v>23.8</v>
      </c>
      <c r="G445" s="7">
        <v>0</v>
      </c>
      <c r="H445" s="7">
        <v>34.6</v>
      </c>
      <c r="I445" s="7">
        <v>0.6</v>
      </c>
      <c r="J445" s="7">
        <v>1.2</v>
      </c>
      <c r="K445" s="7">
        <v>2</v>
      </c>
      <c r="L445" s="6">
        <v>42</v>
      </c>
      <c r="M445" s="6">
        <v>60</v>
      </c>
      <c r="N445" s="7">
        <v>47.9</v>
      </c>
      <c r="O445" s="6" t="s">
        <v>201</v>
      </c>
      <c r="P445" s="6" t="s">
        <v>449</v>
      </c>
      <c r="Q445" s="6" t="s">
        <v>738</v>
      </c>
      <c r="R445" s="6" t="s">
        <v>739</v>
      </c>
      <c r="S445" s="6"/>
    </row>
    <row r="446" ht="15" customHeight="1" spans="1:19" x14ac:dyDescent="0.25">
      <c r="A446" s="6" t="s">
        <v>743</v>
      </c>
      <c r="B446" s="6" t="s">
        <v>61</v>
      </c>
      <c r="C446" s="6" t="s">
        <v>116</v>
      </c>
      <c r="D446" s="6" t="s">
        <v>183</v>
      </c>
      <c r="E446" s="6">
        <v>5</v>
      </c>
      <c r="F446" s="7">
        <v>24.4</v>
      </c>
      <c r="G446" s="7">
        <v>0</v>
      </c>
      <c r="H446" s="7">
        <v>34.6</v>
      </c>
      <c r="I446" s="7">
        <v>0.6</v>
      </c>
      <c r="J446" s="7">
        <v>1.2</v>
      </c>
      <c r="K446" s="7">
        <v>2</v>
      </c>
      <c r="L446" s="6">
        <v>42</v>
      </c>
      <c r="M446" s="6">
        <v>60</v>
      </c>
      <c r="N446" s="7">
        <v>47.9</v>
      </c>
      <c r="O446" s="6" t="s">
        <v>201</v>
      </c>
      <c r="P446" s="6" t="s">
        <v>449</v>
      </c>
      <c r="Q446" s="6" t="s">
        <v>738</v>
      </c>
      <c r="R446" s="6" t="s">
        <v>739</v>
      </c>
      <c r="S446" s="6"/>
    </row>
    <row r="447" ht="15" customHeight="1" spans="1:19" x14ac:dyDescent="0.25">
      <c r="A447" s="6" t="s">
        <v>744</v>
      </c>
      <c r="B447" s="6" t="s">
        <v>61</v>
      </c>
      <c r="C447" s="6" t="s">
        <v>116</v>
      </c>
      <c r="D447" s="6" t="s">
        <v>183</v>
      </c>
      <c r="E447" s="6">
        <v>6</v>
      </c>
      <c r="F447" s="7">
        <v>25</v>
      </c>
      <c r="G447" s="7">
        <v>0</v>
      </c>
      <c r="H447" s="7">
        <v>34.6</v>
      </c>
      <c r="I447" s="7">
        <v>0.6</v>
      </c>
      <c r="J447" s="7">
        <v>1.2</v>
      </c>
      <c r="K447" s="7">
        <v>2</v>
      </c>
      <c r="L447" s="6">
        <v>42</v>
      </c>
      <c r="M447" s="6">
        <v>60</v>
      </c>
      <c r="N447" s="7">
        <v>47.9</v>
      </c>
      <c r="O447" s="6" t="s">
        <v>201</v>
      </c>
      <c r="P447" s="6" t="s">
        <v>449</v>
      </c>
      <c r="Q447" s="6" t="s">
        <v>738</v>
      </c>
      <c r="R447" s="6" t="s">
        <v>739</v>
      </c>
      <c r="S447" s="6"/>
    </row>
    <row r="448" ht="15" customHeight="1" spans="1:19" x14ac:dyDescent="0.25">
      <c r="A448" s="6" t="s">
        <v>745</v>
      </c>
      <c r="B448" s="6" t="s">
        <v>61</v>
      </c>
      <c r="C448" s="6" t="s">
        <v>116</v>
      </c>
      <c r="D448" s="6" t="s">
        <v>183</v>
      </c>
      <c r="E448" s="6">
        <v>7</v>
      </c>
      <c r="F448" s="7">
        <v>25.6</v>
      </c>
      <c r="G448" s="7">
        <v>0</v>
      </c>
      <c r="H448" s="7">
        <v>34.6</v>
      </c>
      <c r="I448" s="7">
        <v>0.6</v>
      </c>
      <c r="J448" s="7">
        <v>1.2</v>
      </c>
      <c r="K448" s="7">
        <v>2</v>
      </c>
      <c r="L448" s="6">
        <v>42</v>
      </c>
      <c r="M448" s="6">
        <v>60</v>
      </c>
      <c r="N448" s="7">
        <v>47.9</v>
      </c>
      <c r="O448" s="6" t="s">
        <v>201</v>
      </c>
      <c r="P448" s="6" t="s">
        <v>449</v>
      </c>
      <c r="Q448" s="6" t="s">
        <v>738</v>
      </c>
      <c r="R448" s="6" t="s">
        <v>739</v>
      </c>
      <c r="S448" s="6"/>
    </row>
    <row r="449" ht="15" customHeight="1" spans="1:19" x14ac:dyDescent="0.25">
      <c r="A449" s="6" t="s">
        <v>746</v>
      </c>
      <c r="B449" s="6" t="s">
        <v>61</v>
      </c>
      <c r="C449" s="6" t="s">
        <v>116</v>
      </c>
      <c r="D449" s="6" t="s">
        <v>183</v>
      </c>
      <c r="E449" s="6">
        <v>8</v>
      </c>
      <c r="F449" s="7">
        <v>26.2</v>
      </c>
      <c r="G449" s="7">
        <v>0</v>
      </c>
      <c r="H449" s="7">
        <v>34.6</v>
      </c>
      <c r="I449" s="7">
        <v>0.6</v>
      </c>
      <c r="J449" s="7">
        <v>1.2</v>
      </c>
      <c r="K449" s="7">
        <v>2</v>
      </c>
      <c r="L449" s="6">
        <v>42</v>
      </c>
      <c r="M449" s="6">
        <v>60</v>
      </c>
      <c r="N449" s="7">
        <v>47.9</v>
      </c>
      <c r="O449" s="6" t="s">
        <v>201</v>
      </c>
      <c r="P449" s="6" t="s">
        <v>449</v>
      </c>
      <c r="Q449" s="6" t="s">
        <v>738</v>
      </c>
      <c r="R449" s="6" t="s">
        <v>739</v>
      </c>
      <c r="S449" s="6"/>
    </row>
    <row r="450" ht="15" customHeight="1" spans="1:19" x14ac:dyDescent="0.25">
      <c r="A450" s="6" t="s">
        <v>747</v>
      </c>
      <c r="B450" s="6" t="s">
        <v>61</v>
      </c>
      <c r="C450" s="6" t="s">
        <v>116</v>
      </c>
      <c r="D450" s="6" t="s">
        <v>183</v>
      </c>
      <c r="E450" s="6">
        <v>9</v>
      </c>
      <c r="F450" s="7">
        <v>26.8</v>
      </c>
      <c r="G450" s="7">
        <v>0</v>
      </c>
      <c r="H450" s="7">
        <v>34.6</v>
      </c>
      <c r="I450" s="7">
        <v>0.6</v>
      </c>
      <c r="J450" s="7">
        <v>1.2</v>
      </c>
      <c r="K450" s="7">
        <v>2</v>
      </c>
      <c r="L450" s="6">
        <v>42</v>
      </c>
      <c r="M450" s="6">
        <v>60</v>
      </c>
      <c r="N450" s="7">
        <v>47.9</v>
      </c>
      <c r="O450" s="6" t="s">
        <v>201</v>
      </c>
      <c r="P450" s="6" t="s">
        <v>449</v>
      </c>
      <c r="Q450" s="6" t="s">
        <v>738</v>
      </c>
      <c r="R450" s="6" t="s">
        <v>739</v>
      </c>
      <c r="S450" s="6"/>
    </row>
    <row r="451" ht="15" customHeight="1" spans="1:19" x14ac:dyDescent="0.25">
      <c r="A451" s="6" t="s">
        <v>748</v>
      </c>
      <c r="B451" s="6" t="s">
        <v>61</v>
      </c>
      <c r="C451" s="6" t="s">
        <v>116</v>
      </c>
      <c r="D451" s="6" t="s">
        <v>183</v>
      </c>
      <c r="E451" s="6">
        <v>10</v>
      </c>
      <c r="F451" s="7">
        <v>27.4</v>
      </c>
      <c r="G451" s="7">
        <v>0</v>
      </c>
      <c r="H451" s="7">
        <v>34.6</v>
      </c>
      <c r="I451" s="7">
        <v>0.6</v>
      </c>
      <c r="J451" s="7">
        <v>1.2</v>
      </c>
      <c r="K451" s="7">
        <v>2</v>
      </c>
      <c r="L451" s="6">
        <v>42</v>
      </c>
      <c r="M451" s="6">
        <v>60</v>
      </c>
      <c r="N451" s="7">
        <v>47.9</v>
      </c>
      <c r="O451" s="6" t="s">
        <v>201</v>
      </c>
      <c r="P451" s="6" t="s">
        <v>449</v>
      </c>
      <c r="Q451" s="6" t="s">
        <v>738</v>
      </c>
      <c r="R451" s="6" t="s">
        <v>739</v>
      </c>
      <c r="S451" s="6"/>
    </row>
    <row r="452" ht="15" customHeight="1" spans="1:19" x14ac:dyDescent="0.25">
      <c r="A452" s="6" t="s">
        <v>749</v>
      </c>
      <c r="B452" s="6" t="s">
        <v>61</v>
      </c>
      <c r="C452" s="6" t="s">
        <v>116</v>
      </c>
      <c r="D452" s="6" t="s">
        <v>183</v>
      </c>
      <c r="E452" s="6">
        <v>11</v>
      </c>
      <c r="F452" s="7">
        <v>28</v>
      </c>
      <c r="G452" s="7">
        <v>0</v>
      </c>
      <c r="H452" s="7">
        <v>34.6</v>
      </c>
      <c r="I452" s="7">
        <v>0.6</v>
      </c>
      <c r="J452" s="7">
        <v>1.2</v>
      </c>
      <c r="K452" s="7">
        <v>2</v>
      </c>
      <c r="L452" s="6">
        <v>42</v>
      </c>
      <c r="M452" s="6">
        <v>60</v>
      </c>
      <c r="N452" s="7">
        <v>47.9</v>
      </c>
      <c r="O452" s="6" t="s">
        <v>201</v>
      </c>
      <c r="P452" s="6" t="s">
        <v>449</v>
      </c>
      <c r="Q452" s="6" t="s">
        <v>750</v>
      </c>
      <c r="R452" s="6" t="s">
        <v>751</v>
      </c>
      <c r="S452" s="6"/>
    </row>
    <row r="453" ht="15" customHeight="1" spans="1:19" x14ac:dyDescent="0.25">
      <c r="A453" s="6" t="s">
        <v>752</v>
      </c>
      <c r="B453" s="6" t="s">
        <v>61</v>
      </c>
      <c r="C453" s="6" t="s">
        <v>116</v>
      </c>
      <c r="D453" s="6" t="s">
        <v>183</v>
      </c>
      <c r="E453" s="6">
        <v>12</v>
      </c>
      <c r="F453" s="7">
        <v>28.6</v>
      </c>
      <c r="G453" s="7">
        <v>0</v>
      </c>
      <c r="H453" s="7">
        <v>34.6</v>
      </c>
      <c r="I453" s="7">
        <v>0.6</v>
      </c>
      <c r="J453" s="7">
        <v>1.2</v>
      </c>
      <c r="K453" s="7">
        <v>2</v>
      </c>
      <c r="L453" s="6">
        <v>42</v>
      </c>
      <c r="M453" s="6">
        <v>60</v>
      </c>
      <c r="N453" s="7">
        <v>47.9</v>
      </c>
      <c r="O453" s="6" t="s">
        <v>201</v>
      </c>
      <c r="P453" s="6" t="s">
        <v>449</v>
      </c>
      <c r="Q453" s="6" t="s">
        <v>750</v>
      </c>
      <c r="R453" s="6" t="s">
        <v>751</v>
      </c>
      <c r="S453" s="6"/>
    </row>
    <row r="454" ht="15" customHeight="1" spans="1:19" x14ac:dyDescent="0.25">
      <c r="A454" s="6" t="s">
        <v>753</v>
      </c>
      <c r="B454" s="6" t="s">
        <v>61</v>
      </c>
      <c r="C454" s="6" t="s">
        <v>116</v>
      </c>
      <c r="D454" s="6" t="s">
        <v>183</v>
      </c>
      <c r="E454" s="6">
        <v>13</v>
      </c>
      <c r="F454" s="7">
        <v>29.2</v>
      </c>
      <c r="G454" s="7">
        <v>0</v>
      </c>
      <c r="H454" s="7">
        <v>34.6</v>
      </c>
      <c r="I454" s="7">
        <v>0.6</v>
      </c>
      <c r="J454" s="7">
        <v>1.2</v>
      </c>
      <c r="K454" s="7">
        <v>2</v>
      </c>
      <c r="L454" s="6">
        <v>42</v>
      </c>
      <c r="M454" s="6">
        <v>60</v>
      </c>
      <c r="N454" s="7">
        <v>47.9</v>
      </c>
      <c r="O454" s="6" t="s">
        <v>201</v>
      </c>
      <c r="P454" s="6" t="s">
        <v>449</v>
      </c>
      <c r="Q454" s="6" t="s">
        <v>750</v>
      </c>
      <c r="R454" s="6" t="s">
        <v>751</v>
      </c>
      <c r="S454" s="6"/>
    </row>
    <row r="455" ht="15" customHeight="1" spans="1:19" x14ac:dyDescent="0.25">
      <c r="A455" s="6" t="s">
        <v>754</v>
      </c>
      <c r="B455" s="6" t="s">
        <v>61</v>
      </c>
      <c r="C455" s="6" t="s">
        <v>116</v>
      </c>
      <c r="D455" s="6" t="s">
        <v>183</v>
      </c>
      <c r="E455" s="6">
        <v>14</v>
      </c>
      <c r="F455" s="7">
        <v>29.8</v>
      </c>
      <c r="G455" s="7">
        <v>0</v>
      </c>
      <c r="H455" s="7">
        <v>34.6</v>
      </c>
      <c r="I455" s="7">
        <v>0.6</v>
      </c>
      <c r="J455" s="7">
        <v>1.2</v>
      </c>
      <c r="K455" s="7">
        <v>2</v>
      </c>
      <c r="L455" s="6">
        <v>42</v>
      </c>
      <c r="M455" s="6">
        <v>60</v>
      </c>
      <c r="N455" s="7">
        <v>47.3</v>
      </c>
      <c r="O455" s="6" t="s">
        <v>201</v>
      </c>
      <c r="P455" s="6" t="s">
        <v>449</v>
      </c>
      <c r="Q455" s="6" t="s">
        <v>750</v>
      </c>
      <c r="R455" s="6" t="s">
        <v>751</v>
      </c>
      <c r="S455" s="6"/>
    </row>
    <row r="456" ht="15" customHeight="1" spans="1:19" x14ac:dyDescent="0.25">
      <c r="A456" s="6" t="s">
        <v>755</v>
      </c>
      <c r="B456" s="6" t="s">
        <v>61</v>
      </c>
      <c r="C456" s="6" t="s">
        <v>116</v>
      </c>
      <c r="D456" s="6" t="s">
        <v>183</v>
      </c>
      <c r="E456" s="6">
        <v>15</v>
      </c>
      <c r="F456" s="7">
        <v>30.4</v>
      </c>
      <c r="G456" s="7">
        <v>0</v>
      </c>
      <c r="H456" s="7">
        <v>34.6</v>
      </c>
      <c r="I456" s="7">
        <v>0.6</v>
      </c>
      <c r="J456" s="7">
        <v>1.2</v>
      </c>
      <c r="K456" s="7">
        <v>2</v>
      </c>
      <c r="L456" s="6">
        <v>42</v>
      </c>
      <c r="M456" s="6">
        <v>60</v>
      </c>
      <c r="N456" s="7">
        <v>0</v>
      </c>
      <c r="O456" s="6" t="s">
        <v>225</v>
      </c>
      <c r="P456" s="6"/>
      <c r="Q456" s="6" t="s">
        <v>750</v>
      </c>
      <c r="R456" s="6" t="s">
        <v>751</v>
      </c>
      <c r="S456" s="6"/>
    </row>
    <row r="457" ht="15" customHeight="1" spans="1:19" x14ac:dyDescent="0.25">
      <c r="A457" s="6" t="s">
        <v>756</v>
      </c>
      <c r="B457" s="6" t="s">
        <v>61</v>
      </c>
      <c r="C457" s="6" t="s">
        <v>116</v>
      </c>
      <c r="D457" s="6" t="s">
        <v>183</v>
      </c>
      <c r="E457" s="6">
        <v>16</v>
      </c>
      <c r="F457" s="7">
        <v>31</v>
      </c>
      <c r="G457" s="7">
        <v>0</v>
      </c>
      <c r="H457" s="7">
        <v>34.6</v>
      </c>
      <c r="I457" s="7">
        <v>0.6</v>
      </c>
      <c r="J457" s="7">
        <v>1.2</v>
      </c>
      <c r="K457" s="7">
        <v>2</v>
      </c>
      <c r="L457" s="6">
        <v>42</v>
      </c>
      <c r="M457" s="6">
        <v>60</v>
      </c>
      <c r="N457" s="7">
        <v>0</v>
      </c>
      <c r="O457" s="6" t="s">
        <v>225</v>
      </c>
      <c r="P457" s="6"/>
      <c r="Q457" s="6" t="s">
        <v>750</v>
      </c>
      <c r="R457" s="6" t="s">
        <v>751</v>
      </c>
      <c r="S457" s="6"/>
    </row>
    <row r="458" ht="15" customHeight="1" spans="1:19" x14ac:dyDescent="0.25">
      <c r="A458" s="6" t="s">
        <v>757</v>
      </c>
      <c r="B458" s="6" t="s">
        <v>61</v>
      </c>
      <c r="C458" s="6" t="s">
        <v>116</v>
      </c>
      <c r="D458" s="6" t="s">
        <v>183</v>
      </c>
      <c r="E458" s="6">
        <v>17</v>
      </c>
      <c r="F458" s="7">
        <v>31.6</v>
      </c>
      <c r="G458" s="7">
        <v>0</v>
      </c>
      <c r="H458" s="7">
        <v>34.6</v>
      </c>
      <c r="I458" s="7">
        <v>0.6</v>
      </c>
      <c r="J458" s="7">
        <v>1.2</v>
      </c>
      <c r="K458" s="7">
        <v>2</v>
      </c>
      <c r="L458" s="6">
        <v>42</v>
      </c>
      <c r="M458" s="6">
        <v>60</v>
      </c>
      <c r="N458" s="7">
        <v>0</v>
      </c>
      <c r="O458" s="6" t="s">
        <v>225</v>
      </c>
      <c r="P458" s="6"/>
      <c r="Q458" s="6" t="s">
        <v>750</v>
      </c>
      <c r="R458" s="6" t="s">
        <v>751</v>
      </c>
      <c r="S458" s="6"/>
    </row>
    <row r="459" ht="15" customHeight="1" spans="1:19" x14ac:dyDescent="0.25">
      <c r="A459" s="6" t="s">
        <v>758</v>
      </c>
      <c r="B459" s="6" t="s">
        <v>61</v>
      </c>
      <c r="C459" s="6" t="s">
        <v>116</v>
      </c>
      <c r="D459" s="6" t="s">
        <v>183</v>
      </c>
      <c r="E459" s="6">
        <v>18</v>
      </c>
      <c r="F459" s="7">
        <v>32.2</v>
      </c>
      <c r="G459" s="7">
        <v>0</v>
      </c>
      <c r="H459" s="7">
        <v>34.6</v>
      </c>
      <c r="I459" s="7">
        <v>0.6</v>
      </c>
      <c r="J459" s="7">
        <v>1.2</v>
      </c>
      <c r="K459" s="7">
        <v>2</v>
      </c>
      <c r="L459" s="6">
        <v>42</v>
      </c>
      <c r="M459" s="6">
        <v>60</v>
      </c>
      <c r="N459" s="7">
        <v>0</v>
      </c>
      <c r="O459" s="6" t="s">
        <v>225</v>
      </c>
      <c r="P459" s="6"/>
      <c r="Q459" s="6" t="s">
        <v>750</v>
      </c>
      <c r="R459" s="6" t="s">
        <v>751</v>
      </c>
      <c r="S459" s="6"/>
    </row>
    <row r="460" ht="15" customHeight="1" spans="1:19" x14ac:dyDescent="0.25">
      <c r="A460" s="6" t="s">
        <v>759</v>
      </c>
      <c r="B460" s="6" t="s">
        <v>61</v>
      </c>
      <c r="C460" s="6" t="s">
        <v>116</v>
      </c>
      <c r="D460" s="6" t="s">
        <v>183</v>
      </c>
      <c r="E460" s="6">
        <v>19</v>
      </c>
      <c r="F460" s="7">
        <v>32.8</v>
      </c>
      <c r="G460" s="7">
        <v>0</v>
      </c>
      <c r="H460" s="7">
        <v>34.6</v>
      </c>
      <c r="I460" s="7">
        <v>0.6</v>
      </c>
      <c r="J460" s="7">
        <v>1.2</v>
      </c>
      <c r="K460" s="7">
        <v>2</v>
      </c>
      <c r="L460" s="6">
        <v>42</v>
      </c>
      <c r="M460" s="6">
        <v>60</v>
      </c>
      <c r="N460" s="7">
        <v>0</v>
      </c>
      <c r="O460" s="6" t="s">
        <v>225</v>
      </c>
      <c r="P460" s="6"/>
      <c r="Q460" s="6" t="s">
        <v>750</v>
      </c>
      <c r="R460" s="6" t="s">
        <v>751</v>
      </c>
      <c r="S460" s="6"/>
    </row>
    <row r="461" ht="15" customHeight="1" spans="1:19" x14ac:dyDescent="0.25">
      <c r="A461" s="6" t="s">
        <v>760</v>
      </c>
      <c r="B461" s="6" t="s">
        <v>61</v>
      </c>
      <c r="C461" s="6" t="s">
        <v>116</v>
      </c>
      <c r="D461" s="6" t="s">
        <v>183</v>
      </c>
      <c r="E461" s="6">
        <v>20</v>
      </c>
      <c r="F461" s="7">
        <v>33.4</v>
      </c>
      <c r="G461" s="7">
        <v>0</v>
      </c>
      <c r="H461" s="7">
        <v>34.6</v>
      </c>
      <c r="I461" s="7">
        <v>0.6</v>
      </c>
      <c r="J461" s="7">
        <v>1.2</v>
      </c>
      <c r="K461" s="7">
        <v>2</v>
      </c>
      <c r="L461" s="6">
        <v>42</v>
      </c>
      <c r="M461" s="6">
        <v>60</v>
      </c>
      <c r="N461" s="7">
        <v>0</v>
      </c>
      <c r="O461" s="6" t="s">
        <v>225</v>
      </c>
      <c r="P461" s="6"/>
      <c r="Q461" s="6" t="s">
        <v>750</v>
      </c>
      <c r="R461" s="6" t="s">
        <v>751</v>
      </c>
      <c r="S461" s="6"/>
    </row>
    <row r="462" ht="15" customHeight="1" spans="1:19" x14ac:dyDescent="0.25">
      <c r="A462" s="6" t="s">
        <v>761</v>
      </c>
      <c r="B462" s="6" t="s">
        <v>61</v>
      </c>
      <c r="C462" s="6" t="s">
        <v>116</v>
      </c>
      <c r="D462" s="6" t="s">
        <v>184</v>
      </c>
      <c r="E462" s="6">
        <v>1</v>
      </c>
      <c r="F462" s="7">
        <v>22</v>
      </c>
      <c r="G462" s="7">
        <v>0</v>
      </c>
      <c r="H462" s="7">
        <v>37</v>
      </c>
      <c r="I462" s="7">
        <v>0.6</v>
      </c>
      <c r="J462" s="7">
        <v>1.2</v>
      </c>
      <c r="K462" s="7">
        <v>2</v>
      </c>
      <c r="L462" s="6">
        <v>42</v>
      </c>
      <c r="M462" s="6">
        <v>60</v>
      </c>
      <c r="N462" s="7">
        <v>50.7</v>
      </c>
      <c r="O462" s="6" t="s">
        <v>201</v>
      </c>
      <c r="P462" s="6" t="s">
        <v>449</v>
      </c>
      <c r="Q462" s="6" t="s">
        <v>762</v>
      </c>
      <c r="R462" s="6" t="s">
        <v>763</v>
      </c>
      <c r="S462" s="6"/>
    </row>
    <row r="463" ht="15" customHeight="1" spans="1:19" x14ac:dyDescent="0.25">
      <c r="A463" s="6" t="s">
        <v>764</v>
      </c>
      <c r="B463" s="6" t="s">
        <v>61</v>
      </c>
      <c r="C463" s="6" t="s">
        <v>116</v>
      </c>
      <c r="D463" s="6" t="s">
        <v>184</v>
      </c>
      <c r="E463" s="6">
        <v>2</v>
      </c>
      <c r="F463" s="7">
        <v>22.6</v>
      </c>
      <c r="G463" s="7">
        <v>0</v>
      </c>
      <c r="H463" s="7">
        <v>37</v>
      </c>
      <c r="I463" s="7">
        <v>0.6</v>
      </c>
      <c r="J463" s="7">
        <v>1.2</v>
      </c>
      <c r="K463" s="7">
        <v>2</v>
      </c>
      <c r="L463" s="6">
        <v>42</v>
      </c>
      <c r="M463" s="6">
        <v>60</v>
      </c>
      <c r="N463" s="7">
        <v>50.7</v>
      </c>
      <c r="O463" s="6" t="s">
        <v>201</v>
      </c>
      <c r="P463" s="6" t="s">
        <v>449</v>
      </c>
      <c r="Q463" s="6" t="s">
        <v>762</v>
      </c>
      <c r="R463" s="6" t="s">
        <v>763</v>
      </c>
      <c r="S463" s="6"/>
    </row>
    <row r="464" ht="15" customHeight="1" spans="1:19" x14ac:dyDescent="0.25">
      <c r="A464" s="6" t="s">
        <v>765</v>
      </c>
      <c r="B464" s="6" t="s">
        <v>61</v>
      </c>
      <c r="C464" s="6" t="s">
        <v>116</v>
      </c>
      <c r="D464" s="6" t="s">
        <v>184</v>
      </c>
      <c r="E464" s="6">
        <v>3</v>
      </c>
      <c r="F464" s="7">
        <v>23.2</v>
      </c>
      <c r="G464" s="7">
        <v>0</v>
      </c>
      <c r="H464" s="7">
        <v>37</v>
      </c>
      <c r="I464" s="7">
        <v>0.6</v>
      </c>
      <c r="J464" s="7">
        <v>1.2</v>
      </c>
      <c r="K464" s="7">
        <v>2</v>
      </c>
      <c r="L464" s="6">
        <v>42</v>
      </c>
      <c r="M464" s="6">
        <v>60</v>
      </c>
      <c r="N464" s="7">
        <v>50.7</v>
      </c>
      <c r="O464" s="6" t="s">
        <v>201</v>
      </c>
      <c r="P464" s="6" t="s">
        <v>449</v>
      </c>
      <c r="Q464" s="6" t="s">
        <v>762</v>
      </c>
      <c r="R464" s="6" t="s">
        <v>763</v>
      </c>
      <c r="S464" s="6"/>
    </row>
    <row r="465" ht="15" customHeight="1" spans="1:19" x14ac:dyDescent="0.25">
      <c r="A465" s="6" t="s">
        <v>766</v>
      </c>
      <c r="B465" s="6" t="s">
        <v>61</v>
      </c>
      <c r="C465" s="6" t="s">
        <v>116</v>
      </c>
      <c r="D465" s="6" t="s">
        <v>184</v>
      </c>
      <c r="E465" s="6">
        <v>4</v>
      </c>
      <c r="F465" s="7">
        <v>23.8</v>
      </c>
      <c r="G465" s="7">
        <v>0</v>
      </c>
      <c r="H465" s="7">
        <v>37</v>
      </c>
      <c r="I465" s="7">
        <v>0.6</v>
      </c>
      <c r="J465" s="7">
        <v>1.2</v>
      </c>
      <c r="K465" s="7">
        <v>2</v>
      </c>
      <c r="L465" s="6">
        <v>42</v>
      </c>
      <c r="M465" s="6">
        <v>60</v>
      </c>
      <c r="N465" s="7">
        <v>50.7</v>
      </c>
      <c r="O465" s="6" t="s">
        <v>201</v>
      </c>
      <c r="P465" s="6" t="s">
        <v>449</v>
      </c>
      <c r="Q465" s="6" t="s">
        <v>762</v>
      </c>
      <c r="R465" s="6" t="s">
        <v>763</v>
      </c>
      <c r="S465" s="6"/>
    </row>
    <row r="466" ht="15" customHeight="1" spans="1:19" x14ac:dyDescent="0.25">
      <c r="A466" s="6" t="s">
        <v>767</v>
      </c>
      <c r="B466" s="6" t="s">
        <v>61</v>
      </c>
      <c r="C466" s="6" t="s">
        <v>116</v>
      </c>
      <c r="D466" s="6" t="s">
        <v>184</v>
      </c>
      <c r="E466" s="6">
        <v>5</v>
      </c>
      <c r="F466" s="7">
        <v>24.4</v>
      </c>
      <c r="G466" s="7">
        <v>0</v>
      </c>
      <c r="H466" s="7">
        <v>37</v>
      </c>
      <c r="I466" s="7">
        <v>0.6</v>
      </c>
      <c r="J466" s="7">
        <v>1.2</v>
      </c>
      <c r="K466" s="7">
        <v>2</v>
      </c>
      <c r="L466" s="6">
        <v>42</v>
      </c>
      <c r="M466" s="6">
        <v>60</v>
      </c>
      <c r="N466" s="7">
        <v>50.7</v>
      </c>
      <c r="O466" s="6" t="s">
        <v>201</v>
      </c>
      <c r="P466" s="6" t="s">
        <v>449</v>
      </c>
      <c r="Q466" s="6" t="s">
        <v>762</v>
      </c>
      <c r="R466" s="6" t="s">
        <v>763</v>
      </c>
      <c r="S466" s="6"/>
    </row>
    <row r="467" ht="15" customHeight="1" spans="1:19" x14ac:dyDescent="0.25">
      <c r="A467" s="6" t="s">
        <v>768</v>
      </c>
      <c r="B467" s="6" t="s">
        <v>61</v>
      </c>
      <c r="C467" s="6" t="s">
        <v>116</v>
      </c>
      <c r="D467" s="6" t="s">
        <v>184</v>
      </c>
      <c r="E467" s="6">
        <v>6</v>
      </c>
      <c r="F467" s="7">
        <v>25</v>
      </c>
      <c r="G467" s="7">
        <v>0</v>
      </c>
      <c r="H467" s="7">
        <v>37</v>
      </c>
      <c r="I467" s="7">
        <v>0.6</v>
      </c>
      <c r="J467" s="7">
        <v>1.2</v>
      </c>
      <c r="K467" s="7">
        <v>2</v>
      </c>
      <c r="L467" s="6">
        <v>42</v>
      </c>
      <c r="M467" s="6">
        <v>60</v>
      </c>
      <c r="N467" s="7">
        <v>50.7</v>
      </c>
      <c r="O467" s="6" t="s">
        <v>201</v>
      </c>
      <c r="P467" s="6" t="s">
        <v>449</v>
      </c>
      <c r="Q467" s="6" t="s">
        <v>762</v>
      </c>
      <c r="R467" s="6" t="s">
        <v>763</v>
      </c>
      <c r="S467" s="6"/>
    </row>
    <row r="468" ht="15" customHeight="1" spans="1:19" x14ac:dyDescent="0.25">
      <c r="A468" s="6" t="s">
        <v>769</v>
      </c>
      <c r="B468" s="6" t="s">
        <v>61</v>
      </c>
      <c r="C468" s="6" t="s">
        <v>116</v>
      </c>
      <c r="D468" s="6" t="s">
        <v>184</v>
      </c>
      <c r="E468" s="6">
        <v>7</v>
      </c>
      <c r="F468" s="7">
        <v>25.6</v>
      </c>
      <c r="G468" s="7">
        <v>0</v>
      </c>
      <c r="H468" s="7">
        <v>37</v>
      </c>
      <c r="I468" s="7">
        <v>0.6</v>
      </c>
      <c r="J468" s="7">
        <v>1.2</v>
      </c>
      <c r="K468" s="7">
        <v>2</v>
      </c>
      <c r="L468" s="6">
        <v>42</v>
      </c>
      <c r="M468" s="6">
        <v>60</v>
      </c>
      <c r="N468" s="7">
        <v>50.7</v>
      </c>
      <c r="O468" s="6" t="s">
        <v>201</v>
      </c>
      <c r="P468" s="6" t="s">
        <v>449</v>
      </c>
      <c r="Q468" s="6" t="s">
        <v>762</v>
      </c>
      <c r="R468" s="6" t="s">
        <v>763</v>
      </c>
      <c r="S468" s="6"/>
    </row>
    <row r="469" ht="15" customHeight="1" spans="1:19" x14ac:dyDescent="0.25">
      <c r="A469" s="6" t="s">
        <v>770</v>
      </c>
      <c r="B469" s="6" t="s">
        <v>61</v>
      </c>
      <c r="C469" s="6" t="s">
        <v>116</v>
      </c>
      <c r="D469" s="6" t="s">
        <v>184</v>
      </c>
      <c r="E469" s="6">
        <v>8</v>
      </c>
      <c r="F469" s="7">
        <v>26.2</v>
      </c>
      <c r="G469" s="7">
        <v>0</v>
      </c>
      <c r="H469" s="7">
        <v>37</v>
      </c>
      <c r="I469" s="7">
        <v>0.6</v>
      </c>
      <c r="J469" s="7">
        <v>1.2</v>
      </c>
      <c r="K469" s="7">
        <v>2</v>
      </c>
      <c r="L469" s="6">
        <v>42</v>
      </c>
      <c r="M469" s="6">
        <v>60</v>
      </c>
      <c r="N469" s="7">
        <v>50.7</v>
      </c>
      <c r="O469" s="6" t="s">
        <v>201</v>
      </c>
      <c r="P469" s="6" t="s">
        <v>449</v>
      </c>
      <c r="Q469" s="6" t="s">
        <v>762</v>
      </c>
      <c r="R469" s="6" t="s">
        <v>763</v>
      </c>
      <c r="S469" s="6"/>
    </row>
    <row r="470" ht="15" customHeight="1" spans="1:19" x14ac:dyDescent="0.25">
      <c r="A470" s="6" t="s">
        <v>771</v>
      </c>
      <c r="B470" s="6" t="s">
        <v>61</v>
      </c>
      <c r="C470" s="6" t="s">
        <v>116</v>
      </c>
      <c r="D470" s="6" t="s">
        <v>184</v>
      </c>
      <c r="E470" s="6">
        <v>9</v>
      </c>
      <c r="F470" s="7">
        <v>26.8</v>
      </c>
      <c r="G470" s="7">
        <v>0</v>
      </c>
      <c r="H470" s="7">
        <v>37</v>
      </c>
      <c r="I470" s="7">
        <v>0.6</v>
      </c>
      <c r="J470" s="7">
        <v>1.2</v>
      </c>
      <c r="K470" s="7">
        <v>2</v>
      </c>
      <c r="L470" s="6">
        <v>42</v>
      </c>
      <c r="M470" s="6">
        <v>60</v>
      </c>
      <c r="N470" s="7">
        <v>50.7</v>
      </c>
      <c r="O470" s="6" t="s">
        <v>201</v>
      </c>
      <c r="P470" s="6" t="s">
        <v>449</v>
      </c>
      <c r="Q470" s="6" t="s">
        <v>762</v>
      </c>
      <c r="R470" s="6" t="s">
        <v>763</v>
      </c>
      <c r="S470" s="6"/>
    </row>
    <row r="471" ht="15" customHeight="1" spans="1:19" x14ac:dyDescent="0.25">
      <c r="A471" s="6" t="s">
        <v>772</v>
      </c>
      <c r="B471" s="6" t="s">
        <v>61</v>
      </c>
      <c r="C471" s="6" t="s">
        <v>116</v>
      </c>
      <c r="D471" s="6" t="s">
        <v>184</v>
      </c>
      <c r="E471" s="6">
        <v>10</v>
      </c>
      <c r="F471" s="7">
        <v>27.4</v>
      </c>
      <c r="G471" s="7">
        <v>0</v>
      </c>
      <c r="H471" s="7">
        <v>37</v>
      </c>
      <c r="I471" s="7">
        <v>0.6</v>
      </c>
      <c r="J471" s="7">
        <v>1.2</v>
      </c>
      <c r="K471" s="7">
        <v>2</v>
      </c>
      <c r="L471" s="6">
        <v>42</v>
      </c>
      <c r="M471" s="6">
        <v>60</v>
      </c>
      <c r="N471" s="7">
        <v>50.7</v>
      </c>
      <c r="O471" s="6" t="s">
        <v>201</v>
      </c>
      <c r="P471" s="6" t="s">
        <v>449</v>
      </c>
      <c r="Q471" s="6" t="s">
        <v>762</v>
      </c>
      <c r="R471" s="6" t="s">
        <v>763</v>
      </c>
      <c r="S471" s="6"/>
    </row>
    <row r="472" ht="15" customHeight="1" spans="1:19" x14ac:dyDescent="0.25">
      <c r="A472" s="6" t="s">
        <v>773</v>
      </c>
      <c r="B472" s="6" t="s">
        <v>61</v>
      </c>
      <c r="C472" s="6" t="s">
        <v>116</v>
      </c>
      <c r="D472" s="6" t="s">
        <v>184</v>
      </c>
      <c r="E472" s="6">
        <v>11</v>
      </c>
      <c r="F472" s="7">
        <v>28</v>
      </c>
      <c r="G472" s="7">
        <v>0</v>
      </c>
      <c r="H472" s="7">
        <v>37</v>
      </c>
      <c r="I472" s="7">
        <v>0.6</v>
      </c>
      <c r="J472" s="7">
        <v>1.2</v>
      </c>
      <c r="K472" s="7">
        <v>2</v>
      </c>
      <c r="L472" s="6">
        <v>42</v>
      </c>
      <c r="M472" s="6">
        <v>60</v>
      </c>
      <c r="N472" s="7">
        <v>50.7</v>
      </c>
      <c r="O472" s="6" t="s">
        <v>201</v>
      </c>
      <c r="P472" s="6" t="s">
        <v>449</v>
      </c>
      <c r="Q472" s="6" t="s">
        <v>774</v>
      </c>
      <c r="R472" s="6" t="s">
        <v>775</v>
      </c>
      <c r="S472" s="6"/>
    </row>
    <row r="473" ht="15" customHeight="1" spans="1:19" x14ac:dyDescent="0.25">
      <c r="A473" s="6" t="s">
        <v>776</v>
      </c>
      <c r="B473" s="6" t="s">
        <v>61</v>
      </c>
      <c r="C473" s="6" t="s">
        <v>116</v>
      </c>
      <c r="D473" s="6" t="s">
        <v>184</v>
      </c>
      <c r="E473" s="6">
        <v>12</v>
      </c>
      <c r="F473" s="7">
        <v>28.6</v>
      </c>
      <c r="G473" s="7">
        <v>0</v>
      </c>
      <c r="H473" s="7">
        <v>37</v>
      </c>
      <c r="I473" s="7">
        <v>0.6</v>
      </c>
      <c r="J473" s="7">
        <v>1.2</v>
      </c>
      <c r="K473" s="7">
        <v>2</v>
      </c>
      <c r="L473" s="6">
        <v>42</v>
      </c>
      <c r="M473" s="6">
        <v>60</v>
      </c>
      <c r="N473" s="7">
        <v>50.7</v>
      </c>
      <c r="O473" s="6" t="s">
        <v>201</v>
      </c>
      <c r="P473" s="6" t="s">
        <v>449</v>
      </c>
      <c r="Q473" s="6" t="s">
        <v>774</v>
      </c>
      <c r="R473" s="6" t="s">
        <v>775</v>
      </c>
      <c r="S473" s="6"/>
    </row>
    <row r="474" ht="15" customHeight="1" spans="1:19" x14ac:dyDescent="0.25">
      <c r="A474" s="6" t="s">
        <v>777</v>
      </c>
      <c r="B474" s="6" t="s">
        <v>61</v>
      </c>
      <c r="C474" s="6" t="s">
        <v>116</v>
      </c>
      <c r="D474" s="6" t="s">
        <v>184</v>
      </c>
      <c r="E474" s="6">
        <v>13</v>
      </c>
      <c r="F474" s="7">
        <v>29.2</v>
      </c>
      <c r="G474" s="7">
        <v>0</v>
      </c>
      <c r="H474" s="7">
        <v>37</v>
      </c>
      <c r="I474" s="7">
        <v>0.6</v>
      </c>
      <c r="J474" s="7">
        <v>1.2</v>
      </c>
      <c r="K474" s="7">
        <v>2</v>
      </c>
      <c r="L474" s="6">
        <v>42</v>
      </c>
      <c r="M474" s="6">
        <v>60</v>
      </c>
      <c r="N474" s="7">
        <v>50.7</v>
      </c>
      <c r="O474" s="6" t="s">
        <v>201</v>
      </c>
      <c r="P474" s="6" t="s">
        <v>449</v>
      </c>
      <c r="Q474" s="6" t="s">
        <v>774</v>
      </c>
      <c r="R474" s="6" t="s">
        <v>775</v>
      </c>
      <c r="S474" s="6"/>
    </row>
    <row r="475" ht="15" customHeight="1" spans="1:19" x14ac:dyDescent="0.25">
      <c r="A475" s="6" t="s">
        <v>778</v>
      </c>
      <c r="B475" s="6" t="s">
        <v>61</v>
      </c>
      <c r="C475" s="6" t="s">
        <v>116</v>
      </c>
      <c r="D475" s="6" t="s">
        <v>184</v>
      </c>
      <c r="E475" s="6">
        <v>14</v>
      </c>
      <c r="F475" s="7">
        <v>29.8</v>
      </c>
      <c r="G475" s="7">
        <v>0</v>
      </c>
      <c r="H475" s="7">
        <v>37</v>
      </c>
      <c r="I475" s="7">
        <v>0.6</v>
      </c>
      <c r="J475" s="7">
        <v>1.2</v>
      </c>
      <c r="K475" s="7">
        <v>2</v>
      </c>
      <c r="L475" s="6">
        <v>42</v>
      </c>
      <c r="M475" s="6">
        <v>60</v>
      </c>
      <c r="N475" s="7">
        <v>50.9</v>
      </c>
      <c r="O475" s="6" t="s">
        <v>201</v>
      </c>
      <c r="P475" s="6" t="s">
        <v>449</v>
      </c>
      <c r="Q475" s="6" t="s">
        <v>774</v>
      </c>
      <c r="R475" s="6" t="s">
        <v>775</v>
      </c>
      <c r="S475" s="6"/>
    </row>
    <row r="476" ht="15" customHeight="1" spans="1:19" x14ac:dyDescent="0.25">
      <c r="A476" s="6" t="s">
        <v>779</v>
      </c>
      <c r="B476" s="6" t="s">
        <v>61</v>
      </c>
      <c r="C476" s="6" t="s">
        <v>116</v>
      </c>
      <c r="D476" s="6" t="s">
        <v>184</v>
      </c>
      <c r="E476" s="6">
        <v>15</v>
      </c>
      <c r="F476" s="7">
        <v>30.4</v>
      </c>
      <c r="G476" s="7">
        <v>0</v>
      </c>
      <c r="H476" s="7">
        <v>37</v>
      </c>
      <c r="I476" s="7">
        <v>0.6</v>
      </c>
      <c r="J476" s="7">
        <v>1.2</v>
      </c>
      <c r="K476" s="7">
        <v>2</v>
      </c>
      <c r="L476" s="6">
        <v>42</v>
      </c>
      <c r="M476" s="6">
        <v>60</v>
      </c>
      <c r="N476" s="7">
        <v>0</v>
      </c>
      <c r="O476" s="6" t="s">
        <v>225</v>
      </c>
      <c r="P476" s="6"/>
      <c r="Q476" s="6" t="s">
        <v>774</v>
      </c>
      <c r="R476" s="6" t="s">
        <v>775</v>
      </c>
      <c r="S476" s="6"/>
    </row>
    <row r="477" ht="15" customHeight="1" spans="1:19" x14ac:dyDescent="0.25">
      <c r="A477" s="6" t="s">
        <v>780</v>
      </c>
      <c r="B477" s="6" t="s">
        <v>61</v>
      </c>
      <c r="C477" s="6" t="s">
        <v>116</v>
      </c>
      <c r="D477" s="6" t="s">
        <v>184</v>
      </c>
      <c r="E477" s="6">
        <v>16</v>
      </c>
      <c r="F477" s="7">
        <v>31</v>
      </c>
      <c r="G477" s="7">
        <v>0</v>
      </c>
      <c r="H477" s="7">
        <v>37</v>
      </c>
      <c r="I477" s="7">
        <v>0.6</v>
      </c>
      <c r="J477" s="7">
        <v>1.2</v>
      </c>
      <c r="K477" s="7">
        <v>2</v>
      </c>
      <c r="L477" s="6">
        <v>42</v>
      </c>
      <c r="M477" s="6">
        <v>60</v>
      </c>
      <c r="N477" s="7">
        <v>0</v>
      </c>
      <c r="O477" s="6" t="s">
        <v>225</v>
      </c>
      <c r="P477" s="6"/>
      <c r="Q477" s="6" t="s">
        <v>774</v>
      </c>
      <c r="R477" s="6" t="s">
        <v>775</v>
      </c>
      <c r="S477" s="6"/>
    </row>
    <row r="478" ht="15" customHeight="1" spans="1:19" x14ac:dyDescent="0.25">
      <c r="A478" s="6" t="s">
        <v>781</v>
      </c>
      <c r="B478" s="6" t="s">
        <v>61</v>
      </c>
      <c r="C478" s="6" t="s">
        <v>116</v>
      </c>
      <c r="D478" s="6" t="s">
        <v>184</v>
      </c>
      <c r="E478" s="6">
        <v>17</v>
      </c>
      <c r="F478" s="7">
        <v>31.6</v>
      </c>
      <c r="G478" s="7">
        <v>0</v>
      </c>
      <c r="H478" s="7">
        <v>37</v>
      </c>
      <c r="I478" s="7">
        <v>0.6</v>
      </c>
      <c r="J478" s="7">
        <v>1.2</v>
      </c>
      <c r="K478" s="7">
        <v>2</v>
      </c>
      <c r="L478" s="6">
        <v>42</v>
      </c>
      <c r="M478" s="6">
        <v>60</v>
      </c>
      <c r="N478" s="7">
        <v>0</v>
      </c>
      <c r="O478" s="6" t="s">
        <v>225</v>
      </c>
      <c r="P478" s="6"/>
      <c r="Q478" s="6" t="s">
        <v>774</v>
      </c>
      <c r="R478" s="6" t="s">
        <v>775</v>
      </c>
      <c r="S478" s="6"/>
    </row>
    <row r="479" ht="15" customHeight="1" spans="1:19" x14ac:dyDescent="0.25">
      <c r="A479" s="6" t="s">
        <v>782</v>
      </c>
      <c r="B479" s="6" t="s">
        <v>61</v>
      </c>
      <c r="C479" s="6" t="s">
        <v>116</v>
      </c>
      <c r="D479" s="6" t="s">
        <v>184</v>
      </c>
      <c r="E479" s="6">
        <v>18</v>
      </c>
      <c r="F479" s="7">
        <v>32.2</v>
      </c>
      <c r="G479" s="7">
        <v>0</v>
      </c>
      <c r="H479" s="7">
        <v>37</v>
      </c>
      <c r="I479" s="7">
        <v>0.6</v>
      </c>
      <c r="J479" s="7">
        <v>1.2</v>
      </c>
      <c r="K479" s="7">
        <v>2</v>
      </c>
      <c r="L479" s="6">
        <v>42</v>
      </c>
      <c r="M479" s="6">
        <v>60</v>
      </c>
      <c r="N479" s="7">
        <v>0</v>
      </c>
      <c r="O479" s="6" t="s">
        <v>225</v>
      </c>
      <c r="P479" s="6"/>
      <c r="Q479" s="6" t="s">
        <v>774</v>
      </c>
      <c r="R479" s="6" t="s">
        <v>775</v>
      </c>
      <c r="S479" s="6"/>
    </row>
    <row r="480" ht="15" customHeight="1" spans="1:19" x14ac:dyDescent="0.25">
      <c r="A480" s="6" t="s">
        <v>783</v>
      </c>
      <c r="B480" s="6" t="s">
        <v>61</v>
      </c>
      <c r="C480" s="6" t="s">
        <v>116</v>
      </c>
      <c r="D480" s="6" t="s">
        <v>184</v>
      </c>
      <c r="E480" s="6">
        <v>19</v>
      </c>
      <c r="F480" s="7">
        <v>32.8</v>
      </c>
      <c r="G480" s="7">
        <v>0</v>
      </c>
      <c r="H480" s="7">
        <v>37</v>
      </c>
      <c r="I480" s="7">
        <v>0.6</v>
      </c>
      <c r="J480" s="7">
        <v>1.2</v>
      </c>
      <c r="K480" s="7">
        <v>2</v>
      </c>
      <c r="L480" s="6">
        <v>42</v>
      </c>
      <c r="M480" s="6">
        <v>60</v>
      </c>
      <c r="N480" s="7">
        <v>0</v>
      </c>
      <c r="O480" s="6" t="s">
        <v>225</v>
      </c>
      <c r="P480" s="6"/>
      <c r="Q480" s="6" t="s">
        <v>774</v>
      </c>
      <c r="R480" s="6" t="s">
        <v>775</v>
      </c>
      <c r="S480" s="6"/>
    </row>
    <row r="481" ht="15" customHeight="1" spans="1:19" x14ac:dyDescent="0.25">
      <c r="A481" s="6" t="s">
        <v>784</v>
      </c>
      <c r="B481" s="6" t="s">
        <v>61</v>
      </c>
      <c r="C481" s="6" t="s">
        <v>116</v>
      </c>
      <c r="D481" s="6" t="s">
        <v>184</v>
      </c>
      <c r="E481" s="6">
        <v>20</v>
      </c>
      <c r="F481" s="7">
        <v>33.4</v>
      </c>
      <c r="G481" s="7">
        <v>0</v>
      </c>
      <c r="H481" s="7">
        <v>37</v>
      </c>
      <c r="I481" s="7">
        <v>0.6</v>
      </c>
      <c r="J481" s="7">
        <v>1.2</v>
      </c>
      <c r="K481" s="7">
        <v>2</v>
      </c>
      <c r="L481" s="6">
        <v>42</v>
      </c>
      <c r="M481" s="6">
        <v>60</v>
      </c>
      <c r="N481" s="7">
        <v>0</v>
      </c>
      <c r="O481" s="6" t="s">
        <v>225</v>
      </c>
      <c r="P481" s="6"/>
      <c r="Q481" s="6" t="s">
        <v>774</v>
      </c>
      <c r="R481" s="6" t="s">
        <v>775</v>
      </c>
      <c r="S481" s="6"/>
    </row>
    <row r="483" ht="15" customHeight="1" spans="1:1" x14ac:dyDescent="0.25">
      <c r="A483" s="9" t="s">
        <v>785</v>
      </c>
    </row>
    <row r="484" ht="15" customHeight="1" spans="1:1" x14ac:dyDescent="0.25">
      <c r="A484" s="9" t="s">
        <v>786</v>
      </c>
    </row>
    <row r="485" ht="15" customHeight="1" spans="1:1" x14ac:dyDescent="0.25">
      <c r="A485" s="9" t="s">
        <v>787</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49"/>
  <sheetViews>
    <sheetView workbookViewId="0" zoomScale="100" zoomScaleNormal="100" view="normal">
      <pane ySplit="1" topLeftCell="A2" activePane="bottomLeft" state="frozen"/>
      <selection pane="bottomLeft" activeCell="A1" sqref="A1"/>
    </sheetView>
  </sheetViews>
  <sheetFormatPr defaultRowHeight="15" outlineLevelRow="0" outlineLevelCol="0" x14ac:dyDescent="0" defaultColWidth="8.6796875"/>
  <cols>
    <col min="1" max="1" width="15" customWidth="1"/>
    <col min="2" max="2" width="11" customWidth="1"/>
    <col min="3" max="3" width="15" customWidth="1"/>
    <col min="4" max="4" width="26" customWidth="1"/>
    <col min="5" max="5" width="11" customWidth="1"/>
    <col min="6" max="6" width="10" customWidth="1"/>
    <col min="7" max="7" width="7" customWidth="1"/>
    <col min="8" max="8" width="12" customWidth="1"/>
    <col min="9" max="9" width="15" customWidth="1"/>
    <col min="10" max="10" width="12" customWidth="1"/>
    <col min="11" max="11" width="13" customWidth="1"/>
    <col min="12" max="12" width="12" customWidth="1"/>
    <col min="13" max="13" width="15" customWidth="1"/>
    <col min="14" max="14" width="22" customWidth="1"/>
    <col min="15" max="15" width="15" customWidth="1"/>
    <col min="16" max="16" width="46" customWidth="1"/>
  </cols>
  <sheetData>
    <row r="1" ht="30" customHeight="1" spans="1:16" x14ac:dyDescent="0.25">
      <c r="A1" s="5" t="s">
        <v>788</v>
      </c>
      <c r="B1" s="5" t="s">
        <v>42</v>
      </c>
      <c r="C1" s="5" t="s">
        <v>789</v>
      </c>
      <c r="D1" s="5" t="s">
        <v>790</v>
      </c>
      <c r="E1" s="5" t="s">
        <v>791</v>
      </c>
      <c r="F1" s="5" t="s">
        <v>792</v>
      </c>
      <c r="G1" s="5" t="s">
        <v>793</v>
      </c>
      <c r="H1" s="5" t="s">
        <v>794</v>
      </c>
      <c r="I1" s="5" t="s">
        <v>795</v>
      </c>
      <c r="J1" s="5" t="s">
        <v>796</v>
      </c>
      <c r="K1" s="5" t="s">
        <v>53</v>
      </c>
      <c r="L1" s="5" t="s">
        <v>797</v>
      </c>
      <c r="M1" s="5" t="s">
        <v>798</v>
      </c>
      <c r="N1" s="5" t="s">
        <v>799</v>
      </c>
      <c r="O1" s="5" t="s">
        <v>800</v>
      </c>
      <c r="P1" s="5" t="s">
        <v>107</v>
      </c>
    </row>
    <row r="2" ht="15" customHeight="1" spans="1:16" x14ac:dyDescent="0.25">
      <c r="A2" s="6" t="s">
        <v>801</v>
      </c>
      <c r="B2" s="6" t="s">
        <v>61</v>
      </c>
      <c r="C2" s="6" t="s">
        <v>802</v>
      </c>
      <c r="D2" s="6" t="s">
        <v>803</v>
      </c>
      <c r="E2" s="6" t="s">
        <v>804</v>
      </c>
      <c r="F2" s="8">
        <v>6000</v>
      </c>
      <c r="G2" s="6" t="s">
        <v>805</v>
      </c>
      <c r="H2" s="7">
        <v>0.85</v>
      </c>
      <c r="I2" s="7">
        <v>5100</v>
      </c>
      <c r="J2" s="7">
        <v>3740</v>
      </c>
      <c r="K2" s="7">
        <v>73.3</v>
      </c>
      <c r="L2" s="6" t="s">
        <v>806</v>
      </c>
      <c r="M2" s="6" t="s">
        <v>807</v>
      </c>
      <c r="N2" s="6">
        <v>0</v>
      </c>
      <c r="O2" s="6">
        <v>260</v>
      </c>
      <c r="P2" s="6" t="s">
        <v>808</v>
      </c>
    </row>
    <row r="3" ht="15" customHeight="1" spans="1:16" x14ac:dyDescent="0.25">
      <c r="A3" s="6" t="s">
        <v>807</v>
      </c>
      <c r="B3" s="6" t="s">
        <v>61</v>
      </c>
      <c r="C3" s="6" t="s">
        <v>802</v>
      </c>
      <c r="D3" s="6" t="s">
        <v>809</v>
      </c>
      <c r="E3" s="6" t="s">
        <v>804</v>
      </c>
      <c r="F3" s="8">
        <v>6000</v>
      </c>
      <c r="G3" s="6" t="s">
        <v>805</v>
      </c>
      <c r="H3" s="7">
        <v>0.85</v>
      </c>
      <c r="I3" s="7">
        <v>5100</v>
      </c>
      <c r="J3" s="7">
        <v>3060</v>
      </c>
      <c r="K3" s="7">
        <v>60</v>
      </c>
      <c r="L3" s="6" t="s">
        <v>806</v>
      </c>
      <c r="M3" s="6" t="s">
        <v>801</v>
      </c>
      <c r="N3" s="6">
        <v>0</v>
      </c>
      <c r="O3" s="6">
        <v>260</v>
      </c>
      <c r="P3" s="6" t="s">
        <v>810</v>
      </c>
    </row>
    <row r="4" ht="15" customHeight="1" spans="1:16" x14ac:dyDescent="0.25">
      <c r="A4" s="6" t="s">
        <v>811</v>
      </c>
      <c r="B4" s="6" t="s">
        <v>61</v>
      </c>
      <c r="C4" s="6" t="s">
        <v>812</v>
      </c>
      <c r="D4" s="6" t="s">
        <v>813</v>
      </c>
      <c r="E4" s="6" t="s">
        <v>804</v>
      </c>
      <c r="F4" s="8">
        <v>7500</v>
      </c>
      <c r="G4" s="6" t="s">
        <v>814</v>
      </c>
      <c r="H4" s="7">
        <v>0.8</v>
      </c>
      <c r="I4" s="7">
        <v>6000</v>
      </c>
      <c r="J4" s="7">
        <v>4155.6</v>
      </c>
      <c r="K4" s="7">
        <v>69.3</v>
      </c>
      <c r="L4" s="6" t="s">
        <v>806</v>
      </c>
      <c r="M4" s="6" t="s">
        <v>815</v>
      </c>
      <c r="N4" s="6">
        <v>185</v>
      </c>
      <c r="O4" s="6">
        <v>34</v>
      </c>
      <c r="P4" s="6"/>
    </row>
    <row r="5" ht="15" customHeight="1" spans="1:16" x14ac:dyDescent="0.25">
      <c r="A5" s="6" t="s">
        <v>815</v>
      </c>
      <c r="B5" s="6" t="s">
        <v>61</v>
      </c>
      <c r="C5" s="6" t="s">
        <v>812</v>
      </c>
      <c r="D5" s="6" t="s">
        <v>816</v>
      </c>
      <c r="E5" s="6" t="s">
        <v>804</v>
      </c>
      <c r="F5" s="8">
        <v>7500</v>
      </c>
      <c r="G5" s="6" t="s">
        <v>814</v>
      </c>
      <c r="H5" s="7">
        <v>0.8</v>
      </c>
      <c r="I5" s="7">
        <v>6000</v>
      </c>
      <c r="J5" s="7">
        <v>3400</v>
      </c>
      <c r="K5" s="7">
        <v>56.7</v>
      </c>
      <c r="L5" s="6" t="s">
        <v>806</v>
      </c>
      <c r="M5" s="6" t="s">
        <v>811</v>
      </c>
      <c r="N5" s="6">
        <v>185</v>
      </c>
      <c r="O5" s="6">
        <v>34</v>
      </c>
      <c r="P5" s="6"/>
    </row>
    <row r="6" ht="15" customHeight="1" spans="1:16" x14ac:dyDescent="0.25">
      <c r="A6" s="6" t="s">
        <v>817</v>
      </c>
      <c r="B6" s="6" t="s">
        <v>61</v>
      </c>
      <c r="C6" s="6" t="s">
        <v>818</v>
      </c>
      <c r="D6" s="6" t="s">
        <v>819</v>
      </c>
      <c r="E6" s="6" t="s">
        <v>804</v>
      </c>
      <c r="F6" s="8">
        <v>3000</v>
      </c>
      <c r="G6" s="6" t="s">
        <v>805</v>
      </c>
      <c r="H6" s="7">
        <v>0.9</v>
      </c>
      <c r="I6" s="7">
        <v>2700</v>
      </c>
      <c r="J6" s="6">
        <v>0</v>
      </c>
      <c r="K6" s="7">
        <v>0</v>
      </c>
      <c r="L6" s="6" t="s">
        <v>820</v>
      </c>
      <c r="M6" s="6" t="s">
        <v>821</v>
      </c>
      <c r="N6" s="6">
        <v>420</v>
      </c>
      <c r="O6" s="6">
        <v>22</v>
      </c>
      <c r="P6" s="6" t="s">
        <v>822</v>
      </c>
    </row>
    <row r="7" ht="15" customHeight="1" spans="1:16" x14ac:dyDescent="0.25">
      <c r="A7" s="6" t="s">
        <v>821</v>
      </c>
      <c r="B7" s="6" t="s">
        <v>61</v>
      </c>
      <c r="C7" s="6" t="s">
        <v>818</v>
      </c>
      <c r="D7" s="6" t="s">
        <v>823</v>
      </c>
      <c r="E7" s="6" t="s">
        <v>804</v>
      </c>
      <c r="F7" s="8">
        <v>3000</v>
      </c>
      <c r="G7" s="6" t="s">
        <v>805</v>
      </c>
      <c r="H7" s="7">
        <v>0.9</v>
      </c>
      <c r="I7" s="7">
        <v>2700</v>
      </c>
      <c r="J7" s="6">
        <v>0</v>
      </c>
      <c r="K7" s="7">
        <v>0</v>
      </c>
      <c r="L7" s="6" t="s">
        <v>820</v>
      </c>
      <c r="M7" s="6" t="s">
        <v>817</v>
      </c>
      <c r="N7" s="6">
        <v>420</v>
      </c>
      <c r="O7" s="6">
        <v>22</v>
      </c>
      <c r="P7" s="6" t="s">
        <v>824</v>
      </c>
    </row>
    <row r="8" ht="15" customHeight="1" spans="1:16" x14ac:dyDescent="0.25">
      <c r="A8" s="6" t="s">
        <v>825</v>
      </c>
      <c r="B8" s="6" t="s">
        <v>61</v>
      </c>
      <c r="C8" s="6" t="s">
        <v>826</v>
      </c>
      <c r="D8" s="6" t="s">
        <v>827</v>
      </c>
      <c r="E8" s="6" t="s">
        <v>804</v>
      </c>
      <c r="F8" s="8">
        <v>6000</v>
      </c>
      <c r="G8" s="6" t="s">
        <v>805</v>
      </c>
      <c r="H8" s="7">
        <v>0.85</v>
      </c>
      <c r="I8" s="7">
        <v>5100</v>
      </c>
      <c r="J8" s="7">
        <v>3740</v>
      </c>
      <c r="K8" s="7">
        <v>73.3</v>
      </c>
      <c r="L8" s="6" t="s">
        <v>806</v>
      </c>
      <c r="M8" s="6" t="s">
        <v>828</v>
      </c>
      <c r="N8" s="6">
        <v>95</v>
      </c>
      <c r="O8" s="6">
        <v>18</v>
      </c>
      <c r="P8" s="6"/>
    </row>
    <row r="9" ht="15" customHeight="1" spans="1:16" x14ac:dyDescent="0.25">
      <c r="A9" s="6" t="s">
        <v>828</v>
      </c>
      <c r="B9" s="6" t="s">
        <v>61</v>
      </c>
      <c r="C9" s="6" t="s">
        <v>826</v>
      </c>
      <c r="D9" s="6" t="s">
        <v>829</v>
      </c>
      <c r="E9" s="6" t="s">
        <v>804</v>
      </c>
      <c r="F9" s="8">
        <v>6000</v>
      </c>
      <c r="G9" s="6" t="s">
        <v>805</v>
      </c>
      <c r="H9" s="7">
        <v>0.85</v>
      </c>
      <c r="I9" s="7">
        <v>5100</v>
      </c>
      <c r="J9" s="7">
        <v>3060</v>
      </c>
      <c r="K9" s="7">
        <v>60</v>
      </c>
      <c r="L9" s="6" t="s">
        <v>806</v>
      </c>
      <c r="M9" s="6" t="s">
        <v>825</v>
      </c>
      <c r="N9" s="6">
        <v>95</v>
      </c>
      <c r="O9" s="6">
        <v>18</v>
      </c>
      <c r="P9" s="6"/>
    </row>
    <row r="10" ht="15" customHeight="1" spans="1:16" x14ac:dyDescent="0.25">
      <c r="A10" s="6" t="s">
        <v>830</v>
      </c>
      <c r="B10" s="6" t="s">
        <v>61</v>
      </c>
      <c r="C10" s="6" t="s">
        <v>831</v>
      </c>
      <c r="D10" s="6" t="s">
        <v>832</v>
      </c>
      <c r="E10" s="6" t="s">
        <v>804</v>
      </c>
      <c r="F10" s="8">
        <v>3000</v>
      </c>
      <c r="G10" s="6" t="s">
        <v>814</v>
      </c>
      <c r="H10" s="7">
        <v>0.8</v>
      </c>
      <c r="I10" s="7">
        <v>2400</v>
      </c>
      <c r="J10" s="7">
        <v>2132.2</v>
      </c>
      <c r="K10" s="7">
        <v>88.8</v>
      </c>
      <c r="L10" s="6" t="s">
        <v>820</v>
      </c>
      <c r="M10" s="6" t="s">
        <v>833</v>
      </c>
      <c r="N10" s="6">
        <v>97</v>
      </c>
      <c r="O10" s="6">
        <v>16</v>
      </c>
      <c r="P10" s="6" t="s">
        <v>834</v>
      </c>
    </row>
    <row r="11" ht="15" customHeight="1" spans="1:16" x14ac:dyDescent="0.25">
      <c r="A11" s="6" t="s">
        <v>833</v>
      </c>
      <c r="B11" s="6" t="s">
        <v>61</v>
      </c>
      <c r="C11" s="6" t="s">
        <v>831</v>
      </c>
      <c r="D11" s="6" t="s">
        <v>835</v>
      </c>
      <c r="E11" s="6" t="s">
        <v>804</v>
      </c>
      <c r="F11" s="8">
        <v>3000</v>
      </c>
      <c r="G11" s="6" t="s">
        <v>814</v>
      </c>
      <c r="H11" s="7">
        <v>0.8</v>
      </c>
      <c r="I11" s="7">
        <v>2400</v>
      </c>
      <c r="J11" s="7">
        <v>2132.2</v>
      </c>
      <c r="K11" s="7">
        <v>88.8</v>
      </c>
      <c r="L11" s="6" t="s">
        <v>820</v>
      </c>
      <c r="M11" s="6" t="s">
        <v>830</v>
      </c>
      <c r="N11" s="6">
        <v>97</v>
      </c>
      <c r="O11" s="6">
        <v>16</v>
      </c>
      <c r="P11" s="6" t="s">
        <v>834</v>
      </c>
    </row>
    <row r="12" ht="15" customHeight="1" spans="1:16" x14ac:dyDescent="0.25">
      <c r="A12" s="6" t="s">
        <v>836</v>
      </c>
      <c r="B12" s="6" t="s">
        <v>61</v>
      </c>
      <c r="C12" s="6" t="s">
        <v>831</v>
      </c>
      <c r="D12" s="6" t="s">
        <v>837</v>
      </c>
      <c r="E12" s="6" t="s">
        <v>804</v>
      </c>
      <c r="F12" s="8">
        <v>2500</v>
      </c>
      <c r="G12" s="6" t="s">
        <v>814</v>
      </c>
      <c r="H12" s="7">
        <v>0.8</v>
      </c>
      <c r="I12" s="7">
        <v>2000</v>
      </c>
      <c r="J12" s="7">
        <v>890</v>
      </c>
      <c r="K12" s="7">
        <v>44.5</v>
      </c>
      <c r="L12" s="6" t="s">
        <v>820</v>
      </c>
      <c r="M12" s="6" t="s">
        <v>838</v>
      </c>
      <c r="N12" s="6">
        <v>97</v>
      </c>
      <c r="O12" s="6">
        <v>16</v>
      </c>
      <c r="P12" s="6" t="s">
        <v>839</v>
      </c>
    </row>
    <row r="13" ht="15" customHeight="1" spans="1:16" x14ac:dyDescent="0.25">
      <c r="A13" s="6" t="s">
        <v>838</v>
      </c>
      <c r="B13" s="6" t="s">
        <v>61</v>
      </c>
      <c r="C13" s="6" t="s">
        <v>831</v>
      </c>
      <c r="D13" s="6" t="s">
        <v>840</v>
      </c>
      <c r="E13" s="6" t="s">
        <v>804</v>
      </c>
      <c r="F13" s="8">
        <v>2500</v>
      </c>
      <c r="G13" s="6" t="s">
        <v>814</v>
      </c>
      <c r="H13" s="7">
        <v>0.8</v>
      </c>
      <c r="I13" s="7">
        <v>2000</v>
      </c>
      <c r="J13" s="7">
        <v>890</v>
      </c>
      <c r="K13" s="7">
        <v>44.5</v>
      </c>
      <c r="L13" s="6" t="s">
        <v>820</v>
      </c>
      <c r="M13" s="6" t="s">
        <v>836</v>
      </c>
      <c r="N13" s="6">
        <v>97</v>
      </c>
      <c r="O13" s="6">
        <v>16</v>
      </c>
      <c r="P13" s="6" t="s">
        <v>839</v>
      </c>
    </row>
    <row r="14" ht="15" customHeight="1" spans="1:16" x14ac:dyDescent="0.25">
      <c r="A14" s="6" t="s">
        <v>841</v>
      </c>
      <c r="B14" s="6" t="s">
        <v>61</v>
      </c>
      <c r="C14" s="6" t="s">
        <v>831</v>
      </c>
      <c r="D14" s="6" t="s">
        <v>842</v>
      </c>
      <c r="E14" s="6" t="s">
        <v>804</v>
      </c>
      <c r="F14" s="8">
        <v>6250</v>
      </c>
      <c r="G14" s="6" t="s">
        <v>814</v>
      </c>
      <c r="H14" s="7">
        <v>0.8</v>
      </c>
      <c r="I14" s="7">
        <v>5000</v>
      </c>
      <c r="J14" s="7">
        <v>4533.3</v>
      </c>
      <c r="K14" s="7">
        <v>90.7</v>
      </c>
      <c r="L14" s="6" t="s">
        <v>820</v>
      </c>
      <c r="M14" s="6" t="s">
        <v>843</v>
      </c>
      <c r="N14" s="6">
        <v>97</v>
      </c>
      <c r="O14" s="6">
        <v>16</v>
      </c>
      <c r="P14" s="6" t="s">
        <v>844</v>
      </c>
    </row>
    <row r="15" ht="15" customHeight="1" spans="1:16" x14ac:dyDescent="0.25">
      <c r="A15" s="6" t="s">
        <v>843</v>
      </c>
      <c r="B15" s="6" t="s">
        <v>61</v>
      </c>
      <c r="C15" s="6" t="s">
        <v>831</v>
      </c>
      <c r="D15" s="6" t="s">
        <v>845</v>
      </c>
      <c r="E15" s="6" t="s">
        <v>804</v>
      </c>
      <c r="F15" s="8">
        <v>6250</v>
      </c>
      <c r="G15" s="6" t="s">
        <v>814</v>
      </c>
      <c r="H15" s="7">
        <v>0.8</v>
      </c>
      <c r="I15" s="7">
        <v>5000</v>
      </c>
      <c r="J15" s="7">
        <v>4533.3</v>
      </c>
      <c r="K15" s="7">
        <v>90.7</v>
      </c>
      <c r="L15" s="6" t="s">
        <v>820</v>
      </c>
      <c r="M15" s="6" t="s">
        <v>841</v>
      </c>
      <c r="N15" s="6">
        <v>97</v>
      </c>
      <c r="O15" s="6">
        <v>16</v>
      </c>
      <c r="P15" s="6" t="s">
        <v>844</v>
      </c>
    </row>
    <row r="16" ht="15" customHeight="1" spans="1:16" x14ac:dyDescent="0.25">
      <c r="A16" s="6" t="s">
        <v>846</v>
      </c>
      <c r="B16" s="6" t="s">
        <v>61</v>
      </c>
      <c r="C16" s="6" t="s">
        <v>847</v>
      </c>
      <c r="D16" s="6" t="s">
        <v>848</v>
      </c>
      <c r="E16" s="6" t="s">
        <v>804</v>
      </c>
      <c r="F16" s="8">
        <v>2800</v>
      </c>
      <c r="G16" s="6" t="s">
        <v>805</v>
      </c>
      <c r="H16" s="7">
        <v>0.8</v>
      </c>
      <c r="I16" s="7">
        <v>2240</v>
      </c>
      <c r="J16" s="6">
        <v>943</v>
      </c>
      <c r="K16" s="7">
        <v>42.1</v>
      </c>
      <c r="L16" s="6" t="s">
        <v>820</v>
      </c>
      <c r="M16" s="6"/>
      <c r="N16" s="6">
        <v>48</v>
      </c>
      <c r="O16" s="6">
        <v>12</v>
      </c>
      <c r="P16" s="6" t="s">
        <v>849</v>
      </c>
    </row>
    <row r="17" ht="15" customHeight="1" spans="1:16" x14ac:dyDescent="0.25">
      <c r="A17" s="6" t="s">
        <v>850</v>
      </c>
      <c r="B17" s="6" t="s">
        <v>61</v>
      </c>
      <c r="C17" s="6" t="s">
        <v>851</v>
      </c>
      <c r="D17" s="6" t="s">
        <v>852</v>
      </c>
      <c r="E17" s="6" t="s">
        <v>804</v>
      </c>
      <c r="F17" s="8">
        <v>1600</v>
      </c>
      <c r="G17" s="6" t="s">
        <v>805</v>
      </c>
      <c r="H17" s="7">
        <v>0.8</v>
      </c>
      <c r="I17" s="7">
        <v>1280</v>
      </c>
      <c r="J17" s="6">
        <v>943</v>
      </c>
      <c r="K17" s="7">
        <v>73.7</v>
      </c>
      <c r="L17" s="6" t="s">
        <v>170</v>
      </c>
      <c r="M17" s="6"/>
      <c r="N17" s="6">
        <v>45</v>
      </c>
      <c r="O17" s="6">
        <v>14</v>
      </c>
      <c r="P17" s="6" t="s">
        <v>853</v>
      </c>
    </row>
    <row r="18" ht="15" customHeight="1" spans="1:16" x14ac:dyDescent="0.25">
      <c r="A18" s="6" t="s">
        <v>203</v>
      </c>
      <c r="B18" s="6" t="s">
        <v>61</v>
      </c>
      <c r="C18" s="6" t="s">
        <v>854</v>
      </c>
      <c r="D18" s="6" t="s">
        <v>855</v>
      </c>
      <c r="E18" s="6" t="s">
        <v>804</v>
      </c>
      <c r="F18" s="6">
        <v>400</v>
      </c>
      <c r="G18" s="6" t="s">
        <v>805</v>
      </c>
      <c r="H18" s="7">
        <v>0.8</v>
      </c>
      <c r="I18" s="7">
        <v>320</v>
      </c>
      <c r="J18" s="7">
        <v>77.5</v>
      </c>
      <c r="K18" s="7">
        <v>24.2</v>
      </c>
      <c r="L18" s="6" t="s">
        <v>170</v>
      </c>
      <c r="M18" s="6"/>
      <c r="N18" s="6">
        <v>14</v>
      </c>
      <c r="O18" s="6">
        <v>10</v>
      </c>
      <c r="P18" s="6" t="s">
        <v>856</v>
      </c>
    </row>
    <row r="19" ht="15" customHeight="1" spans="1:16" x14ac:dyDescent="0.25">
      <c r="A19" s="6" t="s">
        <v>215</v>
      </c>
      <c r="B19" s="6" t="s">
        <v>61</v>
      </c>
      <c r="C19" s="6" t="s">
        <v>854</v>
      </c>
      <c r="D19" s="6" t="s">
        <v>857</v>
      </c>
      <c r="E19" s="6" t="s">
        <v>804</v>
      </c>
      <c r="F19" s="6">
        <v>400</v>
      </c>
      <c r="G19" s="6" t="s">
        <v>805</v>
      </c>
      <c r="H19" s="7">
        <v>0.8</v>
      </c>
      <c r="I19" s="7">
        <v>320</v>
      </c>
      <c r="J19" s="7">
        <v>77.5</v>
      </c>
      <c r="K19" s="7">
        <v>24.2</v>
      </c>
      <c r="L19" s="6" t="s">
        <v>170</v>
      </c>
      <c r="M19" s="6"/>
      <c r="N19" s="6">
        <v>14</v>
      </c>
      <c r="O19" s="6">
        <v>10</v>
      </c>
      <c r="P19" s="6" t="s">
        <v>858</v>
      </c>
    </row>
    <row r="20" ht="15" customHeight="1" spans="1:16" x14ac:dyDescent="0.25">
      <c r="A20" s="6" t="s">
        <v>228</v>
      </c>
      <c r="B20" s="6" t="s">
        <v>61</v>
      </c>
      <c r="C20" s="6" t="s">
        <v>854</v>
      </c>
      <c r="D20" s="6" t="s">
        <v>859</v>
      </c>
      <c r="E20" s="6" t="s">
        <v>804</v>
      </c>
      <c r="F20" s="6">
        <v>400</v>
      </c>
      <c r="G20" s="6" t="s">
        <v>805</v>
      </c>
      <c r="H20" s="7">
        <v>0.8</v>
      </c>
      <c r="I20" s="7">
        <v>320</v>
      </c>
      <c r="J20" s="7">
        <v>81</v>
      </c>
      <c r="K20" s="7">
        <v>25.3</v>
      </c>
      <c r="L20" s="6" t="s">
        <v>170</v>
      </c>
      <c r="M20" s="6"/>
      <c r="N20" s="6">
        <v>14</v>
      </c>
      <c r="O20" s="6">
        <v>10</v>
      </c>
      <c r="P20" s="6" t="s">
        <v>860</v>
      </c>
    </row>
    <row r="21" ht="15" customHeight="1" spans="1:16" x14ac:dyDescent="0.25">
      <c r="A21" s="6" t="s">
        <v>240</v>
      </c>
      <c r="B21" s="6" t="s">
        <v>61</v>
      </c>
      <c r="C21" s="6" t="s">
        <v>854</v>
      </c>
      <c r="D21" s="6" t="s">
        <v>861</v>
      </c>
      <c r="E21" s="6" t="s">
        <v>804</v>
      </c>
      <c r="F21" s="6">
        <v>400</v>
      </c>
      <c r="G21" s="6" t="s">
        <v>805</v>
      </c>
      <c r="H21" s="7">
        <v>0.8</v>
      </c>
      <c r="I21" s="7">
        <v>320</v>
      </c>
      <c r="J21" s="7">
        <v>81</v>
      </c>
      <c r="K21" s="7">
        <v>25.3</v>
      </c>
      <c r="L21" s="6" t="s">
        <v>170</v>
      </c>
      <c r="M21" s="6"/>
      <c r="N21" s="6">
        <v>14</v>
      </c>
      <c r="O21" s="6">
        <v>10</v>
      </c>
      <c r="P21" s="6" t="s">
        <v>862</v>
      </c>
    </row>
    <row r="22" ht="15" customHeight="1" spans="1:16" x14ac:dyDescent="0.25">
      <c r="A22" s="6" t="s">
        <v>253</v>
      </c>
      <c r="B22" s="6" t="s">
        <v>61</v>
      </c>
      <c r="C22" s="6" t="s">
        <v>854</v>
      </c>
      <c r="D22" s="6" t="s">
        <v>863</v>
      </c>
      <c r="E22" s="6" t="s">
        <v>804</v>
      </c>
      <c r="F22" s="6">
        <v>400</v>
      </c>
      <c r="G22" s="6" t="s">
        <v>805</v>
      </c>
      <c r="H22" s="7">
        <v>0.8</v>
      </c>
      <c r="I22" s="7">
        <v>320</v>
      </c>
      <c r="J22" s="7">
        <v>74</v>
      </c>
      <c r="K22" s="7">
        <v>23.1</v>
      </c>
      <c r="L22" s="6" t="s">
        <v>170</v>
      </c>
      <c r="M22" s="6"/>
      <c r="N22" s="6">
        <v>14</v>
      </c>
      <c r="O22" s="6">
        <v>10</v>
      </c>
      <c r="P22" s="6" t="s">
        <v>864</v>
      </c>
    </row>
    <row r="23" ht="15" customHeight="1" spans="1:16" x14ac:dyDescent="0.25">
      <c r="A23" s="6" t="s">
        <v>265</v>
      </c>
      <c r="B23" s="6" t="s">
        <v>61</v>
      </c>
      <c r="C23" s="6" t="s">
        <v>854</v>
      </c>
      <c r="D23" s="6" t="s">
        <v>865</v>
      </c>
      <c r="E23" s="6" t="s">
        <v>804</v>
      </c>
      <c r="F23" s="6">
        <v>400</v>
      </c>
      <c r="G23" s="6" t="s">
        <v>805</v>
      </c>
      <c r="H23" s="7">
        <v>0.8</v>
      </c>
      <c r="I23" s="7">
        <v>320</v>
      </c>
      <c r="J23" s="7">
        <v>74</v>
      </c>
      <c r="K23" s="7">
        <v>23.1</v>
      </c>
      <c r="L23" s="6" t="s">
        <v>170</v>
      </c>
      <c r="M23" s="6"/>
      <c r="N23" s="6">
        <v>14</v>
      </c>
      <c r="O23" s="6">
        <v>10</v>
      </c>
      <c r="P23" s="6" t="s">
        <v>866</v>
      </c>
    </row>
    <row r="24" ht="15" customHeight="1" spans="1:16" x14ac:dyDescent="0.25">
      <c r="A24" s="6" t="s">
        <v>279</v>
      </c>
      <c r="B24" s="6" t="s">
        <v>61</v>
      </c>
      <c r="C24" s="6" t="s">
        <v>854</v>
      </c>
      <c r="D24" s="6" t="s">
        <v>867</v>
      </c>
      <c r="E24" s="6" t="s">
        <v>804</v>
      </c>
      <c r="F24" s="6">
        <v>400</v>
      </c>
      <c r="G24" s="6" t="s">
        <v>805</v>
      </c>
      <c r="H24" s="7">
        <v>0.8</v>
      </c>
      <c r="I24" s="7">
        <v>320</v>
      </c>
      <c r="J24" s="7">
        <v>84</v>
      </c>
      <c r="K24" s="7">
        <v>26.2</v>
      </c>
      <c r="L24" s="6" t="s">
        <v>170</v>
      </c>
      <c r="M24" s="6"/>
      <c r="N24" s="6">
        <v>14</v>
      </c>
      <c r="O24" s="6">
        <v>10</v>
      </c>
      <c r="P24" s="6" t="s">
        <v>868</v>
      </c>
    </row>
    <row r="25" ht="15" customHeight="1" spans="1:16" x14ac:dyDescent="0.25">
      <c r="A25" s="6" t="s">
        <v>291</v>
      </c>
      <c r="B25" s="6" t="s">
        <v>61</v>
      </c>
      <c r="C25" s="6" t="s">
        <v>854</v>
      </c>
      <c r="D25" s="6" t="s">
        <v>869</v>
      </c>
      <c r="E25" s="6" t="s">
        <v>804</v>
      </c>
      <c r="F25" s="6">
        <v>400</v>
      </c>
      <c r="G25" s="6" t="s">
        <v>805</v>
      </c>
      <c r="H25" s="7">
        <v>0.8</v>
      </c>
      <c r="I25" s="7">
        <v>320</v>
      </c>
      <c r="J25" s="7">
        <v>84</v>
      </c>
      <c r="K25" s="7">
        <v>26.2</v>
      </c>
      <c r="L25" s="6" t="s">
        <v>170</v>
      </c>
      <c r="M25" s="6"/>
      <c r="N25" s="6">
        <v>14</v>
      </c>
      <c r="O25" s="6">
        <v>10</v>
      </c>
      <c r="P25" s="6" t="s">
        <v>870</v>
      </c>
    </row>
    <row r="26" ht="15" customHeight="1" spans="1:16" x14ac:dyDescent="0.25">
      <c r="A26" s="6" t="s">
        <v>304</v>
      </c>
      <c r="B26" s="6" t="s">
        <v>61</v>
      </c>
      <c r="C26" s="6" t="s">
        <v>854</v>
      </c>
      <c r="D26" s="6" t="s">
        <v>871</v>
      </c>
      <c r="E26" s="6" t="s">
        <v>804</v>
      </c>
      <c r="F26" s="6">
        <v>400</v>
      </c>
      <c r="G26" s="6" t="s">
        <v>805</v>
      </c>
      <c r="H26" s="7">
        <v>0.8</v>
      </c>
      <c r="I26" s="7">
        <v>320</v>
      </c>
      <c r="J26" s="7">
        <v>75.5</v>
      </c>
      <c r="K26" s="7">
        <v>23.6</v>
      </c>
      <c r="L26" s="6" t="s">
        <v>170</v>
      </c>
      <c r="M26" s="6"/>
      <c r="N26" s="6">
        <v>14</v>
      </c>
      <c r="O26" s="6">
        <v>10</v>
      </c>
      <c r="P26" s="6" t="s">
        <v>872</v>
      </c>
    </row>
    <row r="27" ht="15" customHeight="1" spans="1:16" x14ac:dyDescent="0.25">
      <c r="A27" s="6" t="s">
        <v>316</v>
      </c>
      <c r="B27" s="6" t="s">
        <v>61</v>
      </c>
      <c r="C27" s="6" t="s">
        <v>854</v>
      </c>
      <c r="D27" s="6" t="s">
        <v>873</v>
      </c>
      <c r="E27" s="6" t="s">
        <v>804</v>
      </c>
      <c r="F27" s="6">
        <v>400</v>
      </c>
      <c r="G27" s="6" t="s">
        <v>805</v>
      </c>
      <c r="H27" s="7">
        <v>0.8</v>
      </c>
      <c r="I27" s="7">
        <v>320</v>
      </c>
      <c r="J27" s="7">
        <v>75.5</v>
      </c>
      <c r="K27" s="7">
        <v>23.6</v>
      </c>
      <c r="L27" s="6" t="s">
        <v>170</v>
      </c>
      <c r="M27" s="6"/>
      <c r="N27" s="6">
        <v>14</v>
      </c>
      <c r="O27" s="6">
        <v>10</v>
      </c>
      <c r="P27" s="6" t="s">
        <v>874</v>
      </c>
    </row>
    <row r="28" ht="15" customHeight="1" spans="1:16" x14ac:dyDescent="0.25">
      <c r="A28" s="6" t="s">
        <v>329</v>
      </c>
      <c r="B28" s="6" t="s">
        <v>61</v>
      </c>
      <c r="C28" s="6" t="s">
        <v>854</v>
      </c>
      <c r="D28" s="6" t="s">
        <v>875</v>
      </c>
      <c r="E28" s="6" t="s">
        <v>804</v>
      </c>
      <c r="F28" s="6">
        <v>400</v>
      </c>
      <c r="G28" s="6" t="s">
        <v>805</v>
      </c>
      <c r="H28" s="7">
        <v>0.8</v>
      </c>
      <c r="I28" s="7">
        <v>320</v>
      </c>
      <c r="J28" s="7">
        <v>79.5</v>
      </c>
      <c r="K28" s="7">
        <v>24.8</v>
      </c>
      <c r="L28" s="6" t="s">
        <v>170</v>
      </c>
      <c r="M28" s="6"/>
      <c r="N28" s="6">
        <v>14</v>
      </c>
      <c r="O28" s="6">
        <v>10</v>
      </c>
      <c r="P28" s="6" t="s">
        <v>876</v>
      </c>
    </row>
    <row r="29" ht="15" customHeight="1" spans="1:16" x14ac:dyDescent="0.25">
      <c r="A29" s="6" t="s">
        <v>341</v>
      </c>
      <c r="B29" s="6" t="s">
        <v>61</v>
      </c>
      <c r="C29" s="6" t="s">
        <v>854</v>
      </c>
      <c r="D29" s="6" t="s">
        <v>877</v>
      </c>
      <c r="E29" s="6" t="s">
        <v>804</v>
      </c>
      <c r="F29" s="6">
        <v>400</v>
      </c>
      <c r="G29" s="6" t="s">
        <v>805</v>
      </c>
      <c r="H29" s="7">
        <v>0.8</v>
      </c>
      <c r="I29" s="7">
        <v>320</v>
      </c>
      <c r="J29" s="7">
        <v>79.5</v>
      </c>
      <c r="K29" s="7">
        <v>24.8</v>
      </c>
      <c r="L29" s="6" t="s">
        <v>170</v>
      </c>
      <c r="M29" s="6"/>
      <c r="N29" s="6">
        <v>14</v>
      </c>
      <c r="O29" s="6">
        <v>10</v>
      </c>
      <c r="P29" s="6" t="s">
        <v>878</v>
      </c>
    </row>
    <row r="30" ht="15" customHeight="1" spans="1:16" x14ac:dyDescent="0.25">
      <c r="A30" s="6" t="s">
        <v>879</v>
      </c>
      <c r="B30" s="6" t="s">
        <v>61</v>
      </c>
      <c r="C30" s="6" t="s">
        <v>847</v>
      </c>
      <c r="D30" s="6" t="s">
        <v>880</v>
      </c>
      <c r="E30" s="6" t="s">
        <v>804</v>
      </c>
      <c r="F30" s="8">
        <v>2800</v>
      </c>
      <c r="G30" s="6" t="s">
        <v>805</v>
      </c>
      <c r="H30" s="7">
        <v>0.8</v>
      </c>
      <c r="I30" s="7">
        <v>2240</v>
      </c>
      <c r="J30" s="6">
        <v>976</v>
      </c>
      <c r="K30" s="7">
        <v>43.6</v>
      </c>
      <c r="L30" s="6" t="s">
        <v>820</v>
      </c>
      <c r="M30" s="6"/>
      <c r="N30" s="6">
        <v>48</v>
      </c>
      <c r="O30" s="6">
        <v>12</v>
      </c>
      <c r="P30" s="6" t="s">
        <v>881</v>
      </c>
    </row>
    <row r="31" ht="15" customHeight="1" spans="1:16" x14ac:dyDescent="0.25">
      <c r="A31" s="6" t="s">
        <v>882</v>
      </c>
      <c r="B31" s="6" t="s">
        <v>61</v>
      </c>
      <c r="C31" s="6" t="s">
        <v>851</v>
      </c>
      <c r="D31" s="6" t="s">
        <v>883</v>
      </c>
      <c r="E31" s="6" t="s">
        <v>804</v>
      </c>
      <c r="F31" s="8">
        <v>1600</v>
      </c>
      <c r="G31" s="6" t="s">
        <v>805</v>
      </c>
      <c r="H31" s="7">
        <v>0.8</v>
      </c>
      <c r="I31" s="7">
        <v>1280</v>
      </c>
      <c r="J31" s="6">
        <v>976</v>
      </c>
      <c r="K31" s="7">
        <v>76.2</v>
      </c>
      <c r="L31" s="6" t="s">
        <v>170</v>
      </c>
      <c r="M31" s="6"/>
      <c r="N31" s="6">
        <v>45</v>
      </c>
      <c r="O31" s="6">
        <v>14</v>
      </c>
      <c r="P31" s="6" t="s">
        <v>884</v>
      </c>
    </row>
    <row r="32" ht="15" customHeight="1" spans="1:16" x14ac:dyDescent="0.25">
      <c r="A32" s="6" t="s">
        <v>353</v>
      </c>
      <c r="B32" s="6" t="s">
        <v>61</v>
      </c>
      <c r="C32" s="6" t="s">
        <v>854</v>
      </c>
      <c r="D32" s="6" t="s">
        <v>885</v>
      </c>
      <c r="E32" s="6" t="s">
        <v>804</v>
      </c>
      <c r="F32" s="6">
        <v>400</v>
      </c>
      <c r="G32" s="6" t="s">
        <v>805</v>
      </c>
      <c r="H32" s="7">
        <v>0.8</v>
      </c>
      <c r="I32" s="7">
        <v>320</v>
      </c>
      <c r="J32" s="7">
        <v>100</v>
      </c>
      <c r="K32" s="7">
        <v>31.2</v>
      </c>
      <c r="L32" s="6" t="s">
        <v>170</v>
      </c>
      <c r="M32" s="6"/>
      <c r="N32" s="6">
        <v>14</v>
      </c>
      <c r="O32" s="6">
        <v>10</v>
      </c>
      <c r="P32" s="6" t="s">
        <v>886</v>
      </c>
    </row>
    <row r="33" ht="15" customHeight="1" spans="1:16" x14ac:dyDescent="0.25">
      <c r="A33" s="6" t="s">
        <v>365</v>
      </c>
      <c r="B33" s="6" t="s">
        <v>61</v>
      </c>
      <c r="C33" s="6" t="s">
        <v>854</v>
      </c>
      <c r="D33" s="6" t="s">
        <v>887</v>
      </c>
      <c r="E33" s="6" t="s">
        <v>804</v>
      </c>
      <c r="F33" s="6">
        <v>400</v>
      </c>
      <c r="G33" s="6" t="s">
        <v>805</v>
      </c>
      <c r="H33" s="7">
        <v>0.8</v>
      </c>
      <c r="I33" s="7">
        <v>320</v>
      </c>
      <c r="J33" s="7">
        <v>100</v>
      </c>
      <c r="K33" s="7">
        <v>31.2</v>
      </c>
      <c r="L33" s="6" t="s">
        <v>170</v>
      </c>
      <c r="M33" s="6"/>
      <c r="N33" s="6">
        <v>14</v>
      </c>
      <c r="O33" s="6">
        <v>10</v>
      </c>
      <c r="P33" s="6" t="s">
        <v>888</v>
      </c>
    </row>
    <row r="34" ht="15" customHeight="1" spans="1:16" x14ac:dyDescent="0.25">
      <c r="A34" s="6" t="s">
        <v>377</v>
      </c>
      <c r="B34" s="6" t="s">
        <v>61</v>
      </c>
      <c r="C34" s="6" t="s">
        <v>854</v>
      </c>
      <c r="D34" s="6" t="s">
        <v>889</v>
      </c>
      <c r="E34" s="6" t="s">
        <v>804</v>
      </c>
      <c r="F34" s="6">
        <v>400</v>
      </c>
      <c r="G34" s="6" t="s">
        <v>805</v>
      </c>
      <c r="H34" s="7">
        <v>0.8</v>
      </c>
      <c r="I34" s="7">
        <v>320</v>
      </c>
      <c r="J34" s="7">
        <v>72.5</v>
      </c>
      <c r="K34" s="7">
        <v>22.7</v>
      </c>
      <c r="L34" s="6" t="s">
        <v>170</v>
      </c>
      <c r="M34" s="6"/>
      <c r="N34" s="6">
        <v>14</v>
      </c>
      <c r="O34" s="6">
        <v>10</v>
      </c>
      <c r="P34" s="6" t="s">
        <v>890</v>
      </c>
    </row>
    <row r="35" ht="15" customHeight="1" spans="1:16" x14ac:dyDescent="0.25">
      <c r="A35" s="6" t="s">
        <v>389</v>
      </c>
      <c r="B35" s="6" t="s">
        <v>61</v>
      </c>
      <c r="C35" s="6" t="s">
        <v>854</v>
      </c>
      <c r="D35" s="6" t="s">
        <v>891</v>
      </c>
      <c r="E35" s="6" t="s">
        <v>804</v>
      </c>
      <c r="F35" s="6">
        <v>400</v>
      </c>
      <c r="G35" s="6" t="s">
        <v>805</v>
      </c>
      <c r="H35" s="7">
        <v>0.8</v>
      </c>
      <c r="I35" s="7">
        <v>320</v>
      </c>
      <c r="J35" s="7">
        <v>72.5</v>
      </c>
      <c r="K35" s="7">
        <v>22.7</v>
      </c>
      <c r="L35" s="6" t="s">
        <v>170</v>
      </c>
      <c r="M35" s="6"/>
      <c r="N35" s="6">
        <v>14</v>
      </c>
      <c r="O35" s="6">
        <v>10</v>
      </c>
      <c r="P35" s="6" t="s">
        <v>892</v>
      </c>
    </row>
    <row r="36" ht="15" customHeight="1" spans="1:16" x14ac:dyDescent="0.25">
      <c r="A36" s="6" t="s">
        <v>401</v>
      </c>
      <c r="B36" s="6" t="s">
        <v>61</v>
      </c>
      <c r="C36" s="6" t="s">
        <v>854</v>
      </c>
      <c r="D36" s="6" t="s">
        <v>893</v>
      </c>
      <c r="E36" s="6" t="s">
        <v>804</v>
      </c>
      <c r="F36" s="6">
        <v>400</v>
      </c>
      <c r="G36" s="6" t="s">
        <v>805</v>
      </c>
      <c r="H36" s="7">
        <v>0.8</v>
      </c>
      <c r="I36" s="7">
        <v>320</v>
      </c>
      <c r="J36" s="7">
        <v>76</v>
      </c>
      <c r="K36" s="7">
        <v>23.8</v>
      </c>
      <c r="L36" s="6" t="s">
        <v>170</v>
      </c>
      <c r="M36" s="6"/>
      <c r="N36" s="6">
        <v>14</v>
      </c>
      <c r="O36" s="6">
        <v>10</v>
      </c>
      <c r="P36" s="6" t="s">
        <v>894</v>
      </c>
    </row>
    <row r="37" ht="15" customHeight="1" spans="1:16" x14ac:dyDescent="0.25">
      <c r="A37" s="6" t="s">
        <v>413</v>
      </c>
      <c r="B37" s="6" t="s">
        <v>61</v>
      </c>
      <c r="C37" s="6" t="s">
        <v>854</v>
      </c>
      <c r="D37" s="6" t="s">
        <v>895</v>
      </c>
      <c r="E37" s="6" t="s">
        <v>804</v>
      </c>
      <c r="F37" s="6">
        <v>400</v>
      </c>
      <c r="G37" s="6" t="s">
        <v>805</v>
      </c>
      <c r="H37" s="7">
        <v>0.8</v>
      </c>
      <c r="I37" s="7">
        <v>320</v>
      </c>
      <c r="J37" s="7">
        <v>76</v>
      </c>
      <c r="K37" s="7">
        <v>23.8</v>
      </c>
      <c r="L37" s="6" t="s">
        <v>170</v>
      </c>
      <c r="M37" s="6"/>
      <c r="N37" s="6">
        <v>14</v>
      </c>
      <c r="O37" s="6">
        <v>10</v>
      </c>
      <c r="P37" s="6" t="s">
        <v>896</v>
      </c>
    </row>
    <row r="38" ht="15" customHeight="1" spans="1:16" x14ac:dyDescent="0.25">
      <c r="A38" s="6" t="s">
        <v>425</v>
      </c>
      <c r="B38" s="6" t="s">
        <v>61</v>
      </c>
      <c r="C38" s="6" t="s">
        <v>854</v>
      </c>
      <c r="D38" s="6" t="s">
        <v>897</v>
      </c>
      <c r="E38" s="6" t="s">
        <v>804</v>
      </c>
      <c r="F38" s="6">
        <v>400</v>
      </c>
      <c r="G38" s="6" t="s">
        <v>805</v>
      </c>
      <c r="H38" s="7">
        <v>0.8</v>
      </c>
      <c r="I38" s="7">
        <v>320</v>
      </c>
      <c r="J38" s="7">
        <v>69</v>
      </c>
      <c r="K38" s="7">
        <v>21.6</v>
      </c>
      <c r="L38" s="6" t="s">
        <v>170</v>
      </c>
      <c r="M38" s="6"/>
      <c r="N38" s="6">
        <v>14</v>
      </c>
      <c r="O38" s="6">
        <v>10</v>
      </c>
      <c r="P38" s="6" t="s">
        <v>898</v>
      </c>
    </row>
    <row r="39" ht="15" customHeight="1" spans="1:16" x14ac:dyDescent="0.25">
      <c r="A39" s="6" t="s">
        <v>437</v>
      </c>
      <c r="B39" s="6" t="s">
        <v>61</v>
      </c>
      <c r="C39" s="6" t="s">
        <v>854</v>
      </c>
      <c r="D39" s="6" t="s">
        <v>899</v>
      </c>
      <c r="E39" s="6" t="s">
        <v>804</v>
      </c>
      <c r="F39" s="6">
        <v>400</v>
      </c>
      <c r="G39" s="6" t="s">
        <v>805</v>
      </c>
      <c r="H39" s="7">
        <v>0.8</v>
      </c>
      <c r="I39" s="7">
        <v>320</v>
      </c>
      <c r="J39" s="7">
        <v>69</v>
      </c>
      <c r="K39" s="7">
        <v>21.6</v>
      </c>
      <c r="L39" s="6" t="s">
        <v>170</v>
      </c>
      <c r="M39" s="6"/>
      <c r="N39" s="6">
        <v>14</v>
      </c>
      <c r="O39" s="6">
        <v>10</v>
      </c>
      <c r="P39" s="6" t="s">
        <v>900</v>
      </c>
    </row>
    <row r="40" ht="15" customHeight="1" spans="1:16" x14ac:dyDescent="0.25">
      <c r="A40" s="6" t="s">
        <v>450</v>
      </c>
      <c r="B40" s="6" t="s">
        <v>61</v>
      </c>
      <c r="C40" s="6" t="s">
        <v>854</v>
      </c>
      <c r="D40" s="6" t="s">
        <v>901</v>
      </c>
      <c r="E40" s="6" t="s">
        <v>804</v>
      </c>
      <c r="F40" s="6">
        <v>400</v>
      </c>
      <c r="G40" s="6" t="s">
        <v>805</v>
      </c>
      <c r="H40" s="7">
        <v>0.8</v>
      </c>
      <c r="I40" s="7">
        <v>320</v>
      </c>
      <c r="J40" s="7">
        <v>90</v>
      </c>
      <c r="K40" s="7">
        <v>28.1</v>
      </c>
      <c r="L40" s="6" t="s">
        <v>170</v>
      </c>
      <c r="M40" s="6"/>
      <c r="N40" s="6">
        <v>14</v>
      </c>
      <c r="O40" s="6">
        <v>10</v>
      </c>
      <c r="P40" s="6" t="s">
        <v>902</v>
      </c>
    </row>
    <row r="41" ht="15" customHeight="1" spans="1:16" x14ac:dyDescent="0.25">
      <c r="A41" s="6" t="s">
        <v>462</v>
      </c>
      <c r="B41" s="6" t="s">
        <v>61</v>
      </c>
      <c r="C41" s="6" t="s">
        <v>854</v>
      </c>
      <c r="D41" s="6" t="s">
        <v>903</v>
      </c>
      <c r="E41" s="6" t="s">
        <v>804</v>
      </c>
      <c r="F41" s="6">
        <v>400</v>
      </c>
      <c r="G41" s="6" t="s">
        <v>805</v>
      </c>
      <c r="H41" s="7">
        <v>0.8</v>
      </c>
      <c r="I41" s="7">
        <v>320</v>
      </c>
      <c r="J41" s="7">
        <v>90</v>
      </c>
      <c r="K41" s="7">
        <v>28.1</v>
      </c>
      <c r="L41" s="6" t="s">
        <v>170</v>
      </c>
      <c r="M41" s="6"/>
      <c r="N41" s="6">
        <v>14</v>
      </c>
      <c r="O41" s="6">
        <v>10</v>
      </c>
      <c r="P41" s="6" t="s">
        <v>904</v>
      </c>
    </row>
    <row r="42" ht="15" customHeight="1" spans="1:16" x14ac:dyDescent="0.25">
      <c r="A42" s="6" t="s">
        <v>474</v>
      </c>
      <c r="B42" s="6" t="s">
        <v>61</v>
      </c>
      <c r="C42" s="6" t="s">
        <v>854</v>
      </c>
      <c r="D42" s="6" t="s">
        <v>905</v>
      </c>
      <c r="E42" s="6" t="s">
        <v>804</v>
      </c>
      <c r="F42" s="6">
        <v>400</v>
      </c>
      <c r="G42" s="6" t="s">
        <v>805</v>
      </c>
      <c r="H42" s="7">
        <v>0.8</v>
      </c>
      <c r="I42" s="7">
        <v>320</v>
      </c>
      <c r="J42" s="7">
        <v>80.5</v>
      </c>
      <c r="K42" s="7">
        <v>25.2</v>
      </c>
      <c r="L42" s="6" t="s">
        <v>170</v>
      </c>
      <c r="M42" s="6"/>
      <c r="N42" s="6">
        <v>14</v>
      </c>
      <c r="O42" s="6">
        <v>10</v>
      </c>
      <c r="P42" s="6" t="s">
        <v>906</v>
      </c>
    </row>
    <row r="43" ht="15" customHeight="1" spans="1:16" x14ac:dyDescent="0.25">
      <c r="A43" s="6" t="s">
        <v>486</v>
      </c>
      <c r="B43" s="6" t="s">
        <v>61</v>
      </c>
      <c r="C43" s="6" t="s">
        <v>854</v>
      </c>
      <c r="D43" s="6" t="s">
        <v>907</v>
      </c>
      <c r="E43" s="6" t="s">
        <v>804</v>
      </c>
      <c r="F43" s="6">
        <v>400</v>
      </c>
      <c r="G43" s="6" t="s">
        <v>805</v>
      </c>
      <c r="H43" s="7">
        <v>0.8</v>
      </c>
      <c r="I43" s="7">
        <v>320</v>
      </c>
      <c r="J43" s="7">
        <v>80.5</v>
      </c>
      <c r="K43" s="7">
        <v>25.2</v>
      </c>
      <c r="L43" s="6" t="s">
        <v>170</v>
      </c>
      <c r="M43" s="6"/>
      <c r="N43" s="6">
        <v>14</v>
      </c>
      <c r="O43" s="6">
        <v>10</v>
      </c>
      <c r="P43" s="6" t="s">
        <v>908</v>
      </c>
    </row>
    <row r="44" ht="15" customHeight="1" spans="1:16" x14ac:dyDescent="0.25">
      <c r="A44" s="6" t="s">
        <v>909</v>
      </c>
      <c r="B44" s="6" t="s">
        <v>61</v>
      </c>
      <c r="C44" s="6" t="s">
        <v>847</v>
      </c>
      <c r="D44" s="6" t="s">
        <v>910</v>
      </c>
      <c r="E44" s="6" t="s">
        <v>804</v>
      </c>
      <c r="F44" s="8">
        <v>2800</v>
      </c>
      <c r="G44" s="6" t="s">
        <v>805</v>
      </c>
      <c r="H44" s="7">
        <v>0.8</v>
      </c>
      <c r="I44" s="7">
        <v>2240</v>
      </c>
      <c r="J44" s="6">
        <v>801</v>
      </c>
      <c r="K44" s="7">
        <v>35.8</v>
      </c>
      <c r="L44" s="6" t="s">
        <v>820</v>
      </c>
      <c r="M44" s="6"/>
      <c r="N44" s="6">
        <v>48</v>
      </c>
      <c r="O44" s="6">
        <v>12</v>
      </c>
      <c r="P44" s="6" t="s">
        <v>911</v>
      </c>
    </row>
    <row r="45" ht="15" customHeight="1" spans="1:16" x14ac:dyDescent="0.25">
      <c r="A45" s="6" t="s">
        <v>912</v>
      </c>
      <c r="B45" s="6" t="s">
        <v>61</v>
      </c>
      <c r="C45" s="6" t="s">
        <v>851</v>
      </c>
      <c r="D45" s="6" t="s">
        <v>913</v>
      </c>
      <c r="E45" s="6" t="s">
        <v>804</v>
      </c>
      <c r="F45" s="8">
        <v>1600</v>
      </c>
      <c r="G45" s="6" t="s">
        <v>805</v>
      </c>
      <c r="H45" s="7">
        <v>0.8</v>
      </c>
      <c r="I45" s="7">
        <v>1280</v>
      </c>
      <c r="J45" s="6">
        <v>801</v>
      </c>
      <c r="K45" s="7">
        <v>62.6</v>
      </c>
      <c r="L45" s="6" t="s">
        <v>170</v>
      </c>
      <c r="M45" s="6"/>
      <c r="N45" s="6">
        <v>45</v>
      </c>
      <c r="O45" s="6">
        <v>14</v>
      </c>
      <c r="P45" s="6" t="s">
        <v>914</v>
      </c>
    </row>
    <row r="46" ht="15" customHeight="1" spans="1:16" x14ac:dyDescent="0.25">
      <c r="A46" s="6" t="s">
        <v>498</v>
      </c>
      <c r="B46" s="6" t="s">
        <v>61</v>
      </c>
      <c r="C46" s="6" t="s">
        <v>854</v>
      </c>
      <c r="D46" s="6" t="s">
        <v>915</v>
      </c>
      <c r="E46" s="6" t="s">
        <v>804</v>
      </c>
      <c r="F46" s="6">
        <v>400</v>
      </c>
      <c r="G46" s="6" t="s">
        <v>805</v>
      </c>
      <c r="H46" s="7">
        <v>0.8</v>
      </c>
      <c r="I46" s="7">
        <v>320</v>
      </c>
      <c r="J46" s="7">
        <v>68</v>
      </c>
      <c r="K46" s="7">
        <v>21.2</v>
      </c>
      <c r="L46" s="6" t="s">
        <v>170</v>
      </c>
      <c r="M46" s="6"/>
      <c r="N46" s="6">
        <v>14</v>
      </c>
      <c r="O46" s="6">
        <v>10</v>
      </c>
      <c r="P46" s="6" t="s">
        <v>916</v>
      </c>
    </row>
    <row r="47" ht="15" customHeight="1" spans="1:16" x14ac:dyDescent="0.25">
      <c r="A47" s="6" t="s">
        <v>510</v>
      </c>
      <c r="B47" s="6" t="s">
        <v>61</v>
      </c>
      <c r="C47" s="6" t="s">
        <v>854</v>
      </c>
      <c r="D47" s="6" t="s">
        <v>917</v>
      </c>
      <c r="E47" s="6" t="s">
        <v>804</v>
      </c>
      <c r="F47" s="6">
        <v>400</v>
      </c>
      <c r="G47" s="6" t="s">
        <v>805</v>
      </c>
      <c r="H47" s="7">
        <v>0.8</v>
      </c>
      <c r="I47" s="7">
        <v>320</v>
      </c>
      <c r="J47" s="7">
        <v>68</v>
      </c>
      <c r="K47" s="7">
        <v>21.2</v>
      </c>
      <c r="L47" s="6" t="s">
        <v>170</v>
      </c>
      <c r="M47" s="6"/>
      <c r="N47" s="6">
        <v>14</v>
      </c>
      <c r="O47" s="6">
        <v>10</v>
      </c>
      <c r="P47" s="6" t="s">
        <v>918</v>
      </c>
    </row>
    <row r="48" ht="15" customHeight="1" spans="1:16" x14ac:dyDescent="0.25">
      <c r="A48" s="6" t="s">
        <v>522</v>
      </c>
      <c r="B48" s="6" t="s">
        <v>61</v>
      </c>
      <c r="C48" s="6" t="s">
        <v>854</v>
      </c>
      <c r="D48" s="6" t="s">
        <v>919</v>
      </c>
      <c r="E48" s="6" t="s">
        <v>804</v>
      </c>
      <c r="F48" s="6">
        <v>400</v>
      </c>
      <c r="G48" s="6" t="s">
        <v>805</v>
      </c>
      <c r="H48" s="7">
        <v>0.8</v>
      </c>
      <c r="I48" s="7">
        <v>320</v>
      </c>
      <c r="J48" s="7">
        <v>64.5</v>
      </c>
      <c r="K48" s="7">
        <v>20.2</v>
      </c>
      <c r="L48" s="6" t="s">
        <v>170</v>
      </c>
      <c r="M48" s="6"/>
      <c r="N48" s="6">
        <v>14</v>
      </c>
      <c r="O48" s="6">
        <v>10</v>
      </c>
      <c r="P48" s="6" t="s">
        <v>920</v>
      </c>
    </row>
    <row r="49" ht="15" customHeight="1" spans="1:16" x14ac:dyDescent="0.25">
      <c r="A49" s="6" t="s">
        <v>534</v>
      </c>
      <c r="B49" s="6" t="s">
        <v>61</v>
      </c>
      <c r="C49" s="6" t="s">
        <v>854</v>
      </c>
      <c r="D49" s="6" t="s">
        <v>921</v>
      </c>
      <c r="E49" s="6" t="s">
        <v>804</v>
      </c>
      <c r="F49" s="6">
        <v>400</v>
      </c>
      <c r="G49" s="6" t="s">
        <v>805</v>
      </c>
      <c r="H49" s="7">
        <v>0.8</v>
      </c>
      <c r="I49" s="7">
        <v>320</v>
      </c>
      <c r="J49" s="7">
        <v>64.5</v>
      </c>
      <c r="K49" s="7">
        <v>20.2</v>
      </c>
      <c r="L49" s="6" t="s">
        <v>170</v>
      </c>
      <c r="M49" s="6"/>
      <c r="N49" s="6">
        <v>14</v>
      </c>
      <c r="O49" s="6">
        <v>10</v>
      </c>
      <c r="P49" s="6" t="s">
        <v>922</v>
      </c>
    </row>
    <row r="50" ht="15" customHeight="1" spans="1:16" x14ac:dyDescent="0.25">
      <c r="A50" s="6" t="s">
        <v>546</v>
      </c>
      <c r="B50" s="6" t="s">
        <v>61</v>
      </c>
      <c r="C50" s="6" t="s">
        <v>854</v>
      </c>
      <c r="D50" s="6" t="s">
        <v>923</v>
      </c>
      <c r="E50" s="6" t="s">
        <v>804</v>
      </c>
      <c r="F50" s="6">
        <v>400</v>
      </c>
      <c r="G50" s="6" t="s">
        <v>805</v>
      </c>
      <c r="H50" s="7">
        <v>0.8</v>
      </c>
      <c r="I50" s="7">
        <v>320</v>
      </c>
      <c r="J50" s="7">
        <v>61.5</v>
      </c>
      <c r="K50" s="7">
        <v>19.2</v>
      </c>
      <c r="L50" s="6" t="s">
        <v>170</v>
      </c>
      <c r="M50" s="6"/>
      <c r="N50" s="6">
        <v>14</v>
      </c>
      <c r="O50" s="6">
        <v>10</v>
      </c>
      <c r="P50" s="6" t="s">
        <v>924</v>
      </c>
    </row>
    <row r="51" ht="15" customHeight="1" spans="1:16" x14ac:dyDescent="0.25">
      <c r="A51" s="6" t="s">
        <v>558</v>
      </c>
      <c r="B51" s="6" t="s">
        <v>61</v>
      </c>
      <c r="C51" s="6" t="s">
        <v>854</v>
      </c>
      <c r="D51" s="6" t="s">
        <v>925</v>
      </c>
      <c r="E51" s="6" t="s">
        <v>804</v>
      </c>
      <c r="F51" s="6">
        <v>400</v>
      </c>
      <c r="G51" s="6" t="s">
        <v>805</v>
      </c>
      <c r="H51" s="7">
        <v>0.8</v>
      </c>
      <c r="I51" s="7">
        <v>320</v>
      </c>
      <c r="J51" s="7">
        <v>61.5</v>
      </c>
      <c r="K51" s="7">
        <v>19.2</v>
      </c>
      <c r="L51" s="6" t="s">
        <v>170</v>
      </c>
      <c r="M51" s="6"/>
      <c r="N51" s="6">
        <v>14</v>
      </c>
      <c r="O51" s="6">
        <v>10</v>
      </c>
      <c r="P51" s="6" t="s">
        <v>926</v>
      </c>
    </row>
    <row r="52" ht="15" customHeight="1" spans="1:16" x14ac:dyDescent="0.25">
      <c r="A52" s="6" t="s">
        <v>570</v>
      </c>
      <c r="B52" s="6" t="s">
        <v>61</v>
      </c>
      <c r="C52" s="6" t="s">
        <v>854</v>
      </c>
      <c r="D52" s="6" t="s">
        <v>927</v>
      </c>
      <c r="E52" s="6" t="s">
        <v>804</v>
      </c>
      <c r="F52" s="6">
        <v>400</v>
      </c>
      <c r="G52" s="6" t="s">
        <v>805</v>
      </c>
      <c r="H52" s="7">
        <v>0.8</v>
      </c>
      <c r="I52" s="7">
        <v>320</v>
      </c>
      <c r="J52" s="7">
        <v>69</v>
      </c>
      <c r="K52" s="7">
        <v>21.6</v>
      </c>
      <c r="L52" s="6" t="s">
        <v>170</v>
      </c>
      <c r="M52" s="6"/>
      <c r="N52" s="6">
        <v>14</v>
      </c>
      <c r="O52" s="6">
        <v>10</v>
      </c>
      <c r="P52" s="6" t="s">
        <v>928</v>
      </c>
    </row>
    <row r="53" ht="15" customHeight="1" spans="1:16" x14ac:dyDescent="0.25">
      <c r="A53" s="6" t="s">
        <v>582</v>
      </c>
      <c r="B53" s="6" t="s">
        <v>61</v>
      </c>
      <c r="C53" s="6" t="s">
        <v>854</v>
      </c>
      <c r="D53" s="6" t="s">
        <v>929</v>
      </c>
      <c r="E53" s="6" t="s">
        <v>804</v>
      </c>
      <c r="F53" s="6">
        <v>400</v>
      </c>
      <c r="G53" s="6" t="s">
        <v>805</v>
      </c>
      <c r="H53" s="7">
        <v>0.8</v>
      </c>
      <c r="I53" s="7">
        <v>320</v>
      </c>
      <c r="J53" s="7">
        <v>69</v>
      </c>
      <c r="K53" s="7">
        <v>21.6</v>
      </c>
      <c r="L53" s="6" t="s">
        <v>170</v>
      </c>
      <c r="M53" s="6"/>
      <c r="N53" s="6">
        <v>14</v>
      </c>
      <c r="O53" s="6">
        <v>10</v>
      </c>
      <c r="P53" s="6" t="s">
        <v>930</v>
      </c>
    </row>
    <row r="54" ht="15" customHeight="1" spans="1:16" x14ac:dyDescent="0.25">
      <c r="A54" s="6" t="s">
        <v>594</v>
      </c>
      <c r="B54" s="6" t="s">
        <v>61</v>
      </c>
      <c r="C54" s="6" t="s">
        <v>854</v>
      </c>
      <c r="D54" s="6" t="s">
        <v>931</v>
      </c>
      <c r="E54" s="6" t="s">
        <v>804</v>
      </c>
      <c r="F54" s="6">
        <v>400</v>
      </c>
      <c r="G54" s="6" t="s">
        <v>805</v>
      </c>
      <c r="H54" s="7">
        <v>0.8</v>
      </c>
      <c r="I54" s="7">
        <v>320</v>
      </c>
      <c r="J54" s="7">
        <v>68.5</v>
      </c>
      <c r="K54" s="7">
        <v>21.4</v>
      </c>
      <c r="L54" s="6" t="s">
        <v>170</v>
      </c>
      <c r="M54" s="6"/>
      <c r="N54" s="6">
        <v>14</v>
      </c>
      <c r="O54" s="6">
        <v>10</v>
      </c>
      <c r="P54" s="6" t="s">
        <v>932</v>
      </c>
    </row>
    <row r="55" ht="15" customHeight="1" spans="1:16" x14ac:dyDescent="0.25">
      <c r="A55" s="6" t="s">
        <v>606</v>
      </c>
      <c r="B55" s="6" t="s">
        <v>61</v>
      </c>
      <c r="C55" s="6" t="s">
        <v>854</v>
      </c>
      <c r="D55" s="6" t="s">
        <v>933</v>
      </c>
      <c r="E55" s="6" t="s">
        <v>804</v>
      </c>
      <c r="F55" s="6">
        <v>400</v>
      </c>
      <c r="G55" s="6" t="s">
        <v>805</v>
      </c>
      <c r="H55" s="7">
        <v>0.8</v>
      </c>
      <c r="I55" s="7">
        <v>320</v>
      </c>
      <c r="J55" s="7">
        <v>68.5</v>
      </c>
      <c r="K55" s="7">
        <v>21.4</v>
      </c>
      <c r="L55" s="6" t="s">
        <v>170</v>
      </c>
      <c r="M55" s="6"/>
      <c r="N55" s="6">
        <v>14</v>
      </c>
      <c r="O55" s="6">
        <v>10</v>
      </c>
      <c r="P55" s="6" t="s">
        <v>934</v>
      </c>
    </row>
    <row r="56" ht="15" customHeight="1" spans="1:16" x14ac:dyDescent="0.25">
      <c r="A56" s="6" t="s">
        <v>618</v>
      </c>
      <c r="B56" s="6" t="s">
        <v>61</v>
      </c>
      <c r="C56" s="6" t="s">
        <v>854</v>
      </c>
      <c r="D56" s="6" t="s">
        <v>935</v>
      </c>
      <c r="E56" s="6" t="s">
        <v>804</v>
      </c>
      <c r="F56" s="6">
        <v>400</v>
      </c>
      <c r="G56" s="6" t="s">
        <v>805</v>
      </c>
      <c r="H56" s="7">
        <v>0.8</v>
      </c>
      <c r="I56" s="7">
        <v>320</v>
      </c>
      <c r="J56" s="7">
        <v>69</v>
      </c>
      <c r="K56" s="7">
        <v>21.6</v>
      </c>
      <c r="L56" s="6" t="s">
        <v>170</v>
      </c>
      <c r="M56" s="6"/>
      <c r="N56" s="6">
        <v>14</v>
      </c>
      <c r="O56" s="6">
        <v>10</v>
      </c>
      <c r="P56" s="6" t="s">
        <v>936</v>
      </c>
    </row>
    <row r="57" ht="15" customHeight="1" spans="1:16" x14ac:dyDescent="0.25">
      <c r="A57" s="6" t="s">
        <v>630</v>
      </c>
      <c r="B57" s="6" t="s">
        <v>61</v>
      </c>
      <c r="C57" s="6" t="s">
        <v>854</v>
      </c>
      <c r="D57" s="6" t="s">
        <v>937</v>
      </c>
      <c r="E57" s="6" t="s">
        <v>804</v>
      </c>
      <c r="F57" s="6">
        <v>400</v>
      </c>
      <c r="G57" s="6" t="s">
        <v>805</v>
      </c>
      <c r="H57" s="7">
        <v>0.8</v>
      </c>
      <c r="I57" s="7">
        <v>320</v>
      </c>
      <c r="J57" s="7">
        <v>69</v>
      </c>
      <c r="K57" s="7">
        <v>21.6</v>
      </c>
      <c r="L57" s="6" t="s">
        <v>170</v>
      </c>
      <c r="M57" s="6"/>
      <c r="N57" s="6">
        <v>14</v>
      </c>
      <c r="O57" s="6">
        <v>10</v>
      </c>
      <c r="P57" s="6" t="s">
        <v>938</v>
      </c>
    </row>
    <row r="58" ht="15" customHeight="1" spans="1:16" x14ac:dyDescent="0.25">
      <c r="A58" s="6" t="s">
        <v>939</v>
      </c>
      <c r="B58" s="6" t="s">
        <v>61</v>
      </c>
      <c r="C58" s="6" t="s">
        <v>847</v>
      </c>
      <c r="D58" s="6" t="s">
        <v>940</v>
      </c>
      <c r="E58" s="6" t="s">
        <v>804</v>
      </c>
      <c r="F58" s="8">
        <v>5400</v>
      </c>
      <c r="G58" s="6" t="s">
        <v>805</v>
      </c>
      <c r="H58" s="7">
        <v>0.8</v>
      </c>
      <c r="I58" s="7">
        <v>4320</v>
      </c>
      <c r="J58" s="8">
        <v>4080</v>
      </c>
      <c r="K58" s="7">
        <v>94.4</v>
      </c>
      <c r="L58" s="6" t="s">
        <v>820</v>
      </c>
      <c r="M58" s="6"/>
      <c r="N58" s="6">
        <v>48</v>
      </c>
      <c r="O58" s="6">
        <v>12</v>
      </c>
      <c r="P58" s="6" t="s">
        <v>941</v>
      </c>
    </row>
    <row r="59" ht="15" customHeight="1" spans="1:16" x14ac:dyDescent="0.25">
      <c r="A59" s="6" t="s">
        <v>942</v>
      </c>
      <c r="B59" s="6" t="s">
        <v>61</v>
      </c>
      <c r="C59" s="6" t="s">
        <v>851</v>
      </c>
      <c r="D59" s="6" t="s">
        <v>943</v>
      </c>
      <c r="E59" s="6" t="s">
        <v>804</v>
      </c>
      <c r="F59" s="8">
        <v>5400</v>
      </c>
      <c r="G59" s="6" t="s">
        <v>805</v>
      </c>
      <c r="H59" s="7">
        <v>0.8</v>
      </c>
      <c r="I59" s="7">
        <v>4320</v>
      </c>
      <c r="J59" s="8">
        <v>4080</v>
      </c>
      <c r="K59" s="7">
        <v>94.4</v>
      </c>
      <c r="L59" s="6" t="s">
        <v>170</v>
      </c>
      <c r="M59" s="6"/>
      <c r="N59" s="6">
        <v>45</v>
      </c>
      <c r="O59" s="6">
        <v>14</v>
      </c>
      <c r="P59" s="6" t="s">
        <v>944</v>
      </c>
    </row>
    <row r="60" ht="15" customHeight="1" spans="1:16" x14ac:dyDescent="0.25">
      <c r="A60" s="6" t="s">
        <v>642</v>
      </c>
      <c r="B60" s="6" t="s">
        <v>61</v>
      </c>
      <c r="C60" s="6" t="s">
        <v>854</v>
      </c>
      <c r="D60" s="6" t="s">
        <v>945</v>
      </c>
      <c r="E60" s="6" t="s">
        <v>804</v>
      </c>
      <c r="F60" s="6">
        <v>800</v>
      </c>
      <c r="G60" s="6" t="s">
        <v>805</v>
      </c>
      <c r="H60" s="7">
        <v>0.8</v>
      </c>
      <c r="I60" s="7">
        <v>640</v>
      </c>
      <c r="J60" s="7">
        <v>360</v>
      </c>
      <c r="K60" s="7">
        <v>56.2</v>
      </c>
      <c r="L60" s="6" t="s">
        <v>170</v>
      </c>
      <c r="M60" s="6"/>
      <c r="N60" s="6">
        <v>14</v>
      </c>
      <c r="O60" s="6">
        <v>10</v>
      </c>
      <c r="P60" s="6" t="s">
        <v>946</v>
      </c>
    </row>
    <row r="61" ht="15" customHeight="1" spans="1:16" x14ac:dyDescent="0.25">
      <c r="A61" s="6" t="s">
        <v>654</v>
      </c>
      <c r="B61" s="6" t="s">
        <v>61</v>
      </c>
      <c r="C61" s="6" t="s">
        <v>854</v>
      </c>
      <c r="D61" s="6" t="s">
        <v>947</v>
      </c>
      <c r="E61" s="6" t="s">
        <v>804</v>
      </c>
      <c r="F61" s="6">
        <v>800</v>
      </c>
      <c r="G61" s="6" t="s">
        <v>805</v>
      </c>
      <c r="H61" s="7">
        <v>0.8</v>
      </c>
      <c r="I61" s="7">
        <v>640</v>
      </c>
      <c r="J61" s="7">
        <v>360</v>
      </c>
      <c r="K61" s="7">
        <v>56.2</v>
      </c>
      <c r="L61" s="6" t="s">
        <v>170</v>
      </c>
      <c r="M61" s="6"/>
      <c r="N61" s="6">
        <v>14</v>
      </c>
      <c r="O61" s="6">
        <v>10</v>
      </c>
      <c r="P61" s="6" t="s">
        <v>948</v>
      </c>
    </row>
    <row r="62" ht="15" customHeight="1" spans="1:16" x14ac:dyDescent="0.25">
      <c r="A62" s="6" t="s">
        <v>666</v>
      </c>
      <c r="B62" s="6" t="s">
        <v>61</v>
      </c>
      <c r="C62" s="6" t="s">
        <v>854</v>
      </c>
      <c r="D62" s="6" t="s">
        <v>949</v>
      </c>
      <c r="E62" s="6" t="s">
        <v>804</v>
      </c>
      <c r="F62" s="6">
        <v>800</v>
      </c>
      <c r="G62" s="6" t="s">
        <v>805</v>
      </c>
      <c r="H62" s="7">
        <v>0.8</v>
      </c>
      <c r="I62" s="7">
        <v>640</v>
      </c>
      <c r="J62" s="7">
        <v>330</v>
      </c>
      <c r="K62" s="7">
        <v>51.6</v>
      </c>
      <c r="L62" s="6" t="s">
        <v>170</v>
      </c>
      <c r="M62" s="6"/>
      <c r="N62" s="6">
        <v>14</v>
      </c>
      <c r="O62" s="6">
        <v>10</v>
      </c>
      <c r="P62" s="6" t="s">
        <v>950</v>
      </c>
    </row>
    <row r="63" ht="15" customHeight="1" spans="1:16" x14ac:dyDescent="0.25">
      <c r="A63" s="6" t="s">
        <v>678</v>
      </c>
      <c r="B63" s="6" t="s">
        <v>61</v>
      </c>
      <c r="C63" s="6" t="s">
        <v>854</v>
      </c>
      <c r="D63" s="6" t="s">
        <v>951</v>
      </c>
      <c r="E63" s="6" t="s">
        <v>804</v>
      </c>
      <c r="F63" s="6">
        <v>800</v>
      </c>
      <c r="G63" s="6" t="s">
        <v>805</v>
      </c>
      <c r="H63" s="7">
        <v>0.8</v>
      </c>
      <c r="I63" s="7">
        <v>640</v>
      </c>
      <c r="J63" s="7">
        <v>330</v>
      </c>
      <c r="K63" s="7">
        <v>51.6</v>
      </c>
      <c r="L63" s="6" t="s">
        <v>170</v>
      </c>
      <c r="M63" s="6"/>
      <c r="N63" s="6">
        <v>14</v>
      </c>
      <c r="O63" s="6">
        <v>10</v>
      </c>
      <c r="P63" s="6" t="s">
        <v>952</v>
      </c>
    </row>
    <row r="64" ht="15" customHeight="1" spans="1:16" x14ac:dyDescent="0.25">
      <c r="A64" s="6" t="s">
        <v>690</v>
      </c>
      <c r="B64" s="6" t="s">
        <v>61</v>
      </c>
      <c r="C64" s="6" t="s">
        <v>854</v>
      </c>
      <c r="D64" s="6" t="s">
        <v>953</v>
      </c>
      <c r="E64" s="6" t="s">
        <v>804</v>
      </c>
      <c r="F64" s="6">
        <v>800</v>
      </c>
      <c r="G64" s="6" t="s">
        <v>805</v>
      </c>
      <c r="H64" s="7">
        <v>0.8</v>
      </c>
      <c r="I64" s="7">
        <v>640</v>
      </c>
      <c r="J64" s="7">
        <v>345</v>
      </c>
      <c r="K64" s="7">
        <v>53.9</v>
      </c>
      <c r="L64" s="6" t="s">
        <v>170</v>
      </c>
      <c r="M64" s="6"/>
      <c r="N64" s="6">
        <v>14</v>
      </c>
      <c r="O64" s="6">
        <v>10</v>
      </c>
      <c r="P64" s="6" t="s">
        <v>954</v>
      </c>
    </row>
    <row r="65" ht="15" customHeight="1" spans="1:16" x14ac:dyDescent="0.25">
      <c r="A65" s="6" t="s">
        <v>702</v>
      </c>
      <c r="B65" s="6" t="s">
        <v>61</v>
      </c>
      <c r="C65" s="6" t="s">
        <v>854</v>
      </c>
      <c r="D65" s="6" t="s">
        <v>955</v>
      </c>
      <c r="E65" s="6" t="s">
        <v>804</v>
      </c>
      <c r="F65" s="6">
        <v>800</v>
      </c>
      <c r="G65" s="6" t="s">
        <v>805</v>
      </c>
      <c r="H65" s="7">
        <v>0.8</v>
      </c>
      <c r="I65" s="7">
        <v>640</v>
      </c>
      <c r="J65" s="7">
        <v>345</v>
      </c>
      <c r="K65" s="7">
        <v>53.9</v>
      </c>
      <c r="L65" s="6" t="s">
        <v>170</v>
      </c>
      <c r="M65" s="6"/>
      <c r="N65" s="6">
        <v>14</v>
      </c>
      <c r="O65" s="6">
        <v>10</v>
      </c>
      <c r="P65" s="6" t="s">
        <v>956</v>
      </c>
    </row>
    <row r="66" ht="15" customHeight="1" spans="1:16" x14ac:dyDescent="0.25">
      <c r="A66" s="6" t="s">
        <v>714</v>
      </c>
      <c r="B66" s="6" t="s">
        <v>61</v>
      </c>
      <c r="C66" s="6" t="s">
        <v>854</v>
      </c>
      <c r="D66" s="6" t="s">
        <v>957</v>
      </c>
      <c r="E66" s="6" t="s">
        <v>804</v>
      </c>
      <c r="F66" s="6">
        <v>800</v>
      </c>
      <c r="G66" s="6" t="s">
        <v>805</v>
      </c>
      <c r="H66" s="7">
        <v>0.8</v>
      </c>
      <c r="I66" s="7">
        <v>640</v>
      </c>
      <c r="J66" s="7">
        <v>315</v>
      </c>
      <c r="K66" s="7">
        <v>49.2</v>
      </c>
      <c r="L66" s="6" t="s">
        <v>170</v>
      </c>
      <c r="M66" s="6"/>
      <c r="N66" s="6">
        <v>14</v>
      </c>
      <c r="O66" s="6">
        <v>10</v>
      </c>
      <c r="P66" s="6" t="s">
        <v>958</v>
      </c>
    </row>
    <row r="67" ht="15" customHeight="1" spans="1:16" x14ac:dyDescent="0.25">
      <c r="A67" s="6" t="s">
        <v>726</v>
      </c>
      <c r="B67" s="6" t="s">
        <v>61</v>
      </c>
      <c r="C67" s="6" t="s">
        <v>854</v>
      </c>
      <c r="D67" s="6" t="s">
        <v>959</v>
      </c>
      <c r="E67" s="6" t="s">
        <v>804</v>
      </c>
      <c r="F67" s="6">
        <v>800</v>
      </c>
      <c r="G67" s="6" t="s">
        <v>805</v>
      </c>
      <c r="H67" s="7">
        <v>0.8</v>
      </c>
      <c r="I67" s="7">
        <v>640</v>
      </c>
      <c r="J67" s="7">
        <v>315</v>
      </c>
      <c r="K67" s="7">
        <v>49.2</v>
      </c>
      <c r="L67" s="6" t="s">
        <v>170</v>
      </c>
      <c r="M67" s="6"/>
      <c r="N67" s="6">
        <v>14</v>
      </c>
      <c r="O67" s="6">
        <v>10</v>
      </c>
      <c r="P67" s="6" t="s">
        <v>960</v>
      </c>
    </row>
    <row r="68" ht="15" customHeight="1" spans="1:16" x14ac:dyDescent="0.25">
      <c r="A68" s="6" t="s">
        <v>738</v>
      </c>
      <c r="B68" s="6" t="s">
        <v>61</v>
      </c>
      <c r="C68" s="6" t="s">
        <v>854</v>
      </c>
      <c r="D68" s="6" t="s">
        <v>961</v>
      </c>
      <c r="E68" s="6" t="s">
        <v>804</v>
      </c>
      <c r="F68" s="6">
        <v>800</v>
      </c>
      <c r="G68" s="6" t="s">
        <v>805</v>
      </c>
      <c r="H68" s="7">
        <v>0.8</v>
      </c>
      <c r="I68" s="7">
        <v>640</v>
      </c>
      <c r="J68" s="7">
        <v>335</v>
      </c>
      <c r="K68" s="7">
        <v>52.3</v>
      </c>
      <c r="L68" s="6" t="s">
        <v>170</v>
      </c>
      <c r="M68" s="6"/>
      <c r="N68" s="6">
        <v>14</v>
      </c>
      <c r="O68" s="6">
        <v>10</v>
      </c>
      <c r="P68" s="6" t="s">
        <v>962</v>
      </c>
    </row>
    <row r="69" ht="15" customHeight="1" spans="1:16" x14ac:dyDescent="0.25">
      <c r="A69" s="6" t="s">
        <v>750</v>
      </c>
      <c r="B69" s="6" t="s">
        <v>61</v>
      </c>
      <c r="C69" s="6" t="s">
        <v>854</v>
      </c>
      <c r="D69" s="6" t="s">
        <v>963</v>
      </c>
      <c r="E69" s="6" t="s">
        <v>804</v>
      </c>
      <c r="F69" s="6">
        <v>800</v>
      </c>
      <c r="G69" s="6" t="s">
        <v>805</v>
      </c>
      <c r="H69" s="7">
        <v>0.8</v>
      </c>
      <c r="I69" s="7">
        <v>640</v>
      </c>
      <c r="J69" s="7">
        <v>335</v>
      </c>
      <c r="K69" s="7">
        <v>52.3</v>
      </c>
      <c r="L69" s="6" t="s">
        <v>170</v>
      </c>
      <c r="M69" s="6"/>
      <c r="N69" s="6">
        <v>14</v>
      </c>
      <c r="O69" s="6">
        <v>10</v>
      </c>
      <c r="P69" s="6" t="s">
        <v>964</v>
      </c>
    </row>
    <row r="70" ht="15" customHeight="1" spans="1:16" x14ac:dyDescent="0.25">
      <c r="A70" s="6" t="s">
        <v>762</v>
      </c>
      <c r="B70" s="6" t="s">
        <v>61</v>
      </c>
      <c r="C70" s="6" t="s">
        <v>854</v>
      </c>
      <c r="D70" s="6" t="s">
        <v>965</v>
      </c>
      <c r="E70" s="6" t="s">
        <v>804</v>
      </c>
      <c r="F70" s="6">
        <v>800</v>
      </c>
      <c r="G70" s="6" t="s">
        <v>805</v>
      </c>
      <c r="H70" s="7">
        <v>0.8</v>
      </c>
      <c r="I70" s="7">
        <v>640</v>
      </c>
      <c r="J70" s="7">
        <v>355</v>
      </c>
      <c r="K70" s="7">
        <v>55.5</v>
      </c>
      <c r="L70" s="6" t="s">
        <v>170</v>
      </c>
      <c r="M70" s="6"/>
      <c r="N70" s="6">
        <v>14</v>
      </c>
      <c r="O70" s="6">
        <v>10</v>
      </c>
      <c r="P70" s="6" t="s">
        <v>966</v>
      </c>
    </row>
    <row r="71" ht="15" customHeight="1" spans="1:16" x14ac:dyDescent="0.25">
      <c r="A71" s="6" t="s">
        <v>774</v>
      </c>
      <c r="B71" s="6" t="s">
        <v>61</v>
      </c>
      <c r="C71" s="6" t="s">
        <v>854</v>
      </c>
      <c r="D71" s="6" t="s">
        <v>967</v>
      </c>
      <c r="E71" s="6" t="s">
        <v>804</v>
      </c>
      <c r="F71" s="6">
        <v>800</v>
      </c>
      <c r="G71" s="6" t="s">
        <v>805</v>
      </c>
      <c r="H71" s="7">
        <v>0.8</v>
      </c>
      <c r="I71" s="7">
        <v>640</v>
      </c>
      <c r="J71" s="7">
        <v>355</v>
      </c>
      <c r="K71" s="7">
        <v>55.5</v>
      </c>
      <c r="L71" s="6" t="s">
        <v>170</v>
      </c>
      <c r="M71" s="6"/>
      <c r="N71" s="6">
        <v>14</v>
      </c>
      <c r="O71" s="6">
        <v>10</v>
      </c>
      <c r="P71" s="6" t="s">
        <v>968</v>
      </c>
    </row>
    <row r="72" ht="15" customHeight="1" spans="1:16" x14ac:dyDescent="0.25">
      <c r="A72" s="6" t="s">
        <v>969</v>
      </c>
      <c r="B72" s="6" t="s">
        <v>61</v>
      </c>
      <c r="C72" s="6" t="s">
        <v>970</v>
      </c>
      <c r="D72" s="6" t="s">
        <v>971</v>
      </c>
      <c r="E72" s="6" t="s">
        <v>972</v>
      </c>
      <c r="F72" s="8">
        <v>2200</v>
      </c>
      <c r="G72" s="6" t="s">
        <v>973</v>
      </c>
      <c r="H72" s="7">
        <v>0.85</v>
      </c>
      <c r="I72" s="7">
        <v>1870</v>
      </c>
      <c r="J72" s="6">
        <v>0</v>
      </c>
      <c r="K72" s="7">
        <v>0</v>
      </c>
      <c r="L72" s="6" t="s">
        <v>820</v>
      </c>
      <c r="M72" s="6" t="s">
        <v>974</v>
      </c>
      <c r="N72" s="6">
        <v>180</v>
      </c>
      <c r="O72" s="6">
        <v>20</v>
      </c>
      <c r="P72" s="6"/>
    </row>
    <row r="73" ht="15" customHeight="1" spans="1:16" x14ac:dyDescent="0.25">
      <c r="A73" s="6" t="s">
        <v>974</v>
      </c>
      <c r="B73" s="6" t="s">
        <v>61</v>
      </c>
      <c r="C73" s="6" t="s">
        <v>970</v>
      </c>
      <c r="D73" s="6" t="s">
        <v>975</v>
      </c>
      <c r="E73" s="6" t="s">
        <v>972</v>
      </c>
      <c r="F73" s="8">
        <v>2200</v>
      </c>
      <c r="G73" s="6" t="s">
        <v>973</v>
      </c>
      <c r="H73" s="7">
        <v>0.85</v>
      </c>
      <c r="I73" s="7">
        <v>1870</v>
      </c>
      <c r="J73" s="6">
        <v>0</v>
      </c>
      <c r="K73" s="7">
        <v>0</v>
      </c>
      <c r="L73" s="6" t="s">
        <v>820</v>
      </c>
      <c r="M73" s="6" t="s">
        <v>969</v>
      </c>
      <c r="N73" s="6">
        <v>180</v>
      </c>
      <c r="O73" s="6">
        <v>20</v>
      </c>
      <c r="P73" s="6"/>
    </row>
    <row r="74" ht="15" customHeight="1" spans="1:16" x14ac:dyDescent="0.25">
      <c r="A74" s="6" t="s">
        <v>976</v>
      </c>
      <c r="B74" s="6" t="s">
        <v>61</v>
      </c>
      <c r="C74" s="6" t="s">
        <v>977</v>
      </c>
      <c r="D74" s="6" t="s">
        <v>978</v>
      </c>
      <c r="E74" s="6" t="s">
        <v>972</v>
      </c>
      <c r="F74" s="8">
        <v>1800</v>
      </c>
      <c r="G74" s="6" t="s">
        <v>973</v>
      </c>
      <c r="H74" s="7">
        <v>0.85</v>
      </c>
      <c r="I74" s="7">
        <v>1530</v>
      </c>
      <c r="J74" s="6">
        <v>0</v>
      </c>
      <c r="K74" s="7">
        <v>0</v>
      </c>
      <c r="L74" s="6" t="s">
        <v>820</v>
      </c>
      <c r="M74" s="6" t="s">
        <v>979</v>
      </c>
      <c r="N74" s="6">
        <v>320</v>
      </c>
      <c r="O74" s="6">
        <v>24</v>
      </c>
      <c r="P74" s="6"/>
    </row>
    <row r="75" ht="15" customHeight="1" spans="1:16" x14ac:dyDescent="0.25">
      <c r="A75" s="6" t="s">
        <v>979</v>
      </c>
      <c r="B75" s="6" t="s">
        <v>61</v>
      </c>
      <c r="C75" s="6" t="s">
        <v>977</v>
      </c>
      <c r="D75" s="6" t="s">
        <v>980</v>
      </c>
      <c r="E75" s="6" t="s">
        <v>972</v>
      </c>
      <c r="F75" s="8">
        <v>1800</v>
      </c>
      <c r="G75" s="6" t="s">
        <v>973</v>
      </c>
      <c r="H75" s="7">
        <v>0.85</v>
      </c>
      <c r="I75" s="7">
        <v>1530</v>
      </c>
      <c r="J75" s="6">
        <v>0</v>
      </c>
      <c r="K75" s="7">
        <v>0</v>
      </c>
      <c r="L75" s="6" t="s">
        <v>820</v>
      </c>
      <c r="M75" s="6" t="s">
        <v>976</v>
      </c>
      <c r="N75" s="6">
        <v>320</v>
      </c>
      <c r="O75" s="6">
        <v>24</v>
      </c>
      <c r="P75" s="6"/>
    </row>
    <row r="76" ht="15" customHeight="1" spans="1:16" x14ac:dyDescent="0.25">
      <c r="A76" s="6" t="s">
        <v>981</v>
      </c>
      <c r="B76" s="6" t="s">
        <v>61</v>
      </c>
      <c r="C76" s="6" t="s">
        <v>982</v>
      </c>
      <c r="D76" s="6" t="s">
        <v>983</v>
      </c>
      <c r="E76" s="6" t="s">
        <v>972</v>
      </c>
      <c r="F76" s="8">
        <v>9000</v>
      </c>
      <c r="G76" s="6" t="s">
        <v>984</v>
      </c>
      <c r="H76" s="7">
        <v>0.85</v>
      </c>
      <c r="I76" s="7">
        <v>7650</v>
      </c>
      <c r="J76" s="7">
        <v>4590.9</v>
      </c>
      <c r="K76" s="7">
        <v>60</v>
      </c>
      <c r="L76" s="6" t="s">
        <v>820</v>
      </c>
      <c r="M76" s="6"/>
      <c r="N76" s="6">
        <v>110</v>
      </c>
      <c r="O76" s="6">
        <v>16</v>
      </c>
      <c r="P76" s="6" t="s">
        <v>985</v>
      </c>
    </row>
    <row r="77" ht="15" customHeight="1" spans="1:16" x14ac:dyDescent="0.25">
      <c r="A77" s="6" t="s">
        <v>986</v>
      </c>
      <c r="B77" s="6" t="s">
        <v>61</v>
      </c>
      <c r="C77" s="6" t="s">
        <v>982</v>
      </c>
      <c r="D77" s="6" t="s">
        <v>987</v>
      </c>
      <c r="E77" s="6" t="s">
        <v>972</v>
      </c>
      <c r="F77" s="8">
        <v>15000</v>
      </c>
      <c r="G77" s="6" t="s">
        <v>984</v>
      </c>
      <c r="H77" s="7">
        <v>0.85</v>
      </c>
      <c r="I77" s="7">
        <v>12750</v>
      </c>
      <c r="J77" s="7">
        <v>11677</v>
      </c>
      <c r="K77" s="7">
        <v>91.6</v>
      </c>
      <c r="L77" s="6" t="s">
        <v>820</v>
      </c>
      <c r="M77" s="6"/>
      <c r="N77" s="6">
        <v>110</v>
      </c>
      <c r="O77" s="6">
        <v>16</v>
      </c>
      <c r="P77" s="6" t="s">
        <v>988</v>
      </c>
    </row>
    <row r="78" ht="15" customHeight="1" spans="1:16" x14ac:dyDescent="0.25">
      <c r="A78" s="6" t="s">
        <v>204</v>
      </c>
      <c r="B78" s="6" t="s">
        <v>61</v>
      </c>
      <c r="C78" s="6" t="s">
        <v>989</v>
      </c>
      <c r="D78" s="6" t="s">
        <v>990</v>
      </c>
      <c r="E78" s="6" t="s">
        <v>972</v>
      </c>
      <c r="F78" s="6">
        <v>210</v>
      </c>
      <c r="G78" s="6" t="s">
        <v>805</v>
      </c>
      <c r="H78" s="7">
        <v>0.9</v>
      </c>
      <c r="I78" s="7">
        <v>189</v>
      </c>
      <c r="J78" s="7">
        <v>77.5</v>
      </c>
      <c r="K78" s="7">
        <v>41</v>
      </c>
      <c r="L78" s="6" t="s">
        <v>170</v>
      </c>
      <c r="M78" s="6"/>
      <c r="N78" s="6">
        <v>40</v>
      </c>
      <c r="O78" s="6">
        <v>8</v>
      </c>
      <c r="P78" s="6" t="s">
        <v>991</v>
      </c>
    </row>
    <row r="79" ht="15" customHeight="1" spans="1:16" x14ac:dyDescent="0.25">
      <c r="A79" s="6" t="s">
        <v>216</v>
      </c>
      <c r="B79" s="6" t="s">
        <v>61</v>
      </c>
      <c r="C79" s="6" t="s">
        <v>989</v>
      </c>
      <c r="D79" s="6" t="s">
        <v>992</v>
      </c>
      <c r="E79" s="6" t="s">
        <v>972</v>
      </c>
      <c r="F79" s="6">
        <v>210</v>
      </c>
      <c r="G79" s="6" t="s">
        <v>805</v>
      </c>
      <c r="H79" s="7">
        <v>0.9</v>
      </c>
      <c r="I79" s="7">
        <v>189</v>
      </c>
      <c r="J79" s="7">
        <v>77.5</v>
      </c>
      <c r="K79" s="7">
        <v>41</v>
      </c>
      <c r="L79" s="6" t="s">
        <v>170</v>
      </c>
      <c r="M79" s="6"/>
      <c r="N79" s="6">
        <v>40</v>
      </c>
      <c r="O79" s="6">
        <v>8</v>
      </c>
      <c r="P79" s="6" t="s">
        <v>991</v>
      </c>
    </row>
    <row r="80" ht="15" customHeight="1" spans="1:16" x14ac:dyDescent="0.25">
      <c r="A80" s="6" t="s">
        <v>229</v>
      </c>
      <c r="B80" s="6" t="s">
        <v>61</v>
      </c>
      <c r="C80" s="6" t="s">
        <v>989</v>
      </c>
      <c r="D80" s="6" t="s">
        <v>993</v>
      </c>
      <c r="E80" s="6" t="s">
        <v>972</v>
      </c>
      <c r="F80" s="6">
        <v>210</v>
      </c>
      <c r="G80" s="6" t="s">
        <v>805</v>
      </c>
      <c r="H80" s="7">
        <v>0.9</v>
      </c>
      <c r="I80" s="7">
        <v>189</v>
      </c>
      <c r="J80" s="7">
        <v>81</v>
      </c>
      <c r="K80" s="7">
        <v>42.9</v>
      </c>
      <c r="L80" s="6" t="s">
        <v>170</v>
      </c>
      <c r="M80" s="6"/>
      <c r="N80" s="6">
        <v>40</v>
      </c>
      <c r="O80" s="6">
        <v>8</v>
      </c>
      <c r="P80" s="6" t="s">
        <v>994</v>
      </c>
    </row>
    <row r="81" ht="15" customHeight="1" spans="1:16" x14ac:dyDescent="0.25">
      <c r="A81" s="6" t="s">
        <v>241</v>
      </c>
      <c r="B81" s="6" t="s">
        <v>61</v>
      </c>
      <c r="C81" s="6" t="s">
        <v>989</v>
      </c>
      <c r="D81" s="6" t="s">
        <v>995</v>
      </c>
      <c r="E81" s="6" t="s">
        <v>972</v>
      </c>
      <c r="F81" s="6">
        <v>210</v>
      </c>
      <c r="G81" s="6" t="s">
        <v>805</v>
      </c>
      <c r="H81" s="7">
        <v>0.9</v>
      </c>
      <c r="I81" s="7">
        <v>189</v>
      </c>
      <c r="J81" s="7">
        <v>81</v>
      </c>
      <c r="K81" s="7">
        <v>42.9</v>
      </c>
      <c r="L81" s="6" t="s">
        <v>170</v>
      </c>
      <c r="M81" s="6"/>
      <c r="N81" s="6">
        <v>40</v>
      </c>
      <c r="O81" s="6">
        <v>8</v>
      </c>
      <c r="P81" s="6" t="s">
        <v>994</v>
      </c>
    </row>
    <row r="82" ht="15" customHeight="1" spans="1:16" x14ac:dyDescent="0.25">
      <c r="A82" s="6" t="s">
        <v>254</v>
      </c>
      <c r="B82" s="6" t="s">
        <v>61</v>
      </c>
      <c r="C82" s="6" t="s">
        <v>989</v>
      </c>
      <c r="D82" s="6" t="s">
        <v>996</v>
      </c>
      <c r="E82" s="6" t="s">
        <v>972</v>
      </c>
      <c r="F82" s="6">
        <v>250</v>
      </c>
      <c r="G82" s="6" t="s">
        <v>805</v>
      </c>
      <c r="H82" s="7">
        <v>0.9</v>
      </c>
      <c r="I82" s="7">
        <v>225</v>
      </c>
      <c r="J82" s="7">
        <v>74</v>
      </c>
      <c r="K82" s="7">
        <v>32.9</v>
      </c>
      <c r="L82" s="6" t="s">
        <v>170</v>
      </c>
      <c r="M82" s="6"/>
      <c r="N82" s="6">
        <v>40</v>
      </c>
      <c r="O82" s="6">
        <v>8</v>
      </c>
      <c r="P82" s="6" t="s">
        <v>997</v>
      </c>
    </row>
    <row r="83" ht="15" customHeight="1" spans="1:16" x14ac:dyDescent="0.25">
      <c r="A83" s="6" t="s">
        <v>266</v>
      </c>
      <c r="B83" s="6" t="s">
        <v>61</v>
      </c>
      <c r="C83" s="6" t="s">
        <v>989</v>
      </c>
      <c r="D83" s="6" t="s">
        <v>998</v>
      </c>
      <c r="E83" s="6" t="s">
        <v>972</v>
      </c>
      <c r="F83" s="6">
        <v>250</v>
      </c>
      <c r="G83" s="6" t="s">
        <v>805</v>
      </c>
      <c r="H83" s="7">
        <v>0.9</v>
      </c>
      <c r="I83" s="7">
        <v>225</v>
      </c>
      <c r="J83" s="7">
        <v>74</v>
      </c>
      <c r="K83" s="7">
        <v>32.9</v>
      </c>
      <c r="L83" s="6" t="s">
        <v>170</v>
      </c>
      <c r="M83" s="6"/>
      <c r="N83" s="6">
        <v>40</v>
      </c>
      <c r="O83" s="6">
        <v>8</v>
      </c>
      <c r="P83" s="6" t="s">
        <v>997</v>
      </c>
    </row>
    <row r="84" ht="15" customHeight="1" spans="1:16" x14ac:dyDescent="0.25">
      <c r="A84" s="6" t="s">
        <v>280</v>
      </c>
      <c r="B84" s="6" t="s">
        <v>61</v>
      </c>
      <c r="C84" s="6" t="s">
        <v>989</v>
      </c>
      <c r="D84" s="6" t="s">
        <v>999</v>
      </c>
      <c r="E84" s="6" t="s">
        <v>972</v>
      </c>
      <c r="F84" s="6">
        <v>210</v>
      </c>
      <c r="G84" s="6" t="s">
        <v>805</v>
      </c>
      <c r="H84" s="7">
        <v>0.9</v>
      </c>
      <c r="I84" s="7">
        <v>189</v>
      </c>
      <c r="J84" s="7">
        <v>84</v>
      </c>
      <c r="K84" s="7">
        <v>44.4</v>
      </c>
      <c r="L84" s="6" t="s">
        <v>170</v>
      </c>
      <c r="M84" s="6"/>
      <c r="N84" s="6">
        <v>40</v>
      </c>
      <c r="O84" s="6">
        <v>8</v>
      </c>
      <c r="P84" s="6" t="s">
        <v>1000</v>
      </c>
    </row>
    <row r="85" ht="15" customHeight="1" spans="1:16" x14ac:dyDescent="0.25">
      <c r="A85" s="6" t="s">
        <v>292</v>
      </c>
      <c r="B85" s="6" t="s">
        <v>61</v>
      </c>
      <c r="C85" s="6" t="s">
        <v>989</v>
      </c>
      <c r="D85" s="6" t="s">
        <v>1001</v>
      </c>
      <c r="E85" s="6" t="s">
        <v>972</v>
      </c>
      <c r="F85" s="6">
        <v>210</v>
      </c>
      <c r="G85" s="6" t="s">
        <v>805</v>
      </c>
      <c r="H85" s="7">
        <v>0.9</v>
      </c>
      <c r="I85" s="7">
        <v>189</v>
      </c>
      <c r="J85" s="7">
        <v>84</v>
      </c>
      <c r="K85" s="7">
        <v>44.4</v>
      </c>
      <c r="L85" s="6" t="s">
        <v>170</v>
      </c>
      <c r="M85" s="6"/>
      <c r="N85" s="6">
        <v>40</v>
      </c>
      <c r="O85" s="6">
        <v>8</v>
      </c>
      <c r="P85" s="6" t="s">
        <v>1000</v>
      </c>
    </row>
    <row r="86" ht="15" customHeight="1" spans="1:16" x14ac:dyDescent="0.25">
      <c r="A86" s="6" t="s">
        <v>305</v>
      </c>
      <c r="B86" s="6" t="s">
        <v>61</v>
      </c>
      <c r="C86" s="6" t="s">
        <v>989</v>
      </c>
      <c r="D86" s="6" t="s">
        <v>1002</v>
      </c>
      <c r="E86" s="6" t="s">
        <v>972</v>
      </c>
      <c r="F86" s="6">
        <v>210</v>
      </c>
      <c r="G86" s="6" t="s">
        <v>805</v>
      </c>
      <c r="H86" s="7">
        <v>0.9</v>
      </c>
      <c r="I86" s="7">
        <v>189</v>
      </c>
      <c r="J86" s="7">
        <v>75.5</v>
      </c>
      <c r="K86" s="7">
        <v>39.9</v>
      </c>
      <c r="L86" s="6" t="s">
        <v>170</v>
      </c>
      <c r="M86" s="6"/>
      <c r="N86" s="6">
        <v>40</v>
      </c>
      <c r="O86" s="6">
        <v>8</v>
      </c>
      <c r="P86" s="6" t="s">
        <v>1003</v>
      </c>
    </row>
    <row r="87" ht="15" customHeight="1" spans="1:16" x14ac:dyDescent="0.25">
      <c r="A87" s="6" t="s">
        <v>317</v>
      </c>
      <c r="B87" s="6" t="s">
        <v>61</v>
      </c>
      <c r="C87" s="6" t="s">
        <v>989</v>
      </c>
      <c r="D87" s="6" t="s">
        <v>1004</v>
      </c>
      <c r="E87" s="6" t="s">
        <v>972</v>
      </c>
      <c r="F87" s="6">
        <v>210</v>
      </c>
      <c r="G87" s="6" t="s">
        <v>805</v>
      </c>
      <c r="H87" s="7">
        <v>0.9</v>
      </c>
      <c r="I87" s="7">
        <v>189</v>
      </c>
      <c r="J87" s="7">
        <v>75.5</v>
      </c>
      <c r="K87" s="7">
        <v>39.9</v>
      </c>
      <c r="L87" s="6" t="s">
        <v>170</v>
      </c>
      <c r="M87" s="6"/>
      <c r="N87" s="6">
        <v>40</v>
      </c>
      <c r="O87" s="6">
        <v>8</v>
      </c>
      <c r="P87" s="6" t="s">
        <v>1003</v>
      </c>
    </row>
    <row r="88" ht="15" customHeight="1" spans="1:16" x14ac:dyDescent="0.25">
      <c r="A88" s="6" t="s">
        <v>330</v>
      </c>
      <c r="B88" s="6" t="s">
        <v>61</v>
      </c>
      <c r="C88" s="6" t="s">
        <v>989</v>
      </c>
      <c r="D88" s="6" t="s">
        <v>1005</v>
      </c>
      <c r="E88" s="6" t="s">
        <v>972</v>
      </c>
      <c r="F88" s="6">
        <v>210</v>
      </c>
      <c r="G88" s="6" t="s">
        <v>805</v>
      </c>
      <c r="H88" s="7">
        <v>0.9</v>
      </c>
      <c r="I88" s="7">
        <v>189</v>
      </c>
      <c r="J88" s="7">
        <v>79.5</v>
      </c>
      <c r="K88" s="7">
        <v>42.1</v>
      </c>
      <c r="L88" s="6" t="s">
        <v>170</v>
      </c>
      <c r="M88" s="6"/>
      <c r="N88" s="6">
        <v>40</v>
      </c>
      <c r="O88" s="6">
        <v>8</v>
      </c>
      <c r="P88" s="6" t="s">
        <v>1006</v>
      </c>
    </row>
    <row r="89" ht="15" customHeight="1" spans="1:16" x14ac:dyDescent="0.25">
      <c r="A89" s="6" t="s">
        <v>342</v>
      </c>
      <c r="B89" s="6" t="s">
        <v>61</v>
      </c>
      <c r="C89" s="6" t="s">
        <v>989</v>
      </c>
      <c r="D89" s="6" t="s">
        <v>1007</v>
      </c>
      <c r="E89" s="6" t="s">
        <v>972</v>
      </c>
      <c r="F89" s="6">
        <v>210</v>
      </c>
      <c r="G89" s="6" t="s">
        <v>805</v>
      </c>
      <c r="H89" s="7">
        <v>0.9</v>
      </c>
      <c r="I89" s="7">
        <v>189</v>
      </c>
      <c r="J89" s="7">
        <v>79.5</v>
      </c>
      <c r="K89" s="7">
        <v>42.1</v>
      </c>
      <c r="L89" s="6" t="s">
        <v>170</v>
      </c>
      <c r="M89" s="6"/>
      <c r="N89" s="6">
        <v>40</v>
      </c>
      <c r="O89" s="6">
        <v>8</v>
      </c>
      <c r="P89" s="6" t="s">
        <v>1006</v>
      </c>
    </row>
    <row r="90" ht="15" customHeight="1" spans="1:16" x14ac:dyDescent="0.25">
      <c r="A90" s="6" t="s">
        <v>354</v>
      </c>
      <c r="B90" s="6" t="s">
        <v>61</v>
      </c>
      <c r="C90" s="6" t="s">
        <v>989</v>
      </c>
      <c r="D90" s="6" t="s">
        <v>1008</v>
      </c>
      <c r="E90" s="6" t="s">
        <v>972</v>
      </c>
      <c r="F90" s="6">
        <v>200</v>
      </c>
      <c r="G90" s="6" t="s">
        <v>805</v>
      </c>
      <c r="H90" s="7">
        <v>0.9</v>
      </c>
      <c r="I90" s="7">
        <v>180</v>
      </c>
      <c r="J90" s="7">
        <v>100</v>
      </c>
      <c r="K90" s="7">
        <v>55.6</v>
      </c>
      <c r="L90" s="6" t="s">
        <v>170</v>
      </c>
      <c r="M90" s="6"/>
      <c r="N90" s="6">
        <v>40</v>
      </c>
      <c r="O90" s="6">
        <v>8</v>
      </c>
      <c r="P90" s="6" t="s">
        <v>1009</v>
      </c>
    </row>
    <row r="91" ht="15" customHeight="1" spans="1:16" x14ac:dyDescent="0.25">
      <c r="A91" s="6" t="s">
        <v>366</v>
      </c>
      <c r="B91" s="6" t="s">
        <v>61</v>
      </c>
      <c r="C91" s="6" t="s">
        <v>989</v>
      </c>
      <c r="D91" s="6" t="s">
        <v>1010</v>
      </c>
      <c r="E91" s="6" t="s">
        <v>972</v>
      </c>
      <c r="F91" s="6">
        <v>200</v>
      </c>
      <c r="G91" s="6" t="s">
        <v>805</v>
      </c>
      <c r="H91" s="7">
        <v>0.9</v>
      </c>
      <c r="I91" s="7">
        <v>180</v>
      </c>
      <c r="J91" s="7">
        <v>100</v>
      </c>
      <c r="K91" s="7">
        <v>55.6</v>
      </c>
      <c r="L91" s="6" t="s">
        <v>170</v>
      </c>
      <c r="M91" s="6"/>
      <c r="N91" s="6">
        <v>40</v>
      </c>
      <c r="O91" s="6">
        <v>8</v>
      </c>
      <c r="P91" s="6" t="s">
        <v>1009</v>
      </c>
    </row>
    <row r="92" ht="15" customHeight="1" spans="1:16" x14ac:dyDescent="0.25">
      <c r="A92" s="6" t="s">
        <v>378</v>
      </c>
      <c r="B92" s="6" t="s">
        <v>61</v>
      </c>
      <c r="C92" s="6" t="s">
        <v>989</v>
      </c>
      <c r="D92" s="6" t="s">
        <v>1011</v>
      </c>
      <c r="E92" s="6" t="s">
        <v>972</v>
      </c>
      <c r="F92" s="6">
        <v>210</v>
      </c>
      <c r="G92" s="6" t="s">
        <v>805</v>
      </c>
      <c r="H92" s="7">
        <v>0.9</v>
      </c>
      <c r="I92" s="7">
        <v>189</v>
      </c>
      <c r="J92" s="7">
        <v>72.5</v>
      </c>
      <c r="K92" s="7">
        <v>38.4</v>
      </c>
      <c r="L92" s="6" t="s">
        <v>170</v>
      </c>
      <c r="M92" s="6"/>
      <c r="N92" s="6">
        <v>40</v>
      </c>
      <c r="O92" s="6">
        <v>8</v>
      </c>
      <c r="P92" s="6" t="s">
        <v>1012</v>
      </c>
    </row>
    <row r="93" ht="15" customHeight="1" spans="1:16" x14ac:dyDescent="0.25">
      <c r="A93" s="6" t="s">
        <v>390</v>
      </c>
      <c r="B93" s="6" t="s">
        <v>61</v>
      </c>
      <c r="C93" s="6" t="s">
        <v>989</v>
      </c>
      <c r="D93" s="6" t="s">
        <v>1013</v>
      </c>
      <c r="E93" s="6" t="s">
        <v>972</v>
      </c>
      <c r="F93" s="6">
        <v>210</v>
      </c>
      <c r="G93" s="6" t="s">
        <v>805</v>
      </c>
      <c r="H93" s="7">
        <v>0.9</v>
      </c>
      <c r="I93" s="7">
        <v>189</v>
      </c>
      <c r="J93" s="7">
        <v>72.5</v>
      </c>
      <c r="K93" s="7">
        <v>38.4</v>
      </c>
      <c r="L93" s="6" t="s">
        <v>170</v>
      </c>
      <c r="M93" s="6"/>
      <c r="N93" s="6">
        <v>40</v>
      </c>
      <c r="O93" s="6">
        <v>8</v>
      </c>
      <c r="P93" s="6" t="s">
        <v>1012</v>
      </c>
    </row>
    <row r="94" ht="15" customHeight="1" spans="1:16" x14ac:dyDescent="0.25">
      <c r="A94" s="6" t="s">
        <v>402</v>
      </c>
      <c r="B94" s="6" t="s">
        <v>61</v>
      </c>
      <c r="C94" s="6" t="s">
        <v>989</v>
      </c>
      <c r="D94" s="6" t="s">
        <v>1014</v>
      </c>
      <c r="E94" s="6" t="s">
        <v>972</v>
      </c>
      <c r="F94" s="6">
        <v>210</v>
      </c>
      <c r="G94" s="6" t="s">
        <v>805</v>
      </c>
      <c r="H94" s="7">
        <v>0.9</v>
      </c>
      <c r="I94" s="7">
        <v>189</v>
      </c>
      <c r="J94" s="7">
        <v>76</v>
      </c>
      <c r="K94" s="7">
        <v>40.2</v>
      </c>
      <c r="L94" s="6" t="s">
        <v>170</v>
      </c>
      <c r="M94" s="6"/>
      <c r="N94" s="6">
        <v>40</v>
      </c>
      <c r="O94" s="6">
        <v>8</v>
      </c>
      <c r="P94" s="6" t="s">
        <v>1015</v>
      </c>
    </row>
    <row r="95" ht="15" customHeight="1" spans="1:16" x14ac:dyDescent="0.25">
      <c r="A95" s="6" t="s">
        <v>414</v>
      </c>
      <c r="B95" s="6" t="s">
        <v>61</v>
      </c>
      <c r="C95" s="6" t="s">
        <v>989</v>
      </c>
      <c r="D95" s="6" t="s">
        <v>1016</v>
      </c>
      <c r="E95" s="6" t="s">
        <v>972</v>
      </c>
      <c r="F95" s="6">
        <v>210</v>
      </c>
      <c r="G95" s="6" t="s">
        <v>805</v>
      </c>
      <c r="H95" s="7">
        <v>0.9</v>
      </c>
      <c r="I95" s="7">
        <v>189</v>
      </c>
      <c r="J95" s="7">
        <v>76</v>
      </c>
      <c r="K95" s="7">
        <v>40.2</v>
      </c>
      <c r="L95" s="6" t="s">
        <v>170</v>
      </c>
      <c r="M95" s="6"/>
      <c r="N95" s="6">
        <v>40</v>
      </c>
      <c r="O95" s="6">
        <v>8</v>
      </c>
      <c r="P95" s="6" t="s">
        <v>1015</v>
      </c>
    </row>
    <row r="96" ht="15" customHeight="1" spans="1:16" x14ac:dyDescent="0.25">
      <c r="A96" s="6" t="s">
        <v>426</v>
      </c>
      <c r="B96" s="6" t="s">
        <v>61</v>
      </c>
      <c r="C96" s="6" t="s">
        <v>989</v>
      </c>
      <c r="D96" s="6" t="s">
        <v>1017</v>
      </c>
      <c r="E96" s="6" t="s">
        <v>972</v>
      </c>
      <c r="F96" s="6">
        <v>210</v>
      </c>
      <c r="G96" s="6" t="s">
        <v>805</v>
      </c>
      <c r="H96" s="7">
        <v>0.9</v>
      </c>
      <c r="I96" s="7">
        <v>189</v>
      </c>
      <c r="J96" s="7">
        <v>69</v>
      </c>
      <c r="K96" s="7">
        <v>36.5</v>
      </c>
      <c r="L96" s="6" t="s">
        <v>170</v>
      </c>
      <c r="M96" s="6"/>
      <c r="N96" s="6">
        <v>40</v>
      </c>
      <c r="O96" s="6">
        <v>8</v>
      </c>
      <c r="P96" s="6" t="s">
        <v>1018</v>
      </c>
    </row>
    <row r="97" ht="15" customHeight="1" spans="1:16" x14ac:dyDescent="0.25">
      <c r="A97" s="6" t="s">
        <v>438</v>
      </c>
      <c r="B97" s="6" t="s">
        <v>61</v>
      </c>
      <c r="C97" s="6" t="s">
        <v>989</v>
      </c>
      <c r="D97" s="6" t="s">
        <v>1019</v>
      </c>
      <c r="E97" s="6" t="s">
        <v>972</v>
      </c>
      <c r="F97" s="6">
        <v>210</v>
      </c>
      <c r="G97" s="6" t="s">
        <v>805</v>
      </c>
      <c r="H97" s="7">
        <v>0.9</v>
      </c>
      <c r="I97" s="7">
        <v>189</v>
      </c>
      <c r="J97" s="7">
        <v>69</v>
      </c>
      <c r="K97" s="7">
        <v>36.5</v>
      </c>
      <c r="L97" s="6" t="s">
        <v>170</v>
      </c>
      <c r="M97" s="6"/>
      <c r="N97" s="6">
        <v>40</v>
      </c>
      <c r="O97" s="6">
        <v>8</v>
      </c>
      <c r="P97" s="6" t="s">
        <v>1018</v>
      </c>
    </row>
    <row r="98" ht="15" customHeight="1" spans="1:16" x14ac:dyDescent="0.25">
      <c r="A98" s="6" t="s">
        <v>451</v>
      </c>
      <c r="B98" s="6" t="s">
        <v>61</v>
      </c>
      <c r="C98" s="6" t="s">
        <v>989</v>
      </c>
      <c r="D98" s="6" t="s">
        <v>1020</v>
      </c>
      <c r="E98" s="6" t="s">
        <v>972</v>
      </c>
      <c r="F98" s="6">
        <v>110</v>
      </c>
      <c r="G98" s="6" t="s">
        <v>805</v>
      </c>
      <c r="H98" s="7">
        <v>0.9</v>
      </c>
      <c r="I98" s="7">
        <v>99</v>
      </c>
      <c r="J98" s="7">
        <v>90</v>
      </c>
      <c r="K98" s="7">
        <v>90.9</v>
      </c>
      <c r="L98" s="6" t="s">
        <v>170</v>
      </c>
      <c r="M98" s="6"/>
      <c r="N98" s="6">
        <v>40</v>
      </c>
      <c r="O98" s="6">
        <v>8</v>
      </c>
      <c r="P98" s="6" t="s">
        <v>1021</v>
      </c>
    </row>
    <row r="99" ht="15" customHeight="1" spans="1:16" x14ac:dyDescent="0.25">
      <c r="A99" s="6" t="s">
        <v>463</v>
      </c>
      <c r="B99" s="6" t="s">
        <v>61</v>
      </c>
      <c r="C99" s="6" t="s">
        <v>989</v>
      </c>
      <c r="D99" s="6" t="s">
        <v>1022</v>
      </c>
      <c r="E99" s="6" t="s">
        <v>972</v>
      </c>
      <c r="F99" s="6">
        <v>110</v>
      </c>
      <c r="G99" s="6" t="s">
        <v>805</v>
      </c>
      <c r="H99" s="7">
        <v>0.9</v>
      </c>
      <c r="I99" s="7">
        <v>99</v>
      </c>
      <c r="J99" s="7">
        <v>90</v>
      </c>
      <c r="K99" s="7">
        <v>90.9</v>
      </c>
      <c r="L99" s="6" t="s">
        <v>170</v>
      </c>
      <c r="M99" s="6"/>
      <c r="N99" s="6">
        <v>40</v>
      </c>
      <c r="O99" s="6">
        <v>8</v>
      </c>
      <c r="P99" s="6" t="s">
        <v>1021</v>
      </c>
    </row>
    <row r="100" ht="15" customHeight="1" spans="1:16" x14ac:dyDescent="0.25">
      <c r="A100" s="6" t="s">
        <v>475</v>
      </c>
      <c r="B100" s="6" t="s">
        <v>61</v>
      </c>
      <c r="C100" s="6" t="s">
        <v>989</v>
      </c>
      <c r="D100" s="6" t="s">
        <v>1023</v>
      </c>
      <c r="E100" s="6" t="s">
        <v>972</v>
      </c>
      <c r="F100" s="6">
        <v>210</v>
      </c>
      <c r="G100" s="6" t="s">
        <v>805</v>
      </c>
      <c r="H100" s="7">
        <v>0.9</v>
      </c>
      <c r="I100" s="7">
        <v>189</v>
      </c>
      <c r="J100" s="7">
        <v>80.5</v>
      </c>
      <c r="K100" s="7">
        <v>42.6</v>
      </c>
      <c r="L100" s="6" t="s">
        <v>170</v>
      </c>
      <c r="M100" s="6"/>
      <c r="N100" s="6">
        <v>40</v>
      </c>
      <c r="O100" s="6">
        <v>8</v>
      </c>
      <c r="P100" s="6" t="s">
        <v>1024</v>
      </c>
    </row>
    <row r="101" ht="15" customHeight="1" spans="1:16" x14ac:dyDescent="0.25">
      <c r="A101" s="6" t="s">
        <v>487</v>
      </c>
      <c r="B101" s="6" t="s">
        <v>61</v>
      </c>
      <c r="C101" s="6" t="s">
        <v>989</v>
      </c>
      <c r="D101" s="6" t="s">
        <v>1025</v>
      </c>
      <c r="E101" s="6" t="s">
        <v>972</v>
      </c>
      <c r="F101" s="6">
        <v>210</v>
      </c>
      <c r="G101" s="6" t="s">
        <v>805</v>
      </c>
      <c r="H101" s="7">
        <v>0.9</v>
      </c>
      <c r="I101" s="7">
        <v>189</v>
      </c>
      <c r="J101" s="7">
        <v>80.5</v>
      </c>
      <c r="K101" s="7">
        <v>42.6</v>
      </c>
      <c r="L101" s="6" t="s">
        <v>170</v>
      </c>
      <c r="M101" s="6"/>
      <c r="N101" s="6">
        <v>40</v>
      </c>
      <c r="O101" s="6">
        <v>8</v>
      </c>
      <c r="P101" s="6" t="s">
        <v>1024</v>
      </c>
    </row>
    <row r="102" ht="15" customHeight="1" spans="1:16" x14ac:dyDescent="0.25">
      <c r="A102" s="6" t="s">
        <v>499</v>
      </c>
      <c r="B102" s="6" t="s">
        <v>61</v>
      </c>
      <c r="C102" s="6" t="s">
        <v>989</v>
      </c>
      <c r="D102" s="6" t="s">
        <v>1026</v>
      </c>
      <c r="E102" s="6" t="s">
        <v>972</v>
      </c>
      <c r="F102" s="6">
        <v>210</v>
      </c>
      <c r="G102" s="6" t="s">
        <v>805</v>
      </c>
      <c r="H102" s="7">
        <v>0.9</v>
      </c>
      <c r="I102" s="7">
        <v>189</v>
      </c>
      <c r="J102" s="7">
        <v>68</v>
      </c>
      <c r="K102" s="7">
        <v>36</v>
      </c>
      <c r="L102" s="6" t="s">
        <v>170</v>
      </c>
      <c r="M102" s="6"/>
      <c r="N102" s="6">
        <v>40</v>
      </c>
      <c r="O102" s="6">
        <v>8</v>
      </c>
      <c r="P102" s="6" t="s">
        <v>1027</v>
      </c>
    </row>
    <row r="103" ht="15" customHeight="1" spans="1:16" x14ac:dyDescent="0.25">
      <c r="A103" s="6" t="s">
        <v>511</v>
      </c>
      <c r="B103" s="6" t="s">
        <v>61</v>
      </c>
      <c r="C103" s="6" t="s">
        <v>989</v>
      </c>
      <c r="D103" s="6" t="s">
        <v>1028</v>
      </c>
      <c r="E103" s="6" t="s">
        <v>972</v>
      </c>
      <c r="F103" s="6">
        <v>210</v>
      </c>
      <c r="G103" s="6" t="s">
        <v>805</v>
      </c>
      <c r="H103" s="7">
        <v>0.9</v>
      </c>
      <c r="I103" s="7">
        <v>189</v>
      </c>
      <c r="J103" s="7">
        <v>68</v>
      </c>
      <c r="K103" s="7">
        <v>36</v>
      </c>
      <c r="L103" s="6" t="s">
        <v>170</v>
      </c>
      <c r="M103" s="6"/>
      <c r="N103" s="6">
        <v>40</v>
      </c>
      <c r="O103" s="6">
        <v>8</v>
      </c>
      <c r="P103" s="6" t="s">
        <v>1027</v>
      </c>
    </row>
    <row r="104" ht="15" customHeight="1" spans="1:16" x14ac:dyDescent="0.25">
      <c r="A104" s="6" t="s">
        <v>523</v>
      </c>
      <c r="B104" s="6" t="s">
        <v>61</v>
      </c>
      <c r="C104" s="6" t="s">
        <v>989</v>
      </c>
      <c r="D104" s="6" t="s">
        <v>1029</v>
      </c>
      <c r="E104" s="6" t="s">
        <v>972</v>
      </c>
      <c r="F104" s="6">
        <v>210</v>
      </c>
      <c r="G104" s="6" t="s">
        <v>805</v>
      </c>
      <c r="H104" s="7">
        <v>0.9</v>
      </c>
      <c r="I104" s="7">
        <v>189</v>
      </c>
      <c r="J104" s="7">
        <v>64.5</v>
      </c>
      <c r="K104" s="7">
        <v>34.1</v>
      </c>
      <c r="L104" s="6" t="s">
        <v>170</v>
      </c>
      <c r="M104" s="6"/>
      <c r="N104" s="6">
        <v>40</v>
      </c>
      <c r="O104" s="6">
        <v>8</v>
      </c>
      <c r="P104" s="6" t="s">
        <v>1030</v>
      </c>
    </row>
    <row r="105" ht="15" customHeight="1" spans="1:16" x14ac:dyDescent="0.25">
      <c r="A105" s="6" t="s">
        <v>535</v>
      </c>
      <c r="B105" s="6" t="s">
        <v>61</v>
      </c>
      <c r="C105" s="6" t="s">
        <v>989</v>
      </c>
      <c r="D105" s="6" t="s">
        <v>1031</v>
      </c>
      <c r="E105" s="6" t="s">
        <v>972</v>
      </c>
      <c r="F105" s="6">
        <v>210</v>
      </c>
      <c r="G105" s="6" t="s">
        <v>805</v>
      </c>
      <c r="H105" s="7">
        <v>0.9</v>
      </c>
      <c r="I105" s="7">
        <v>189</v>
      </c>
      <c r="J105" s="7">
        <v>64.5</v>
      </c>
      <c r="K105" s="7">
        <v>34.1</v>
      </c>
      <c r="L105" s="6" t="s">
        <v>170</v>
      </c>
      <c r="M105" s="6"/>
      <c r="N105" s="6">
        <v>40</v>
      </c>
      <c r="O105" s="6">
        <v>8</v>
      </c>
      <c r="P105" s="6" t="s">
        <v>1030</v>
      </c>
    </row>
    <row r="106" ht="15" customHeight="1" spans="1:16" x14ac:dyDescent="0.25">
      <c r="A106" s="6" t="s">
        <v>547</v>
      </c>
      <c r="B106" s="6" t="s">
        <v>61</v>
      </c>
      <c r="C106" s="6" t="s">
        <v>989</v>
      </c>
      <c r="D106" s="6" t="s">
        <v>1032</v>
      </c>
      <c r="E106" s="6" t="s">
        <v>972</v>
      </c>
      <c r="F106" s="6">
        <v>210</v>
      </c>
      <c r="G106" s="6" t="s">
        <v>805</v>
      </c>
      <c r="H106" s="7">
        <v>0.9</v>
      </c>
      <c r="I106" s="7">
        <v>189</v>
      </c>
      <c r="J106" s="7">
        <v>61.5</v>
      </c>
      <c r="K106" s="7">
        <v>32.5</v>
      </c>
      <c r="L106" s="6" t="s">
        <v>170</v>
      </c>
      <c r="M106" s="6"/>
      <c r="N106" s="6">
        <v>40</v>
      </c>
      <c r="O106" s="6">
        <v>8</v>
      </c>
      <c r="P106" s="6" t="s">
        <v>1033</v>
      </c>
    </row>
    <row r="107" ht="15" customHeight="1" spans="1:16" x14ac:dyDescent="0.25">
      <c r="A107" s="6" t="s">
        <v>559</v>
      </c>
      <c r="B107" s="6" t="s">
        <v>61</v>
      </c>
      <c r="C107" s="6" t="s">
        <v>989</v>
      </c>
      <c r="D107" s="6" t="s">
        <v>1034</v>
      </c>
      <c r="E107" s="6" t="s">
        <v>972</v>
      </c>
      <c r="F107" s="6">
        <v>210</v>
      </c>
      <c r="G107" s="6" t="s">
        <v>805</v>
      </c>
      <c r="H107" s="7">
        <v>0.9</v>
      </c>
      <c r="I107" s="7">
        <v>189</v>
      </c>
      <c r="J107" s="7">
        <v>61.5</v>
      </c>
      <c r="K107" s="7">
        <v>32.5</v>
      </c>
      <c r="L107" s="6" t="s">
        <v>170</v>
      </c>
      <c r="M107" s="6"/>
      <c r="N107" s="6">
        <v>40</v>
      </c>
      <c r="O107" s="6">
        <v>8</v>
      </c>
      <c r="P107" s="6" t="s">
        <v>1033</v>
      </c>
    </row>
    <row r="108" ht="15" customHeight="1" spans="1:16" x14ac:dyDescent="0.25">
      <c r="A108" s="6" t="s">
        <v>571</v>
      </c>
      <c r="B108" s="6" t="s">
        <v>61</v>
      </c>
      <c r="C108" s="6" t="s">
        <v>989</v>
      </c>
      <c r="D108" s="6" t="s">
        <v>1035</v>
      </c>
      <c r="E108" s="6" t="s">
        <v>972</v>
      </c>
      <c r="F108" s="6">
        <v>190</v>
      </c>
      <c r="G108" s="6" t="s">
        <v>805</v>
      </c>
      <c r="H108" s="7">
        <v>0.9</v>
      </c>
      <c r="I108" s="7">
        <v>171</v>
      </c>
      <c r="J108" s="7">
        <v>69</v>
      </c>
      <c r="K108" s="7">
        <v>40.4</v>
      </c>
      <c r="L108" s="6" t="s">
        <v>170</v>
      </c>
      <c r="M108" s="6"/>
      <c r="N108" s="6">
        <v>40</v>
      </c>
      <c r="O108" s="6">
        <v>8</v>
      </c>
      <c r="P108" s="6" t="s">
        <v>1036</v>
      </c>
    </row>
    <row r="109" ht="15" customHeight="1" spans="1:16" x14ac:dyDescent="0.25">
      <c r="A109" s="6" t="s">
        <v>583</v>
      </c>
      <c r="B109" s="6" t="s">
        <v>61</v>
      </c>
      <c r="C109" s="6" t="s">
        <v>989</v>
      </c>
      <c r="D109" s="6" t="s">
        <v>1037</v>
      </c>
      <c r="E109" s="6" t="s">
        <v>972</v>
      </c>
      <c r="F109" s="6">
        <v>190</v>
      </c>
      <c r="G109" s="6" t="s">
        <v>805</v>
      </c>
      <c r="H109" s="7">
        <v>0.9</v>
      </c>
      <c r="I109" s="7">
        <v>171</v>
      </c>
      <c r="J109" s="7">
        <v>69</v>
      </c>
      <c r="K109" s="7">
        <v>40.4</v>
      </c>
      <c r="L109" s="6" t="s">
        <v>170</v>
      </c>
      <c r="M109" s="6"/>
      <c r="N109" s="6">
        <v>40</v>
      </c>
      <c r="O109" s="6">
        <v>8</v>
      </c>
      <c r="P109" s="6" t="s">
        <v>1036</v>
      </c>
    </row>
    <row r="110" ht="15" customHeight="1" spans="1:16" x14ac:dyDescent="0.25">
      <c r="A110" s="6" t="s">
        <v>595</v>
      </c>
      <c r="B110" s="6" t="s">
        <v>61</v>
      </c>
      <c r="C110" s="6" t="s">
        <v>989</v>
      </c>
      <c r="D110" s="6" t="s">
        <v>1038</v>
      </c>
      <c r="E110" s="6" t="s">
        <v>972</v>
      </c>
      <c r="F110" s="6">
        <v>195</v>
      </c>
      <c r="G110" s="6" t="s">
        <v>805</v>
      </c>
      <c r="H110" s="7">
        <v>0.9</v>
      </c>
      <c r="I110" s="7">
        <v>175.5</v>
      </c>
      <c r="J110" s="7">
        <v>68.5</v>
      </c>
      <c r="K110" s="7">
        <v>39</v>
      </c>
      <c r="L110" s="6" t="s">
        <v>170</v>
      </c>
      <c r="M110" s="6"/>
      <c r="N110" s="6">
        <v>40</v>
      </c>
      <c r="O110" s="6">
        <v>8</v>
      </c>
      <c r="P110" s="6" t="s">
        <v>1039</v>
      </c>
    </row>
    <row r="111" ht="15" customHeight="1" spans="1:16" x14ac:dyDescent="0.25">
      <c r="A111" s="6" t="s">
        <v>607</v>
      </c>
      <c r="B111" s="6" t="s">
        <v>61</v>
      </c>
      <c r="C111" s="6" t="s">
        <v>989</v>
      </c>
      <c r="D111" s="6" t="s">
        <v>1040</v>
      </c>
      <c r="E111" s="6" t="s">
        <v>972</v>
      </c>
      <c r="F111" s="6">
        <v>195</v>
      </c>
      <c r="G111" s="6" t="s">
        <v>805</v>
      </c>
      <c r="H111" s="7">
        <v>0.9</v>
      </c>
      <c r="I111" s="7">
        <v>175.5</v>
      </c>
      <c r="J111" s="7">
        <v>68.5</v>
      </c>
      <c r="K111" s="7">
        <v>39</v>
      </c>
      <c r="L111" s="6" t="s">
        <v>170</v>
      </c>
      <c r="M111" s="6"/>
      <c r="N111" s="6">
        <v>40</v>
      </c>
      <c r="O111" s="6">
        <v>8</v>
      </c>
      <c r="P111" s="6" t="s">
        <v>1039</v>
      </c>
    </row>
    <row r="112" ht="15" customHeight="1" spans="1:16" x14ac:dyDescent="0.25">
      <c r="A112" s="6" t="s">
        <v>619</v>
      </c>
      <c r="B112" s="6" t="s">
        <v>61</v>
      </c>
      <c r="C112" s="6" t="s">
        <v>989</v>
      </c>
      <c r="D112" s="6" t="s">
        <v>1041</v>
      </c>
      <c r="E112" s="6" t="s">
        <v>972</v>
      </c>
      <c r="F112" s="6">
        <v>210</v>
      </c>
      <c r="G112" s="6" t="s">
        <v>805</v>
      </c>
      <c r="H112" s="7">
        <v>0.9</v>
      </c>
      <c r="I112" s="7">
        <v>189</v>
      </c>
      <c r="J112" s="7">
        <v>69</v>
      </c>
      <c r="K112" s="7">
        <v>36.5</v>
      </c>
      <c r="L112" s="6" t="s">
        <v>170</v>
      </c>
      <c r="M112" s="6"/>
      <c r="N112" s="6">
        <v>40</v>
      </c>
      <c r="O112" s="6">
        <v>8</v>
      </c>
      <c r="P112" s="6" t="s">
        <v>1042</v>
      </c>
    </row>
    <row r="113" ht="15" customHeight="1" spans="1:16" x14ac:dyDescent="0.25">
      <c r="A113" s="6" t="s">
        <v>631</v>
      </c>
      <c r="B113" s="6" t="s">
        <v>61</v>
      </c>
      <c r="C113" s="6" t="s">
        <v>989</v>
      </c>
      <c r="D113" s="6" t="s">
        <v>1043</v>
      </c>
      <c r="E113" s="6" t="s">
        <v>972</v>
      </c>
      <c r="F113" s="6">
        <v>210</v>
      </c>
      <c r="G113" s="6" t="s">
        <v>805</v>
      </c>
      <c r="H113" s="7">
        <v>0.9</v>
      </c>
      <c r="I113" s="7">
        <v>189</v>
      </c>
      <c r="J113" s="7">
        <v>69</v>
      </c>
      <c r="K113" s="7">
        <v>36.5</v>
      </c>
      <c r="L113" s="6" t="s">
        <v>170</v>
      </c>
      <c r="M113" s="6"/>
      <c r="N113" s="6">
        <v>40</v>
      </c>
      <c r="O113" s="6">
        <v>8</v>
      </c>
      <c r="P113" s="6" t="s">
        <v>1042</v>
      </c>
    </row>
    <row r="114" ht="15" customHeight="1" spans="1:16" x14ac:dyDescent="0.25">
      <c r="A114" s="6" t="s">
        <v>643</v>
      </c>
      <c r="B114" s="6" t="s">
        <v>61</v>
      </c>
      <c r="C114" s="6" t="s">
        <v>989</v>
      </c>
      <c r="D114" s="6" t="s">
        <v>1044</v>
      </c>
      <c r="E114" s="6" t="s">
        <v>972</v>
      </c>
      <c r="F114" s="6">
        <v>415</v>
      </c>
      <c r="G114" s="6" t="s">
        <v>805</v>
      </c>
      <c r="H114" s="7">
        <v>0.9</v>
      </c>
      <c r="I114" s="7">
        <v>373.5</v>
      </c>
      <c r="J114" s="7">
        <v>360</v>
      </c>
      <c r="K114" s="7">
        <v>96.4</v>
      </c>
      <c r="L114" s="6" t="s">
        <v>170</v>
      </c>
      <c r="M114" s="6"/>
      <c r="N114" s="6">
        <v>40</v>
      </c>
      <c r="O114" s="6">
        <v>8</v>
      </c>
      <c r="P114" s="6" t="s">
        <v>1045</v>
      </c>
    </row>
    <row r="115" ht="15" customHeight="1" spans="1:16" x14ac:dyDescent="0.25">
      <c r="A115" s="6" t="s">
        <v>655</v>
      </c>
      <c r="B115" s="6" t="s">
        <v>61</v>
      </c>
      <c r="C115" s="6" t="s">
        <v>989</v>
      </c>
      <c r="D115" s="6" t="s">
        <v>1046</v>
      </c>
      <c r="E115" s="6" t="s">
        <v>972</v>
      </c>
      <c r="F115" s="6">
        <v>415</v>
      </c>
      <c r="G115" s="6" t="s">
        <v>805</v>
      </c>
      <c r="H115" s="7">
        <v>0.9</v>
      </c>
      <c r="I115" s="7">
        <v>373.5</v>
      </c>
      <c r="J115" s="7">
        <v>360</v>
      </c>
      <c r="K115" s="7">
        <v>96.4</v>
      </c>
      <c r="L115" s="6" t="s">
        <v>170</v>
      </c>
      <c r="M115" s="6"/>
      <c r="N115" s="6">
        <v>40</v>
      </c>
      <c r="O115" s="6">
        <v>8</v>
      </c>
      <c r="P115" s="6" t="s">
        <v>1045</v>
      </c>
    </row>
    <row r="116" ht="15" customHeight="1" spans="1:16" x14ac:dyDescent="0.25">
      <c r="A116" s="6" t="s">
        <v>667</v>
      </c>
      <c r="B116" s="6" t="s">
        <v>61</v>
      </c>
      <c r="C116" s="6" t="s">
        <v>989</v>
      </c>
      <c r="D116" s="6" t="s">
        <v>1047</v>
      </c>
      <c r="E116" s="6" t="s">
        <v>972</v>
      </c>
      <c r="F116" s="6">
        <v>405</v>
      </c>
      <c r="G116" s="6" t="s">
        <v>805</v>
      </c>
      <c r="H116" s="7">
        <v>0.9</v>
      </c>
      <c r="I116" s="7">
        <v>364.5</v>
      </c>
      <c r="J116" s="7">
        <v>330</v>
      </c>
      <c r="K116" s="7">
        <v>90.5</v>
      </c>
      <c r="L116" s="6" t="s">
        <v>170</v>
      </c>
      <c r="M116" s="6"/>
      <c r="N116" s="6">
        <v>40</v>
      </c>
      <c r="O116" s="6">
        <v>8</v>
      </c>
      <c r="P116" s="6" t="s">
        <v>1048</v>
      </c>
    </row>
    <row r="117" ht="15" customHeight="1" spans="1:16" x14ac:dyDescent="0.25">
      <c r="A117" s="6" t="s">
        <v>679</v>
      </c>
      <c r="B117" s="6" t="s">
        <v>61</v>
      </c>
      <c r="C117" s="6" t="s">
        <v>989</v>
      </c>
      <c r="D117" s="6" t="s">
        <v>1049</v>
      </c>
      <c r="E117" s="6" t="s">
        <v>972</v>
      </c>
      <c r="F117" s="6">
        <v>405</v>
      </c>
      <c r="G117" s="6" t="s">
        <v>805</v>
      </c>
      <c r="H117" s="7">
        <v>0.9</v>
      </c>
      <c r="I117" s="7">
        <v>364.5</v>
      </c>
      <c r="J117" s="7">
        <v>330</v>
      </c>
      <c r="K117" s="7">
        <v>90.5</v>
      </c>
      <c r="L117" s="6" t="s">
        <v>170</v>
      </c>
      <c r="M117" s="6"/>
      <c r="N117" s="6">
        <v>40</v>
      </c>
      <c r="O117" s="6">
        <v>8</v>
      </c>
      <c r="P117" s="6" t="s">
        <v>1048</v>
      </c>
    </row>
    <row r="118" ht="15" customHeight="1" spans="1:16" x14ac:dyDescent="0.25">
      <c r="A118" s="6" t="s">
        <v>691</v>
      </c>
      <c r="B118" s="6" t="s">
        <v>61</v>
      </c>
      <c r="C118" s="6" t="s">
        <v>989</v>
      </c>
      <c r="D118" s="6" t="s">
        <v>1050</v>
      </c>
      <c r="E118" s="6" t="s">
        <v>972</v>
      </c>
      <c r="F118" s="6">
        <v>410</v>
      </c>
      <c r="G118" s="6" t="s">
        <v>805</v>
      </c>
      <c r="H118" s="7">
        <v>0.9</v>
      </c>
      <c r="I118" s="7">
        <v>369</v>
      </c>
      <c r="J118" s="7">
        <v>345</v>
      </c>
      <c r="K118" s="7">
        <v>93.5</v>
      </c>
      <c r="L118" s="6" t="s">
        <v>170</v>
      </c>
      <c r="M118" s="6"/>
      <c r="N118" s="6">
        <v>40</v>
      </c>
      <c r="O118" s="6">
        <v>8</v>
      </c>
      <c r="P118" s="6" t="s">
        <v>1051</v>
      </c>
    </row>
    <row r="119" ht="15" customHeight="1" spans="1:16" x14ac:dyDescent="0.25">
      <c r="A119" s="6" t="s">
        <v>703</v>
      </c>
      <c r="B119" s="6" t="s">
        <v>61</v>
      </c>
      <c r="C119" s="6" t="s">
        <v>989</v>
      </c>
      <c r="D119" s="6" t="s">
        <v>1052</v>
      </c>
      <c r="E119" s="6" t="s">
        <v>972</v>
      </c>
      <c r="F119" s="6">
        <v>410</v>
      </c>
      <c r="G119" s="6" t="s">
        <v>805</v>
      </c>
      <c r="H119" s="7">
        <v>0.9</v>
      </c>
      <c r="I119" s="7">
        <v>369</v>
      </c>
      <c r="J119" s="7">
        <v>345</v>
      </c>
      <c r="K119" s="7">
        <v>93.5</v>
      </c>
      <c r="L119" s="6" t="s">
        <v>170</v>
      </c>
      <c r="M119" s="6"/>
      <c r="N119" s="6">
        <v>40</v>
      </c>
      <c r="O119" s="6">
        <v>8</v>
      </c>
      <c r="P119" s="6" t="s">
        <v>1051</v>
      </c>
    </row>
    <row r="120" ht="15" customHeight="1" spans="1:16" x14ac:dyDescent="0.25">
      <c r="A120" s="6" t="s">
        <v>715</v>
      </c>
      <c r="B120" s="6" t="s">
        <v>61</v>
      </c>
      <c r="C120" s="6" t="s">
        <v>989</v>
      </c>
      <c r="D120" s="6" t="s">
        <v>1053</v>
      </c>
      <c r="E120" s="6" t="s">
        <v>972</v>
      </c>
      <c r="F120" s="6">
        <v>400</v>
      </c>
      <c r="G120" s="6" t="s">
        <v>805</v>
      </c>
      <c r="H120" s="7">
        <v>0.9</v>
      </c>
      <c r="I120" s="7">
        <v>360</v>
      </c>
      <c r="J120" s="7">
        <v>315</v>
      </c>
      <c r="K120" s="7">
        <v>87.5</v>
      </c>
      <c r="L120" s="6" t="s">
        <v>170</v>
      </c>
      <c r="M120" s="6"/>
      <c r="N120" s="6">
        <v>40</v>
      </c>
      <c r="O120" s="6">
        <v>8</v>
      </c>
      <c r="P120" s="6" t="s">
        <v>1054</v>
      </c>
    </row>
    <row r="121" ht="15" customHeight="1" spans="1:16" x14ac:dyDescent="0.25">
      <c r="A121" s="6" t="s">
        <v>727</v>
      </c>
      <c r="B121" s="6" t="s">
        <v>61</v>
      </c>
      <c r="C121" s="6" t="s">
        <v>989</v>
      </c>
      <c r="D121" s="6" t="s">
        <v>1055</v>
      </c>
      <c r="E121" s="6" t="s">
        <v>972</v>
      </c>
      <c r="F121" s="6">
        <v>400</v>
      </c>
      <c r="G121" s="6" t="s">
        <v>805</v>
      </c>
      <c r="H121" s="7">
        <v>0.9</v>
      </c>
      <c r="I121" s="7">
        <v>360</v>
      </c>
      <c r="J121" s="7">
        <v>315</v>
      </c>
      <c r="K121" s="7">
        <v>87.5</v>
      </c>
      <c r="L121" s="6" t="s">
        <v>170</v>
      </c>
      <c r="M121" s="6"/>
      <c r="N121" s="6">
        <v>40</v>
      </c>
      <c r="O121" s="6">
        <v>8</v>
      </c>
      <c r="P121" s="6" t="s">
        <v>1054</v>
      </c>
    </row>
    <row r="122" ht="15" customHeight="1" spans="1:16" x14ac:dyDescent="0.25">
      <c r="A122" s="6" t="s">
        <v>739</v>
      </c>
      <c r="B122" s="6" t="s">
        <v>61</v>
      </c>
      <c r="C122" s="6" t="s">
        <v>989</v>
      </c>
      <c r="D122" s="6" t="s">
        <v>1056</v>
      </c>
      <c r="E122" s="6" t="s">
        <v>972</v>
      </c>
      <c r="F122" s="6">
        <v>410</v>
      </c>
      <c r="G122" s="6" t="s">
        <v>805</v>
      </c>
      <c r="H122" s="7">
        <v>0.9</v>
      </c>
      <c r="I122" s="7">
        <v>369</v>
      </c>
      <c r="J122" s="7">
        <v>335</v>
      </c>
      <c r="K122" s="7">
        <v>90.8</v>
      </c>
      <c r="L122" s="6" t="s">
        <v>170</v>
      </c>
      <c r="M122" s="6"/>
      <c r="N122" s="6">
        <v>40</v>
      </c>
      <c r="O122" s="6">
        <v>8</v>
      </c>
      <c r="P122" s="6" t="s">
        <v>1057</v>
      </c>
    </row>
    <row r="123" ht="15" customHeight="1" spans="1:16" x14ac:dyDescent="0.25">
      <c r="A123" s="6" t="s">
        <v>751</v>
      </c>
      <c r="B123" s="6" t="s">
        <v>61</v>
      </c>
      <c r="C123" s="6" t="s">
        <v>989</v>
      </c>
      <c r="D123" s="6" t="s">
        <v>1058</v>
      </c>
      <c r="E123" s="6" t="s">
        <v>972</v>
      </c>
      <c r="F123" s="6">
        <v>410</v>
      </c>
      <c r="G123" s="6" t="s">
        <v>805</v>
      </c>
      <c r="H123" s="7">
        <v>0.9</v>
      </c>
      <c r="I123" s="7">
        <v>369</v>
      </c>
      <c r="J123" s="7">
        <v>335</v>
      </c>
      <c r="K123" s="7">
        <v>90.8</v>
      </c>
      <c r="L123" s="6" t="s">
        <v>170</v>
      </c>
      <c r="M123" s="6"/>
      <c r="N123" s="6">
        <v>40</v>
      </c>
      <c r="O123" s="6">
        <v>8</v>
      </c>
      <c r="P123" s="6" t="s">
        <v>1057</v>
      </c>
    </row>
    <row r="124" ht="15" customHeight="1" spans="1:16" x14ac:dyDescent="0.25">
      <c r="A124" s="6" t="s">
        <v>763</v>
      </c>
      <c r="B124" s="6" t="s">
        <v>61</v>
      </c>
      <c r="C124" s="6" t="s">
        <v>989</v>
      </c>
      <c r="D124" s="6" t="s">
        <v>1059</v>
      </c>
      <c r="E124" s="6" t="s">
        <v>972</v>
      </c>
      <c r="F124" s="6">
        <v>420</v>
      </c>
      <c r="G124" s="6" t="s">
        <v>805</v>
      </c>
      <c r="H124" s="7">
        <v>0.9</v>
      </c>
      <c r="I124" s="7">
        <v>378</v>
      </c>
      <c r="J124" s="7">
        <v>355</v>
      </c>
      <c r="K124" s="7">
        <v>93.9</v>
      </c>
      <c r="L124" s="6" t="s">
        <v>170</v>
      </c>
      <c r="M124" s="6"/>
      <c r="N124" s="6">
        <v>40</v>
      </c>
      <c r="O124" s="6">
        <v>8</v>
      </c>
      <c r="P124" s="6" t="s">
        <v>1060</v>
      </c>
    </row>
    <row r="125" ht="15" customHeight="1" spans="1:16" x14ac:dyDescent="0.25">
      <c r="A125" s="6" t="s">
        <v>775</v>
      </c>
      <c r="B125" s="6" t="s">
        <v>61</v>
      </c>
      <c r="C125" s="6" t="s">
        <v>989</v>
      </c>
      <c r="D125" s="6" t="s">
        <v>1061</v>
      </c>
      <c r="E125" s="6" t="s">
        <v>972</v>
      </c>
      <c r="F125" s="6">
        <v>420</v>
      </c>
      <c r="G125" s="6" t="s">
        <v>805</v>
      </c>
      <c r="H125" s="7">
        <v>0.9</v>
      </c>
      <c r="I125" s="7">
        <v>378</v>
      </c>
      <c r="J125" s="7">
        <v>355</v>
      </c>
      <c r="K125" s="7">
        <v>93.9</v>
      </c>
      <c r="L125" s="6" t="s">
        <v>170</v>
      </c>
      <c r="M125" s="6"/>
      <c r="N125" s="6">
        <v>40</v>
      </c>
      <c r="O125" s="6">
        <v>8</v>
      </c>
      <c r="P125" s="6" t="s">
        <v>1060</v>
      </c>
    </row>
    <row r="126" ht="15" customHeight="1" spans="1:16" x14ac:dyDescent="0.25">
      <c r="A126" s="6" t="s">
        <v>1062</v>
      </c>
      <c r="B126" s="6" t="s">
        <v>61</v>
      </c>
      <c r="C126" s="6" t="s">
        <v>1063</v>
      </c>
      <c r="D126" s="6" t="s">
        <v>1064</v>
      </c>
      <c r="E126" s="6" t="s">
        <v>1065</v>
      </c>
      <c r="F126" s="6">
        <v>400</v>
      </c>
      <c r="G126" s="6" t="s">
        <v>805</v>
      </c>
      <c r="H126" s="7">
        <v>1</v>
      </c>
      <c r="I126" s="7">
        <v>400</v>
      </c>
      <c r="J126" s="6">
        <v>155</v>
      </c>
      <c r="K126" s="7">
        <v>38.8</v>
      </c>
      <c r="L126" s="6" t="s">
        <v>170</v>
      </c>
      <c r="M126" s="6"/>
      <c r="N126" s="6">
        <v>0</v>
      </c>
      <c r="O126" s="6">
        <v>0</v>
      </c>
      <c r="P126" s="6"/>
    </row>
    <row r="127" ht="15" customHeight="1" spans="1:16" x14ac:dyDescent="0.25">
      <c r="A127" s="6" t="s">
        <v>1066</v>
      </c>
      <c r="B127" s="6" t="s">
        <v>61</v>
      </c>
      <c r="C127" s="6" t="s">
        <v>1063</v>
      </c>
      <c r="D127" s="6" t="s">
        <v>1067</v>
      </c>
      <c r="E127" s="6" t="s">
        <v>1065</v>
      </c>
      <c r="F127" s="6">
        <v>400</v>
      </c>
      <c r="G127" s="6" t="s">
        <v>805</v>
      </c>
      <c r="H127" s="7">
        <v>1</v>
      </c>
      <c r="I127" s="7">
        <v>400</v>
      </c>
      <c r="J127" s="6">
        <v>162</v>
      </c>
      <c r="K127" s="7">
        <v>40.5</v>
      </c>
      <c r="L127" s="6" t="s">
        <v>170</v>
      </c>
      <c r="M127" s="6"/>
      <c r="N127" s="6">
        <v>0</v>
      </c>
      <c r="O127" s="6">
        <v>0</v>
      </c>
      <c r="P127" s="6"/>
    </row>
    <row r="128" ht="15" customHeight="1" spans="1:16" x14ac:dyDescent="0.25">
      <c r="A128" s="6" t="s">
        <v>1068</v>
      </c>
      <c r="B128" s="6" t="s">
        <v>61</v>
      </c>
      <c r="C128" s="6" t="s">
        <v>1063</v>
      </c>
      <c r="D128" s="6" t="s">
        <v>1069</v>
      </c>
      <c r="E128" s="6" t="s">
        <v>1065</v>
      </c>
      <c r="F128" s="6">
        <v>380</v>
      </c>
      <c r="G128" s="6" t="s">
        <v>805</v>
      </c>
      <c r="H128" s="7">
        <v>1</v>
      </c>
      <c r="I128" s="7">
        <v>380</v>
      </c>
      <c r="J128" s="6">
        <v>148</v>
      </c>
      <c r="K128" s="7">
        <v>38.9</v>
      </c>
      <c r="L128" s="6" t="s">
        <v>170</v>
      </c>
      <c r="M128" s="6"/>
      <c r="N128" s="6">
        <v>0</v>
      </c>
      <c r="O128" s="6">
        <v>0</v>
      </c>
      <c r="P128" s="6" t="s">
        <v>156</v>
      </c>
    </row>
    <row r="129" ht="15" customHeight="1" spans="1:16" x14ac:dyDescent="0.25">
      <c r="A129" s="6" t="s">
        <v>1070</v>
      </c>
      <c r="B129" s="6" t="s">
        <v>61</v>
      </c>
      <c r="C129" s="6" t="s">
        <v>1063</v>
      </c>
      <c r="D129" s="6" t="s">
        <v>1071</v>
      </c>
      <c r="E129" s="6" t="s">
        <v>1065</v>
      </c>
      <c r="F129" s="6">
        <v>400</v>
      </c>
      <c r="G129" s="6" t="s">
        <v>805</v>
      </c>
      <c r="H129" s="7">
        <v>1</v>
      </c>
      <c r="I129" s="7">
        <v>400</v>
      </c>
      <c r="J129" s="6">
        <v>168</v>
      </c>
      <c r="K129" s="7">
        <v>42</v>
      </c>
      <c r="L129" s="6" t="s">
        <v>170</v>
      </c>
      <c r="M129" s="6"/>
      <c r="N129" s="6">
        <v>0</v>
      </c>
      <c r="O129" s="6">
        <v>0</v>
      </c>
      <c r="P129" s="6"/>
    </row>
    <row r="130" ht="15" customHeight="1" spans="1:16" x14ac:dyDescent="0.25">
      <c r="A130" s="6" t="s">
        <v>1072</v>
      </c>
      <c r="B130" s="6" t="s">
        <v>61</v>
      </c>
      <c r="C130" s="6" t="s">
        <v>1063</v>
      </c>
      <c r="D130" s="6" t="s">
        <v>1073</v>
      </c>
      <c r="E130" s="6" t="s">
        <v>1065</v>
      </c>
      <c r="F130" s="6">
        <v>400</v>
      </c>
      <c r="G130" s="6" t="s">
        <v>805</v>
      </c>
      <c r="H130" s="7">
        <v>1</v>
      </c>
      <c r="I130" s="7">
        <v>400</v>
      </c>
      <c r="J130" s="6">
        <v>151</v>
      </c>
      <c r="K130" s="7">
        <v>37.8</v>
      </c>
      <c r="L130" s="6" t="s">
        <v>170</v>
      </c>
      <c r="M130" s="6"/>
      <c r="N130" s="6">
        <v>0</v>
      </c>
      <c r="O130" s="6">
        <v>0</v>
      </c>
      <c r="P130" s="6"/>
    </row>
    <row r="131" ht="15" customHeight="1" spans="1:16" x14ac:dyDescent="0.25">
      <c r="A131" s="6" t="s">
        <v>1074</v>
      </c>
      <c r="B131" s="6" t="s">
        <v>61</v>
      </c>
      <c r="C131" s="6" t="s">
        <v>1063</v>
      </c>
      <c r="D131" s="6" t="s">
        <v>1075</v>
      </c>
      <c r="E131" s="6" t="s">
        <v>1065</v>
      </c>
      <c r="F131" s="6">
        <v>400</v>
      </c>
      <c r="G131" s="6" t="s">
        <v>805</v>
      </c>
      <c r="H131" s="7">
        <v>1</v>
      </c>
      <c r="I131" s="7">
        <v>400</v>
      </c>
      <c r="J131" s="6">
        <v>159</v>
      </c>
      <c r="K131" s="7">
        <v>39.8</v>
      </c>
      <c r="L131" s="6" t="s">
        <v>170</v>
      </c>
      <c r="M131" s="6"/>
      <c r="N131" s="6">
        <v>0</v>
      </c>
      <c r="O131" s="6">
        <v>0</v>
      </c>
      <c r="P131" s="6"/>
    </row>
    <row r="132" ht="15" customHeight="1" spans="1:16" x14ac:dyDescent="0.25">
      <c r="A132" s="6" t="s">
        <v>1076</v>
      </c>
      <c r="B132" s="6" t="s">
        <v>61</v>
      </c>
      <c r="C132" s="6" t="s">
        <v>1063</v>
      </c>
      <c r="D132" s="6" t="s">
        <v>1077</v>
      </c>
      <c r="E132" s="6" t="s">
        <v>1065</v>
      </c>
      <c r="F132" s="6">
        <v>400</v>
      </c>
      <c r="G132" s="6" t="s">
        <v>805</v>
      </c>
      <c r="H132" s="7">
        <v>1</v>
      </c>
      <c r="I132" s="7">
        <v>400</v>
      </c>
      <c r="J132" s="6">
        <v>200</v>
      </c>
      <c r="K132" s="7">
        <v>50</v>
      </c>
      <c r="L132" s="6" t="s">
        <v>170</v>
      </c>
      <c r="M132" s="6"/>
      <c r="N132" s="6">
        <v>0</v>
      </c>
      <c r="O132" s="6">
        <v>0</v>
      </c>
      <c r="P132" s="6" t="s">
        <v>161</v>
      </c>
    </row>
    <row r="133" ht="15" customHeight="1" spans="1:16" x14ac:dyDescent="0.25">
      <c r="A133" s="6" t="s">
        <v>1078</v>
      </c>
      <c r="B133" s="6" t="s">
        <v>61</v>
      </c>
      <c r="C133" s="6" t="s">
        <v>1063</v>
      </c>
      <c r="D133" s="6" t="s">
        <v>1079</v>
      </c>
      <c r="E133" s="6" t="s">
        <v>1065</v>
      </c>
      <c r="F133" s="6">
        <v>400</v>
      </c>
      <c r="G133" s="6" t="s">
        <v>805</v>
      </c>
      <c r="H133" s="7">
        <v>1</v>
      </c>
      <c r="I133" s="7">
        <v>400</v>
      </c>
      <c r="J133" s="6">
        <v>145</v>
      </c>
      <c r="K133" s="7">
        <v>36.2</v>
      </c>
      <c r="L133" s="6" t="s">
        <v>170</v>
      </c>
      <c r="M133" s="6"/>
      <c r="N133" s="6">
        <v>0</v>
      </c>
      <c r="O133" s="6">
        <v>0</v>
      </c>
      <c r="P133" s="6"/>
    </row>
    <row r="134" ht="15" customHeight="1" spans="1:16" x14ac:dyDescent="0.25">
      <c r="A134" s="6" t="s">
        <v>1080</v>
      </c>
      <c r="B134" s="6" t="s">
        <v>61</v>
      </c>
      <c r="C134" s="6" t="s">
        <v>1063</v>
      </c>
      <c r="D134" s="6" t="s">
        <v>1081</v>
      </c>
      <c r="E134" s="6" t="s">
        <v>1065</v>
      </c>
      <c r="F134" s="6">
        <v>400</v>
      </c>
      <c r="G134" s="6" t="s">
        <v>805</v>
      </c>
      <c r="H134" s="7">
        <v>1</v>
      </c>
      <c r="I134" s="7">
        <v>400</v>
      </c>
      <c r="J134" s="6">
        <v>152</v>
      </c>
      <c r="K134" s="7">
        <v>38</v>
      </c>
      <c r="L134" s="6" t="s">
        <v>170</v>
      </c>
      <c r="M134" s="6"/>
      <c r="N134" s="6">
        <v>0</v>
      </c>
      <c r="O134" s="6">
        <v>0</v>
      </c>
      <c r="P134" s="6"/>
    </row>
    <row r="135" ht="15" customHeight="1" spans="1:16" x14ac:dyDescent="0.25">
      <c r="A135" s="6" t="s">
        <v>1082</v>
      </c>
      <c r="B135" s="6" t="s">
        <v>61</v>
      </c>
      <c r="C135" s="6" t="s">
        <v>1063</v>
      </c>
      <c r="D135" s="6" t="s">
        <v>1083</v>
      </c>
      <c r="E135" s="6" t="s">
        <v>1065</v>
      </c>
      <c r="F135" s="6">
        <v>400</v>
      </c>
      <c r="G135" s="6" t="s">
        <v>805</v>
      </c>
      <c r="H135" s="7">
        <v>1</v>
      </c>
      <c r="I135" s="7">
        <v>400</v>
      </c>
      <c r="J135" s="6">
        <v>138</v>
      </c>
      <c r="K135" s="7">
        <v>34.5</v>
      </c>
      <c r="L135" s="6" t="s">
        <v>170</v>
      </c>
      <c r="M135" s="6"/>
      <c r="N135" s="6">
        <v>0</v>
      </c>
      <c r="O135" s="6">
        <v>0</v>
      </c>
      <c r="P135" s="6"/>
    </row>
    <row r="136" ht="15" customHeight="1" spans="1:16" x14ac:dyDescent="0.25">
      <c r="A136" s="6" t="s">
        <v>1084</v>
      </c>
      <c r="B136" s="6" t="s">
        <v>61</v>
      </c>
      <c r="C136" s="6" t="s">
        <v>1063</v>
      </c>
      <c r="D136" s="6" t="s">
        <v>1085</v>
      </c>
      <c r="E136" s="6" t="s">
        <v>1065</v>
      </c>
      <c r="F136" s="6">
        <v>400</v>
      </c>
      <c r="G136" s="6" t="s">
        <v>805</v>
      </c>
      <c r="H136" s="7">
        <v>1</v>
      </c>
      <c r="I136" s="7">
        <v>400</v>
      </c>
      <c r="J136" s="6">
        <v>180</v>
      </c>
      <c r="K136" s="7">
        <v>45</v>
      </c>
      <c r="L136" s="6" t="s">
        <v>170</v>
      </c>
      <c r="M136" s="6"/>
      <c r="N136" s="6">
        <v>0</v>
      </c>
      <c r="O136" s="6">
        <v>0</v>
      </c>
      <c r="P136" s="6" t="s">
        <v>167</v>
      </c>
    </row>
    <row r="137" ht="15" customHeight="1" spans="1:16" x14ac:dyDescent="0.25">
      <c r="A137" s="6" t="s">
        <v>1086</v>
      </c>
      <c r="B137" s="6" t="s">
        <v>61</v>
      </c>
      <c r="C137" s="6" t="s">
        <v>1063</v>
      </c>
      <c r="D137" s="6" t="s">
        <v>1087</v>
      </c>
      <c r="E137" s="6" t="s">
        <v>1065</v>
      </c>
      <c r="F137" s="6">
        <v>400</v>
      </c>
      <c r="G137" s="6" t="s">
        <v>805</v>
      </c>
      <c r="H137" s="7">
        <v>1</v>
      </c>
      <c r="I137" s="7">
        <v>400</v>
      </c>
      <c r="J137" s="6">
        <v>161</v>
      </c>
      <c r="K137" s="7">
        <v>40.2</v>
      </c>
      <c r="L137" s="6" t="s">
        <v>170</v>
      </c>
      <c r="M137" s="6"/>
      <c r="N137" s="6">
        <v>0</v>
      </c>
      <c r="O137" s="6">
        <v>0</v>
      </c>
      <c r="P137" s="6"/>
    </row>
    <row r="138" ht="15" customHeight="1" spans="1:16" x14ac:dyDescent="0.25">
      <c r="A138" s="6" t="s">
        <v>1088</v>
      </c>
      <c r="B138" s="6" t="s">
        <v>61</v>
      </c>
      <c r="C138" s="6" t="s">
        <v>1063</v>
      </c>
      <c r="D138" s="6" t="s">
        <v>1089</v>
      </c>
      <c r="E138" s="6" t="s">
        <v>1065</v>
      </c>
      <c r="F138" s="6">
        <v>400</v>
      </c>
      <c r="G138" s="6" t="s">
        <v>805</v>
      </c>
      <c r="H138" s="7">
        <v>1</v>
      </c>
      <c r="I138" s="7">
        <v>400</v>
      </c>
      <c r="J138" s="6">
        <v>136</v>
      </c>
      <c r="K138" s="7">
        <v>34</v>
      </c>
      <c r="L138" s="6" t="s">
        <v>170</v>
      </c>
      <c r="M138" s="6"/>
      <c r="N138" s="6">
        <v>0</v>
      </c>
      <c r="O138" s="6">
        <v>0</v>
      </c>
      <c r="P138" s="6"/>
    </row>
    <row r="139" ht="15" customHeight="1" spans="1:16" x14ac:dyDescent="0.25">
      <c r="A139" s="6" t="s">
        <v>1090</v>
      </c>
      <c r="B139" s="6" t="s">
        <v>61</v>
      </c>
      <c r="C139" s="6" t="s">
        <v>1063</v>
      </c>
      <c r="D139" s="6" t="s">
        <v>1091</v>
      </c>
      <c r="E139" s="6" t="s">
        <v>1065</v>
      </c>
      <c r="F139" s="6">
        <v>400</v>
      </c>
      <c r="G139" s="6" t="s">
        <v>805</v>
      </c>
      <c r="H139" s="7">
        <v>1</v>
      </c>
      <c r="I139" s="7">
        <v>400</v>
      </c>
      <c r="J139" s="6">
        <v>129</v>
      </c>
      <c r="K139" s="7">
        <v>32.2</v>
      </c>
      <c r="L139" s="6" t="s">
        <v>170</v>
      </c>
      <c r="M139" s="6"/>
      <c r="N139" s="6">
        <v>0</v>
      </c>
      <c r="O139" s="6">
        <v>0</v>
      </c>
      <c r="P139" s="6"/>
    </row>
    <row r="140" ht="15" customHeight="1" spans="1:16" x14ac:dyDescent="0.25">
      <c r="A140" s="6" t="s">
        <v>1092</v>
      </c>
      <c r="B140" s="6" t="s">
        <v>61</v>
      </c>
      <c r="C140" s="6" t="s">
        <v>1063</v>
      </c>
      <c r="D140" s="6" t="s">
        <v>1093</v>
      </c>
      <c r="E140" s="6" t="s">
        <v>1065</v>
      </c>
      <c r="F140" s="6">
        <v>400</v>
      </c>
      <c r="G140" s="6" t="s">
        <v>805</v>
      </c>
      <c r="H140" s="7">
        <v>1</v>
      </c>
      <c r="I140" s="7">
        <v>400</v>
      </c>
      <c r="J140" s="6">
        <v>123</v>
      </c>
      <c r="K140" s="7">
        <v>30.8</v>
      </c>
      <c r="L140" s="6" t="s">
        <v>170</v>
      </c>
      <c r="M140" s="6"/>
      <c r="N140" s="6">
        <v>0</v>
      </c>
      <c r="O140" s="6">
        <v>0</v>
      </c>
      <c r="P140" s="6"/>
    </row>
    <row r="141" ht="15" customHeight="1" spans="1:16" x14ac:dyDescent="0.25">
      <c r="A141" s="6" t="s">
        <v>1094</v>
      </c>
      <c r="B141" s="6" t="s">
        <v>61</v>
      </c>
      <c r="C141" s="6" t="s">
        <v>1063</v>
      </c>
      <c r="D141" s="6" t="s">
        <v>1095</v>
      </c>
      <c r="E141" s="6" t="s">
        <v>1065</v>
      </c>
      <c r="F141" s="6">
        <v>400</v>
      </c>
      <c r="G141" s="6" t="s">
        <v>805</v>
      </c>
      <c r="H141" s="7">
        <v>1</v>
      </c>
      <c r="I141" s="7">
        <v>400</v>
      </c>
      <c r="J141" s="6">
        <v>138</v>
      </c>
      <c r="K141" s="7">
        <v>34.5</v>
      </c>
      <c r="L141" s="6" t="s">
        <v>170</v>
      </c>
      <c r="M141" s="6"/>
      <c r="N141" s="6">
        <v>0</v>
      </c>
      <c r="O141" s="6">
        <v>0</v>
      </c>
      <c r="P141" s="6" t="s">
        <v>173</v>
      </c>
    </row>
    <row r="142" ht="15" customHeight="1" spans="1:16" x14ac:dyDescent="0.25">
      <c r="A142" s="6" t="s">
        <v>1096</v>
      </c>
      <c r="B142" s="6" t="s">
        <v>61</v>
      </c>
      <c r="C142" s="6" t="s">
        <v>1063</v>
      </c>
      <c r="D142" s="6" t="s">
        <v>1097</v>
      </c>
      <c r="E142" s="6" t="s">
        <v>1065</v>
      </c>
      <c r="F142" s="6">
        <v>400</v>
      </c>
      <c r="G142" s="6" t="s">
        <v>805</v>
      </c>
      <c r="H142" s="7">
        <v>1</v>
      </c>
      <c r="I142" s="7">
        <v>400</v>
      </c>
      <c r="J142" s="6">
        <v>137</v>
      </c>
      <c r="K142" s="7">
        <v>34.2</v>
      </c>
      <c r="L142" s="6" t="s">
        <v>170</v>
      </c>
      <c r="M142" s="6"/>
      <c r="N142" s="6">
        <v>0</v>
      </c>
      <c r="O142" s="6">
        <v>0</v>
      </c>
      <c r="P142" s="6" t="s">
        <v>175</v>
      </c>
    </row>
    <row r="143" ht="15" customHeight="1" spans="1:16" x14ac:dyDescent="0.25">
      <c r="A143" s="6" t="s">
        <v>1098</v>
      </c>
      <c r="B143" s="6" t="s">
        <v>61</v>
      </c>
      <c r="C143" s="6" t="s">
        <v>1063</v>
      </c>
      <c r="D143" s="6" t="s">
        <v>1099</v>
      </c>
      <c r="E143" s="6" t="s">
        <v>1065</v>
      </c>
      <c r="F143" s="6">
        <v>400</v>
      </c>
      <c r="G143" s="6" t="s">
        <v>805</v>
      </c>
      <c r="H143" s="7">
        <v>1</v>
      </c>
      <c r="I143" s="7">
        <v>400</v>
      </c>
      <c r="J143" s="6">
        <v>138</v>
      </c>
      <c r="K143" s="7">
        <v>34.5</v>
      </c>
      <c r="L143" s="6" t="s">
        <v>170</v>
      </c>
      <c r="M143" s="6"/>
      <c r="N143" s="6">
        <v>0</v>
      </c>
      <c r="O143" s="6">
        <v>0</v>
      </c>
      <c r="P143" s="6"/>
    </row>
    <row r="144" ht="15" customHeight="1" spans="1:16" x14ac:dyDescent="0.25">
      <c r="A144" s="6" t="s">
        <v>1100</v>
      </c>
      <c r="B144" s="6" t="s">
        <v>61</v>
      </c>
      <c r="C144" s="6" t="s">
        <v>1063</v>
      </c>
      <c r="D144" s="6" t="s">
        <v>1101</v>
      </c>
      <c r="E144" s="6" t="s">
        <v>1065</v>
      </c>
      <c r="F144" s="8">
        <v>1200</v>
      </c>
      <c r="G144" s="6" t="s">
        <v>805</v>
      </c>
      <c r="H144" s="7">
        <v>1</v>
      </c>
      <c r="I144" s="7">
        <v>1200</v>
      </c>
      <c r="J144" s="6">
        <v>720</v>
      </c>
      <c r="K144" s="7">
        <v>60</v>
      </c>
      <c r="L144" s="6" t="s">
        <v>170</v>
      </c>
      <c r="M144" s="6"/>
      <c r="N144" s="6">
        <v>0</v>
      </c>
      <c r="O144" s="6">
        <v>0</v>
      </c>
      <c r="P144" s="6" t="s">
        <v>179</v>
      </c>
    </row>
    <row r="145" ht="15" customHeight="1" spans="1:16" x14ac:dyDescent="0.25">
      <c r="A145" s="6" t="s">
        <v>1102</v>
      </c>
      <c r="B145" s="6" t="s">
        <v>61</v>
      </c>
      <c r="C145" s="6" t="s">
        <v>1063</v>
      </c>
      <c r="D145" s="6" t="s">
        <v>1103</v>
      </c>
      <c r="E145" s="6" t="s">
        <v>1065</v>
      </c>
      <c r="F145" s="8">
        <v>1200</v>
      </c>
      <c r="G145" s="6" t="s">
        <v>805</v>
      </c>
      <c r="H145" s="7">
        <v>1</v>
      </c>
      <c r="I145" s="7">
        <v>1200</v>
      </c>
      <c r="J145" s="6">
        <v>660</v>
      </c>
      <c r="K145" s="7">
        <v>55</v>
      </c>
      <c r="L145" s="6" t="s">
        <v>170</v>
      </c>
      <c r="M145" s="6"/>
      <c r="N145" s="6">
        <v>0</v>
      </c>
      <c r="O145" s="6">
        <v>0</v>
      </c>
      <c r="P145" s="6" t="s">
        <v>179</v>
      </c>
    </row>
    <row r="146" ht="15" customHeight="1" spans="1:16" x14ac:dyDescent="0.25">
      <c r="A146" s="6" t="s">
        <v>1104</v>
      </c>
      <c r="B146" s="6" t="s">
        <v>61</v>
      </c>
      <c r="C146" s="6" t="s">
        <v>1063</v>
      </c>
      <c r="D146" s="6" t="s">
        <v>1105</v>
      </c>
      <c r="E146" s="6" t="s">
        <v>1065</v>
      </c>
      <c r="F146" s="8">
        <v>1200</v>
      </c>
      <c r="G146" s="6" t="s">
        <v>805</v>
      </c>
      <c r="H146" s="7">
        <v>1</v>
      </c>
      <c r="I146" s="7">
        <v>1200</v>
      </c>
      <c r="J146" s="6">
        <v>690</v>
      </c>
      <c r="K146" s="7">
        <v>57.5</v>
      </c>
      <c r="L146" s="6" t="s">
        <v>170</v>
      </c>
      <c r="M146" s="6"/>
      <c r="N146" s="6">
        <v>0</v>
      </c>
      <c r="O146" s="6">
        <v>0</v>
      </c>
      <c r="P146" s="6" t="s">
        <v>179</v>
      </c>
    </row>
    <row r="147" ht="15" customHeight="1" spans="1:16" x14ac:dyDescent="0.25">
      <c r="A147" s="6" t="s">
        <v>1106</v>
      </c>
      <c r="B147" s="6" t="s">
        <v>61</v>
      </c>
      <c r="C147" s="6" t="s">
        <v>1063</v>
      </c>
      <c r="D147" s="6" t="s">
        <v>1107</v>
      </c>
      <c r="E147" s="6" t="s">
        <v>1065</v>
      </c>
      <c r="F147" s="8">
        <v>1200</v>
      </c>
      <c r="G147" s="6" t="s">
        <v>805</v>
      </c>
      <c r="H147" s="7">
        <v>1</v>
      </c>
      <c r="I147" s="7">
        <v>1200</v>
      </c>
      <c r="J147" s="6">
        <v>630</v>
      </c>
      <c r="K147" s="7">
        <v>52.5</v>
      </c>
      <c r="L147" s="6" t="s">
        <v>170</v>
      </c>
      <c r="M147" s="6"/>
      <c r="N147" s="6">
        <v>0</v>
      </c>
      <c r="O147" s="6">
        <v>0</v>
      </c>
      <c r="P147" s="6" t="s">
        <v>179</v>
      </c>
    </row>
    <row r="148" ht="15" customHeight="1" spans="1:16" x14ac:dyDescent="0.25">
      <c r="A148" s="6" t="s">
        <v>1108</v>
      </c>
      <c r="B148" s="6" t="s">
        <v>61</v>
      </c>
      <c r="C148" s="6" t="s">
        <v>1063</v>
      </c>
      <c r="D148" s="6" t="s">
        <v>1109</v>
      </c>
      <c r="E148" s="6" t="s">
        <v>1065</v>
      </c>
      <c r="F148" s="8">
        <v>1200</v>
      </c>
      <c r="G148" s="6" t="s">
        <v>805</v>
      </c>
      <c r="H148" s="7">
        <v>1</v>
      </c>
      <c r="I148" s="7">
        <v>1200</v>
      </c>
      <c r="J148" s="6">
        <v>670</v>
      </c>
      <c r="K148" s="7">
        <v>55.8</v>
      </c>
      <c r="L148" s="6" t="s">
        <v>170</v>
      </c>
      <c r="M148" s="6"/>
      <c r="N148" s="6">
        <v>0</v>
      </c>
      <c r="O148" s="6">
        <v>0</v>
      </c>
      <c r="P148" s="6" t="s">
        <v>179</v>
      </c>
    </row>
    <row r="149" ht="15" customHeight="1" spans="1:16" x14ac:dyDescent="0.25">
      <c r="A149" s="6" t="s">
        <v>1110</v>
      </c>
      <c r="B149" s="6" t="s">
        <v>61</v>
      </c>
      <c r="C149" s="6" t="s">
        <v>1063</v>
      </c>
      <c r="D149" s="6" t="s">
        <v>1111</v>
      </c>
      <c r="E149" s="6" t="s">
        <v>1065</v>
      </c>
      <c r="F149" s="8">
        <v>1200</v>
      </c>
      <c r="G149" s="6" t="s">
        <v>805</v>
      </c>
      <c r="H149" s="7">
        <v>1</v>
      </c>
      <c r="I149" s="7">
        <v>1200</v>
      </c>
      <c r="J149" s="6">
        <v>710</v>
      </c>
      <c r="K149" s="7">
        <v>59.2</v>
      </c>
      <c r="L149" s="6" t="s">
        <v>170</v>
      </c>
      <c r="M149" s="6"/>
      <c r="N149" s="6">
        <v>0</v>
      </c>
      <c r="O149" s="6">
        <v>0</v>
      </c>
      <c r="P149" s="6" t="s">
        <v>179</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3"/>
  <sheetViews>
    <sheetView workbookViewId="0" zoomScale="100" zoomScaleNormal="100" view="normal">
      <pane ySplit="1" topLeftCell="A2" activePane="bottomLeft" state="frozen"/>
      <selection pane="bottomLeft" activeCell="A1" sqref="A1"/>
    </sheetView>
  </sheetViews>
  <sheetFormatPr defaultRowHeight="15" outlineLevelRow="0" outlineLevelCol="0" x14ac:dyDescent="0" defaultColWidth="8.6796875"/>
  <cols>
    <col min="1" max="1" width="16" customWidth="1"/>
    <col min="2" max="2" width="11" customWidth="1"/>
    <col min="6" max="6" width="15" customWidth="1"/>
    <col min="7" max="7" width="34" customWidth="1"/>
  </cols>
  <sheetData>
    <row r="1" ht="30" customHeight="1" spans="1:7" x14ac:dyDescent="0.25">
      <c r="A1" s="5" t="s">
        <v>788</v>
      </c>
      <c r="B1" s="5" t="s">
        <v>42</v>
      </c>
      <c r="C1" s="5" t="s">
        <v>189</v>
      </c>
      <c r="D1" s="5" t="s">
        <v>190</v>
      </c>
      <c r="E1" s="5" t="s">
        <v>191</v>
      </c>
      <c r="F1" s="5" t="s">
        <v>1112</v>
      </c>
      <c r="G1" s="5" t="s">
        <v>107</v>
      </c>
    </row>
    <row r="2" ht="15" customHeight="1" spans="1:7" x14ac:dyDescent="0.25">
      <c r="A2" s="6" t="s">
        <v>830</v>
      </c>
      <c r="B2" s="6" t="s">
        <v>61</v>
      </c>
      <c r="C2" s="7">
        <v>-14</v>
      </c>
      <c r="D2" s="7">
        <v>0</v>
      </c>
      <c r="E2" s="7">
        <v>4</v>
      </c>
      <c r="F2" s="6" t="s">
        <v>1113</v>
      </c>
      <c r="G2" s="6"/>
    </row>
    <row r="3" ht="15" customHeight="1" spans="1:7" x14ac:dyDescent="0.25">
      <c r="A3" s="6" t="s">
        <v>833</v>
      </c>
      <c r="B3" s="6" t="s">
        <v>61</v>
      </c>
      <c r="C3" s="7">
        <v>-14</v>
      </c>
      <c r="D3" s="7">
        <v>0</v>
      </c>
      <c r="E3" s="7">
        <v>8</v>
      </c>
      <c r="F3" s="6" t="s">
        <v>1113</v>
      </c>
      <c r="G3" s="6"/>
    </row>
    <row r="4" ht="15" customHeight="1" spans="1:7" x14ac:dyDescent="0.25">
      <c r="A4" s="6" t="s">
        <v>836</v>
      </c>
      <c r="B4" s="6" t="s">
        <v>61</v>
      </c>
      <c r="C4" s="7">
        <v>-14</v>
      </c>
      <c r="D4" s="7">
        <v>0</v>
      </c>
      <c r="E4" s="7">
        <v>12</v>
      </c>
      <c r="F4" s="6" t="s">
        <v>1113</v>
      </c>
      <c r="G4" s="6"/>
    </row>
    <row r="5" ht="15" customHeight="1" spans="1:7" x14ac:dyDescent="0.25">
      <c r="A5" s="6" t="s">
        <v>838</v>
      </c>
      <c r="B5" s="6" t="s">
        <v>61</v>
      </c>
      <c r="C5" s="7">
        <v>-14</v>
      </c>
      <c r="D5" s="7">
        <v>0</v>
      </c>
      <c r="E5" s="7">
        <v>16</v>
      </c>
      <c r="F5" s="6" t="s">
        <v>1113</v>
      </c>
      <c r="G5" s="6"/>
    </row>
    <row r="6" ht="15" customHeight="1" spans="1:7" x14ac:dyDescent="0.25">
      <c r="A6" s="6" t="s">
        <v>841</v>
      </c>
      <c r="B6" s="6" t="s">
        <v>61</v>
      </c>
      <c r="C6" s="7">
        <v>-14</v>
      </c>
      <c r="D6" s="7">
        <v>0</v>
      </c>
      <c r="E6" s="7">
        <v>20</v>
      </c>
      <c r="F6" s="6" t="s">
        <v>1113</v>
      </c>
      <c r="G6" s="6"/>
    </row>
    <row r="7" ht="15" customHeight="1" spans="1:7" x14ac:dyDescent="0.25">
      <c r="A7" s="6" t="s">
        <v>843</v>
      </c>
      <c r="B7" s="6" t="s">
        <v>61</v>
      </c>
      <c r="C7" s="7">
        <v>-14</v>
      </c>
      <c r="D7" s="7">
        <v>0</v>
      </c>
      <c r="E7" s="7">
        <v>24</v>
      </c>
      <c r="F7" s="6" t="s">
        <v>1113</v>
      </c>
      <c r="G7" s="6"/>
    </row>
    <row r="8" ht="15" customHeight="1" spans="1:7" x14ac:dyDescent="0.25">
      <c r="A8" s="6" t="s">
        <v>825</v>
      </c>
      <c r="B8" s="6" t="s">
        <v>61</v>
      </c>
      <c r="C8" s="7">
        <v>-9</v>
      </c>
      <c r="D8" s="7">
        <v>0</v>
      </c>
      <c r="E8" s="7">
        <v>6</v>
      </c>
      <c r="F8" s="6" t="s">
        <v>1113</v>
      </c>
      <c r="G8" s="6"/>
    </row>
    <row r="9" ht="15" customHeight="1" spans="1:7" x14ac:dyDescent="0.25">
      <c r="A9" s="6" t="s">
        <v>828</v>
      </c>
      <c r="B9" s="6" t="s">
        <v>61</v>
      </c>
      <c r="C9" s="7">
        <v>-9</v>
      </c>
      <c r="D9" s="7">
        <v>0</v>
      </c>
      <c r="E9" s="7">
        <v>14</v>
      </c>
      <c r="F9" s="6" t="s">
        <v>1113</v>
      </c>
      <c r="G9" s="6"/>
    </row>
    <row r="10" ht="15" customHeight="1" spans="1:7" x14ac:dyDescent="0.25">
      <c r="A10" s="6" t="s">
        <v>811</v>
      </c>
      <c r="B10" s="6" t="s">
        <v>61</v>
      </c>
      <c r="C10" s="7">
        <v>-5</v>
      </c>
      <c r="D10" s="7">
        <v>0</v>
      </c>
      <c r="E10" s="7">
        <v>6</v>
      </c>
      <c r="F10" s="6" t="s">
        <v>1113</v>
      </c>
      <c r="G10" s="6"/>
    </row>
    <row r="11" ht="15" customHeight="1" spans="1:7" x14ac:dyDescent="0.25">
      <c r="A11" s="6" t="s">
        <v>815</v>
      </c>
      <c r="B11" s="6" t="s">
        <v>61</v>
      </c>
      <c r="C11" s="7">
        <v>-5</v>
      </c>
      <c r="D11" s="7">
        <v>0</v>
      </c>
      <c r="E11" s="7">
        <v>14</v>
      </c>
      <c r="F11" s="6" t="s">
        <v>1113</v>
      </c>
      <c r="G11" s="6"/>
    </row>
    <row r="12" ht="15" customHeight="1" spans="1:7" x14ac:dyDescent="0.25">
      <c r="A12" s="6" t="s">
        <v>846</v>
      </c>
      <c r="B12" s="6" t="s">
        <v>61</v>
      </c>
      <c r="C12" s="7">
        <v>-2</v>
      </c>
      <c r="D12" s="7">
        <v>0</v>
      </c>
      <c r="E12" s="7">
        <v>4</v>
      </c>
      <c r="F12" s="6" t="s">
        <v>1113</v>
      </c>
      <c r="G12" s="6"/>
    </row>
    <row r="13" ht="15" customHeight="1" spans="1:7" x14ac:dyDescent="0.25">
      <c r="A13" s="6" t="s">
        <v>879</v>
      </c>
      <c r="B13" s="6" t="s">
        <v>61</v>
      </c>
      <c r="C13" s="7">
        <v>-2</v>
      </c>
      <c r="D13" s="7">
        <v>0</v>
      </c>
      <c r="E13" s="7">
        <v>10</v>
      </c>
      <c r="F13" s="6" t="s">
        <v>1113</v>
      </c>
      <c r="G13" s="6"/>
    </row>
    <row r="14" ht="15" customHeight="1" spans="1:7" x14ac:dyDescent="0.25">
      <c r="A14" s="6" t="s">
        <v>909</v>
      </c>
      <c r="B14" s="6" t="s">
        <v>61</v>
      </c>
      <c r="C14" s="7">
        <v>-2</v>
      </c>
      <c r="D14" s="7">
        <v>0</v>
      </c>
      <c r="E14" s="7">
        <v>18</v>
      </c>
      <c r="F14" s="6" t="s">
        <v>1113</v>
      </c>
      <c r="G14" s="6"/>
    </row>
    <row r="15" ht="15" customHeight="1" spans="1:7" x14ac:dyDescent="0.25">
      <c r="A15" s="6" t="s">
        <v>939</v>
      </c>
      <c r="B15" s="6" t="s">
        <v>61</v>
      </c>
      <c r="C15" s="7">
        <v>-2</v>
      </c>
      <c r="D15" s="7">
        <v>0</v>
      </c>
      <c r="E15" s="7">
        <v>26</v>
      </c>
      <c r="F15" s="6" t="s">
        <v>1113</v>
      </c>
      <c r="G15" s="6"/>
    </row>
    <row r="16" ht="15" customHeight="1" spans="1:7" x14ac:dyDescent="0.25">
      <c r="A16" s="6" t="s">
        <v>801</v>
      </c>
      <c r="B16" s="6" t="s">
        <v>61</v>
      </c>
      <c r="C16" s="7">
        <v>-6</v>
      </c>
      <c r="D16" s="7">
        <v>0</v>
      </c>
      <c r="E16" s="7">
        <v>-14</v>
      </c>
      <c r="F16" s="6" t="s">
        <v>1114</v>
      </c>
      <c r="G16" s="6"/>
    </row>
    <row r="17" ht="15" customHeight="1" spans="1:7" x14ac:dyDescent="0.25">
      <c r="A17" s="6" t="s">
        <v>807</v>
      </c>
      <c r="B17" s="6" t="s">
        <v>61</v>
      </c>
      <c r="C17" s="7">
        <v>2</v>
      </c>
      <c r="D17" s="7">
        <v>0</v>
      </c>
      <c r="E17" s="7">
        <v>-14</v>
      </c>
      <c r="F17" s="6" t="s">
        <v>1114</v>
      </c>
      <c r="G17" s="6"/>
    </row>
    <row r="18" ht="15" customHeight="1" spans="1:7" x14ac:dyDescent="0.25">
      <c r="A18" s="6" t="s">
        <v>817</v>
      </c>
      <c r="B18" s="6" t="s">
        <v>61</v>
      </c>
      <c r="C18" s="7">
        <v>10</v>
      </c>
      <c r="D18" s="7">
        <v>0</v>
      </c>
      <c r="E18" s="7">
        <v>-12</v>
      </c>
      <c r="F18" s="6" t="s">
        <v>1114</v>
      </c>
      <c r="G18" s="6"/>
    </row>
    <row r="19" ht="15" customHeight="1" spans="1:7" x14ac:dyDescent="0.25">
      <c r="A19" s="6" t="s">
        <v>821</v>
      </c>
      <c r="B19" s="6" t="s">
        <v>61</v>
      </c>
      <c r="C19" s="7">
        <v>16</v>
      </c>
      <c r="D19" s="7">
        <v>0</v>
      </c>
      <c r="E19" s="7">
        <v>-12</v>
      </c>
      <c r="F19" s="6" t="s">
        <v>1114</v>
      </c>
      <c r="G19" s="6"/>
    </row>
    <row r="20" ht="15" customHeight="1" spans="1:7" x14ac:dyDescent="0.25">
      <c r="A20" s="6" t="s">
        <v>976</v>
      </c>
      <c r="B20" s="6" t="s">
        <v>61</v>
      </c>
      <c r="C20" s="7">
        <v>24</v>
      </c>
      <c r="D20" s="7">
        <v>0</v>
      </c>
      <c r="E20" s="7">
        <v>-12</v>
      </c>
      <c r="F20" s="6" t="s">
        <v>1114</v>
      </c>
      <c r="G20" s="6"/>
    </row>
    <row r="21" ht="15" customHeight="1" spans="1:7" x14ac:dyDescent="0.25">
      <c r="A21" s="6" t="s">
        <v>979</v>
      </c>
      <c r="B21" s="6" t="s">
        <v>61</v>
      </c>
      <c r="C21" s="7">
        <v>30</v>
      </c>
      <c r="D21" s="7">
        <v>0</v>
      </c>
      <c r="E21" s="7">
        <v>-12</v>
      </c>
      <c r="F21" s="6" t="s">
        <v>1114</v>
      </c>
      <c r="G21" s="6"/>
    </row>
    <row r="22" ht="15" customHeight="1" spans="1:7" x14ac:dyDescent="0.25">
      <c r="A22" s="6" t="s">
        <v>969</v>
      </c>
      <c r="B22" s="6" t="s">
        <v>61</v>
      </c>
      <c r="C22" s="7">
        <v>36</v>
      </c>
      <c r="D22" s="7">
        <v>0</v>
      </c>
      <c r="E22" s="7">
        <v>-12</v>
      </c>
      <c r="F22" s="6" t="s">
        <v>1114</v>
      </c>
      <c r="G22" s="6"/>
    </row>
    <row r="23" ht="15" customHeight="1" spans="1:7" x14ac:dyDescent="0.25">
      <c r="A23" s="6" t="s">
        <v>974</v>
      </c>
      <c r="B23" s="6" t="s">
        <v>61</v>
      </c>
      <c r="C23" s="7">
        <v>42</v>
      </c>
      <c r="D23" s="7">
        <v>0</v>
      </c>
      <c r="E23" s="7">
        <v>-12</v>
      </c>
      <c r="F23" s="6" t="s">
        <v>1114</v>
      </c>
      <c r="G23" s="6"/>
    </row>
    <row r="24" ht="15" customHeight="1" spans="1:7" x14ac:dyDescent="0.25">
      <c r="A24" s="6" t="s">
        <v>981</v>
      </c>
      <c r="B24" s="6" t="s">
        <v>61</v>
      </c>
      <c r="C24" s="7">
        <v>26</v>
      </c>
      <c r="D24" s="7">
        <v>0</v>
      </c>
      <c r="E24" s="7">
        <v>-6</v>
      </c>
      <c r="F24" s="6" t="s">
        <v>1114</v>
      </c>
      <c r="G24" s="6"/>
    </row>
    <row r="25" ht="15" customHeight="1" spans="1:7" x14ac:dyDescent="0.25">
      <c r="A25" s="6" t="s">
        <v>986</v>
      </c>
      <c r="B25" s="6" t="s">
        <v>61</v>
      </c>
      <c r="C25" s="7">
        <v>34</v>
      </c>
      <c r="D25" s="7">
        <v>0</v>
      </c>
      <c r="E25" s="7">
        <v>-6</v>
      </c>
      <c r="F25" s="6" t="s">
        <v>1114</v>
      </c>
      <c r="G25" s="6"/>
    </row>
    <row r="26" ht="15" customHeight="1" spans="1:7" x14ac:dyDescent="0.25">
      <c r="A26" s="6" t="s">
        <v>850</v>
      </c>
      <c r="B26" s="6" t="s">
        <v>61</v>
      </c>
      <c r="C26" s="7">
        <v>8</v>
      </c>
      <c r="D26" s="7">
        <v>3.5</v>
      </c>
      <c r="E26" s="7">
        <v>1</v>
      </c>
      <c r="F26" s="6" t="s">
        <v>1115</v>
      </c>
      <c r="G26" s="6" t="s">
        <v>1116</v>
      </c>
    </row>
    <row r="27" ht="15" customHeight="1" spans="1:7" x14ac:dyDescent="0.25">
      <c r="A27" s="6" t="s">
        <v>882</v>
      </c>
      <c r="B27" s="6" t="s">
        <v>61</v>
      </c>
      <c r="C27" s="7">
        <v>28</v>
      </c>
      <c r="D27" s="7">
        <v>3.5</v>
      </c>
      <c r="E27" s="7">
        <v>1</v>
      </c>
      <c r="F27" s="6" t="s">
        <v>1115</v>
      </c>
      <c r="G27" s="6" t="s">
        <v>1116</v>
      </c>
    </row>
    <row r="28" ht="15" customHeight="1" spans="1:7" x14ac:dyDescent="0.25">
      <c r="A28" s="6" t="s">
        <v>912</v>
      </c>
      <c r="B28" s="6" t="s">
        <v>61</v>
      </c>
      <c r="C28" s="7">
        <v>8</v>
      </c>
      <c r="D28" s="7">
        <v>3.5</v>
      </c>
      <c r="E28" s="7">
        <v>45</v>
      </c>
      <c r="F28" s="6" t="s">
        <v>1115</v>
      </c>
      <c r="G28" s="6" t="s">
        <v>1116</v>
      </c>
    </row>
    <row r="29" ht="15" customHeight="1" spans="1:7" x14ac:dyDescent="0.25">
      <c r="A29" s="6" t="s">
        <v>942</v>
      </c>
      <c r="B29" s="6" t="s">
        <v>61</v>
      </c>
      <c r="C29" s="7">
        <v>28</v>
      </c>
      <c r="D29" s="7">
        <v>3.5</v>
      </c>
      <c r="E29" s="7">
        <v>45</v>
      </c>
      <c r="F29" s="6" t="s">
        <v>1115</v>
      </c>
      <c r="G29" s="6" t="s">
        <v>1116</v>
      </c>
    </row>
    <row r="30" ht="15" customHeight="1" spans="1:7" x14ac:dyDescent="0.25">
      <c r="A30" s="6" t="s">
        <v>203</v>
      </c>
      <c r="B30" s="6" t="s">
        <v>61</v>
      </c>
      <c r="C30" s="7">
        <v>0.8</v>
      </c>
      <c r="D30" s="7">
        <v>0</v>
      </c>
      <c r="E30" s="7">
        <v>3</v>
      </c>
      <c r="F30" s="6" t="s">
        <v>1117</v>
      </c>
      <c r="G30" s="6" t="s">
        <v>1118</v>
      </c>
    </row>
    <row r="31" ht="15" customHeight="1" spans="1:7" x14ac:dyDescent="0.25">
      <c r="A31" s="6" t="s">
        <v>215</v>
      </c>
      <c r="B31" s="6" t="s">
        <v>61</v>
      </c>
      <c r="C31" s="7">
        <v>15.2</v>
      </c>
      <c r="D31" s="7">
        <v>0</v>
      </c>
      <c r="E31" s="7">
        <v>3</v>
      </c>
      <c r="F31" s="6" t="s">
        <v>1117</v>
      </c>
      <c r="G31" s="6" t="s">
        <v>1119</v>
      </c>
    </row>
    <row r="32" ht="15" customHeight="1" spans="1:7" x14ac:dyDescent="0.25">
      <c r="A32" s="6" t="s">
        <v>204</v>
      </c>
      <c r="B32" s="6" t="s">
        <v>61</v>
      </c>
      <c r="C32" s="7">
        <v>-0.6</v>
      </c>
      <c r="D32" s="7">
        <v>0</v>
      </c>
      <c r="E32" s="7">
        <v>3</v>
      </c>
      <c r="F32" s="6" t="s">
        <v>1117</v>
      </c>
      <c r="G32" s="6" t="s">
        <v>1120</v>
      </c>
    </row>
    <row r="33" ht="15" customHeight="1" spans="1:7" x14ac:dyDescent="0.25">
      <c r="A33" s="6" t="s">
        <v>216</v>
      </c>
      <c r="B33" s="6" t="s">
        <v>61</v>
      </c>
      <c r="C33" s="7">
        <v>16.6</v>
      </c>
      <c r="D33" s="7">
        <v>0</v>
      </c>
      <c r="E33" s="7">
        <v>3</v>
      </c>
      <c r="F33" s="6" t="s">
        <v>1117</v>
      </c>
      <c r="G33" s="6" t="s">
        <v>1121</v>
      </c>
    </row>
    <row r="34" ht="15" customHeight="1" spans="1:7" x14ac:dyDescent="0.25">
      <c r="A34" s="6" t="s">
        <v>228</v>
      </c>
      <c r="B34" s="6" t="s">
        <v>61</v>
      </c>
      <c r="C34" s="7">
        <v>0.8</v>
      </c>
      <c r="D34" s="7">
        <v>0</v>
      </c>
      <c r="E34" s="7">
        <v>5.4</v>
      </c>
      <c r="F34" s="6" t="s">
        <v>1117</v>
      </c>
      <c r="G34" s="6" t="s">
        <v>1122</v>
      </c>
    </row>
    <row r="35" ht="15" customHeight="1" spans="1:7" x14ac:dyDescent="0.25">
      <c r="A35" s="6" t="s">
        <v>240</v>
      </c>
      <c r="B35" s="6" t="s">
        <v>61</v>
      </c>
      <c r="C35" s="7">
        <v>15.2</v>
      </c>
      <c r="D35" s="7">
        <v>0</v>
      </c>
      <c r="E35" s="7">
        <v>5.4</v>
      </c>
      <c r="F35" s="6" t="s">
        <v>1117</v>
      </c>
      <c r="G35" s="6" t="s">
        <v>1123</v>
      </c>
    </row>
    <row r="36" ht="15" customHeight="1" spans="1:7" x14ac:dyDescent="0.25">
      <c r="A36" s="6" t="s">
        <v>229</v>
      </c>
      <c r="B36" s="6" t="s">
        <v>61</v>
      </c>
      <c r="C36" s="7">
        <v>-0.6</v>
      </c>
      <c r="D36" s="7">
        <v>0</v>
      </c>
      <c r="E36" s="7">
        <v>5.4</v>
      </c>
      <c r="F36" s="6" t="s">
        <v>1117</v>
      </c>
      <c r="G36" s="6" t="s">
        <v>1124</v>
      </c>
    </row>
    <row r="37" ht="15" customHeight="1" spans="1:7" x14ac:dyDescent="0.25">
      <c r="A37" s="6" t="s">
        <v>241</v>
      </c>
      <c r="B37" s="6" t="s">
        <v>61</v>
      </c>
      <c r="C37" s="7">
        <v>16.6</v>
      </c>
      <c r="D37" s="7">
        <v>0</v>
      </c>
      <c r="E37" s="7">
        <v>5.4</v>
      </c>
      <c r="F37" s="6" t="s">
        <v>1117</v>
      </c>
      <c r="G37" s="6" t="s">
        <v>1125</v>
      </c>
    </row>
    <row r="38" ht="15" customHeight="1" spans="1:7" x14ac:dyDescent="0.25">
      <c r="A38" s="6" t="s">
        <v>253</v>
      </c>
      <c r="B38" s="6" t="s">
        <v>61</v>
      </c>
      <c r="C38" s="7">
        <v>0.8</v>
      </c>
      <c r="D38" s="7">
        <v>0</v>
      </c>
      <c r="E38" s="7">
        <v>7.8</v>
      </c>
      <c r="F38" s="6" t="s">
        <v>1117</v>
      </c>
      <c r="G38" s="6" t="s">
        <v>1126</v>
      </c>
    </row>
    <row r="39" ht="15" customHeight="1" spans="1:7" x14ac:dyDescent="0.25">
      <c r="A39" s="6" t="s">
        <v>265</v>
      </c>
      <c r="B39" s="6" t="s">
        <v>61</v>
      </c>
      <c r="C39" s="7">
        <v>15.2</v>
      </c>
      <c r="D39" s="7">
        <v>0</v>
      </c>
      <c r="E39" s="7">
        <v>7.8</v>
      </c>
      <c r="F39" s="6" t="s">
        <v>1117</v>
      </c>
      <c r="G39" s="6" t="s">
        <v>1127</v>
      </c>
    </row>
    <row r="40" ht="15" customHeight="1" spans="1:7" x14ac:dyDescent="0.25">
      <c r="A40" s="6" t="s">
        <v>254</v>
      </c>
      <c r="B40" s="6" t="s">
        <v>61</v>
      </c>
      <c r="C40" s="7">
        <v>-0.6</v>
      </c>
      <c r="D40" s="7">
        <v>0</v>
      </c>
      <c r="E40" s="7">
        <v>7.8</v>
      </c>
      <c r="F40" s="6" t="s">
        <v>1117</v>
      </c>
      <c r="G40" s="6" t="s">
        <v>1128</v>
      </c>
    </row>
    <row r="41" ht="15" customHeight="1" spans="1:7" x14ac:dyDescent="0.25">
      <c r="A41" s="6" t="s">
        <v>266</v>
      </c>
      <c r="B41" s="6" t="s">
        <v>61</v>
      </c>
      <c r="C41" s="7">
        <v>16.6</v>
      </c>
      <c r="D41" s="7">
        <v>0</v>
      </c>
      <c r="E41" s="7">
        <v>7.8</v>
      </c>
      <c r="F41" s="6" t="s">
        <v>1117</v>
      </c>
      <c r="G41" s="6" t="s">
        <v>1129</v>
      </c>
    </row>
    <row r="42" ht="15" customHeight="1" spans="1:7" x14ac:dyDescent="0.25">
      <c r="A42" s="6" t="s">
        <v>279</v>
      </c>
      <c r="B42" s="6" t="s">
        <v>61</v>
      </c>
      <c r="C42" s="7">
        <v>0.8</v>
      </c>
      <c r="D42" s="7">
        <v>0</v>
      </c>
      <c r="E42" s="7">
        <v>10.2</v>
      </c>
      <c r="F42" s="6" t="s">
        <v>1117</v>
      </c>
      <c r="G42" s="6" t="s">
        <v>1130</v>
      </c>
    </row>
    <row r="43" ht="15" customHeight="1" spans="1:7" x14ac:dyDescent="0.25">
      <c r="A43" s="6" t="s">
        <v>291</v>
      </c>
      <c r="B43" s="6" t="s">
        <v>61</v>
      </c>
      <c r="C43" s="7">
        <v>15.2</v>
      </c>
      <c r="D43" s="7">
        <v>0</v>
      </c>
      <c r="E43" s="7">
        <v>10.2</v>
      </c>
      <c r="F43" s="6" t="s">
        <v>1117</v>
      </c>
      <c r="G43" s="6" t="s">
        <v>1131</v>
      </c>
    </row>
    <row r="44" ht="15" customHeight="1" spans="1:7" x14ac:dyDescent="0.25">
      <c r="A44" s="6" t="s">
        <v>280</v>
      </c>
      <c r="B44" s="6" t="s">
        <v>61</v>
      </c>
      <c r="C44" s="7">
        <v>-0.6</v>
      </c>
      <c r="D44" s="7">
        <v>0</v>
      </c>
      <c r="E44" s="7">
        <v>10.2</v>
      </c>
      <c r="F44" s="6" t="s">
        <v>1117</v>
      </c>
      <c r="G44" s="6" t="s">
        <v>1132</v>
      </c>
    </row>
    <row r="45" ht="15" customHeight="1" spans="1:7" x14ac:dyDescent="0.25">
      <c r="A45" s="6" t="s">
        <v>292</v>
      </c>
      <c r="B45" s="6" t="s">
        <v>61</v>
      </c>
      <c r="C45" s="7">
        <v>16.6</v>
      </c>
      <c r="D45" s="7">
        <v>0</v>
      </c>
      <c r="E45" s="7">
        <v>10.2</v>
      </c>
      <c r="F45" s="6" t="s">
        <v>1117</v>
      </c>
      <c r="G45" s="6" t="s">
        <v>1133</v>
      </c>
    </row>
    <row r="46" ht="15" customHeight="1" spans="1:7" x14ac:dyDescent="0.25">
      <c r="A46" s="6" t="s">
        <v>304</v>
      </c>
      <c r="B46" s="6" t="s">
        <v>61</v>
      </c>
      <c r="C46" s="7">
        <v>0.8</v>
      </c>
      <c r="D46" s="7">
        <v>0</v>
      </c>
      <c r="E46" s="7">
        <v>12.6</v>
      </c>
      <c r="F46" s="6" t="s">
        <v>1117</v>
      </c>
      <c r="G46" s="6" t="s">
        <v>1134</v>
      </c>
    </row>
    <row r="47" ht="15" customHeight="1" spans="1:7" x14ac:dyDescent="0.25">
      <c r="A47" s="6" t="s">
        <v>316</v>
      </c>
      <c r="B47" s="6" t="s">
        <v>61</v>
      </c>
      <c r="C47" s="7">
        <v>15.2</v>
      </c>
      <c r="D47" s="7">
        <v>0</v>
      </c>
      <c r="E47" s="7">
        <v>12.6</v>
      </c>
      <c r="F47" s="6" t="s">
        <v>1117</v>
      </c>
      <c r="G47" s="6" t="s">
        <v>1135</v>
      </c>
    </row>
    <row r="48" ht="15" customHeight="1" spans="1:7" x14ac:dyDescent="0.25">
      <c r="A48" s="6" t="s">
        <v>305</v>
      </c>
      <c r="B48" s="6" t="s">
        <v>61</v>
      </c>
      <c r="C48" s="7">
        <v>-0.6</v>
      </c>
      <c r="D48" s="7">
        <v>0</v>
      </c>
      <c r="E48" s="7">
        <v>12.6</v>
      </c>
      <c r="F48" s="6" t="s">
        <v>1117</v>
      </c>
      <c r="G48" s="6" t="s">
        <v>1136</v>
      </c>
    </row>
    <row r="49" ht="15" customHeight="1" spans="1:7" x14ac:dyDescent="0.25">
      <c r="A49" s="6" t="s">
        <v>317</v>
      </c>
      <c r="B49" s="6" t="s">
        <v>61</v>
      </c>
      <c r="C49" s="7">
        <v>16.6</v>
      </c>
      <c r="D49" s="7">
        <v>0</v>
      </c>
      <c r="E49" s="7">
        <v>12.6</v>
      </c>
      <c r="F49" s="6" t="s">
        <v>1117</v>
      </c>
      <c r="G49" s="6" t="s">
        <v>1137</v>
      </c>
    </row>
    <row r="50" ht="15" customHeight="1" spans="1:7" x14ac:dyDescent="0.25">
      <c r="A50" s="6" t="s">
        <v>329</v>
      </c>
      <c r="B50" s="6" t="s">
        <v>61</v>
      </c>
      <c r="C50" s="7">
        <v>0.8</v>
      </c>
      <c r="D50" s="7">
        <v>0</v>
      </c>
      <c r="E50" s="7">
        <v>15</v>
      </c>
      <c r="F50" s="6" t="s">
        <v>1117</v>
      </c>
      <c r="G50" s="6" t="s">
        <v>1138</v>
      </c>
    </row>
    <row r="51" ht="15" customHeight="1" spans="1:7" x14ac:dyDescent="0.25">
      <c r="A51" s="6" t="s">
        <v>341</v>
      </c>
      <c r="B51" s="6" t="s">
        <v>61</v>
      </c>
      <c r="C51" s="7">
        <v>15.2</v>
      </c>
      <c r="D51" s="7">
        <v>0</v>
      </c>
      <c r="E51" s="7">
        <v>15</v>
      </c>
      <c r="F51" s="6" t="s">
        <v>1117</v>
      </c>
      <c r="G51" s="6" t="s">
        <v>1139</v>
      </c>
    </row>
    <row r="52" ht="15" customHeight="1" spans="1:7" x14ac:dyDescent="0.25">
      <c r="A52" s="6" t="s">
        <v>330</v>
      </c>
      <c r="B52" s="6" t="s">
        <v>61</v>
      </c>
      <c r="C52" s="7">
        <v>-0.6</v>
      </c>
      <c r="D52" s="7">
        <v>0</v>
      </c>
      <c r="E52" s="7">
        <v>15</v>
      </c>
      <c r="F52" s="6" t="s">
        <v>1117</v>
      </c>
      <c r="G52" s="6" t="s">
        <v>1140</v>
      </c>
    </row>
    <row r="53" ht="15" customHeight="1" spans="1:7" x14ac:dyDescent="0.25">
      <c r="A53" s="6" t="s">
        <v>342</v>
      </c>
      <c r="B53" s="6" t="s">
        <v>61</v>
      </c>
      <c r="C53" s="7">
        <v>16.6</v>
      </c>
      <c r="D53" s="7">
        <v>0</v>
      </c>
      <c r="E53" s="7">
        <v>15</v>
      </c>
      <c r="F53" s="6" t="s">
        <v>1117</v>
      </c>
      <c r="G53" s="6" t="s">
        <v>1141</v>
      </c>
    </row>
    <row r="54" ht="15" customHeight="1" spans="1:7" x14ac:dyDescent="0.25">
      <c r="A54" s="6" t="s">
        <v>353</v>
      </c>
      <c r="B54" s="6" t="s">
        <v>61</v>
      </c>
      <c r="C54" s="7">
        <v>20.8</v>
      </c>
      <c r="D54" s="7">
        <v>0</v>
      </c>
      <c r="E54" s="7">
        <v>3</v>
      </c>
      <c r="F54" s="6" t="s">
        <v>1117</v>
      </c>
      <c r="G54" s="6" t="s">
        <v>1142</v>
      </c>
    </row>
    <row r="55" ht="15" customHeight="1" spans="1:7" x14ac:dyDescent="0.25">
      <c r="A55" s="6" t="s">
        <v>365</v>
      </c>
      <c r="B55" s="6" t="s">
        <v>61</v>
      </c>
      <c r="C55" s="7">
        <v>35.2</v>
      </c>
      <c r="D55" s="7">
        <v>0</v>
      </c>
      <c r="E55" s="7">
        <v>3</v>
      </c>
      <c r="F55" s="6" t="s">
        <v>1117</v>
      </c>
      <c r="G55" s="6" t="s">
        <v>1143</v>
      </c>
    </row>
    <row r="56" ht="15" customHeight="1" spans="1:7" x14ac:dyDescent="0.25">
      <c r="A56" s="6" t="s">
        <v>354</v>
      </c>
      <c r="B56" s="6" t="s">
        <v>61</v>
      </c>
      <c r="C56" s="7">
        <v>19.4</v>
      </c>
      <c r="D56" s="7">
        <v>0</v>
      </c>
      <c r="E56" s="7">
        <v>3</v>
      </c>
      <c r="F56" s="6" t="s">
        <v>1117</v>
      </c>
      <c r="G56" s="6" t="s">
        <v>1144</v>
      </c>
    </row>
    <row r="57" ht="15" customHeight="1" spans="1:7" x14ac:dyDescent="0.25">
      <c r="A57" s="6" t="s">
        <v>366</v>
      </c>
      <c r="B57" s="6" t="s">
        <v>61</v>
      </c>
      <c r="C57" s="7">
        <v>36.6</v>
      </c>
      <c r="D57" s="7">
        <v>0</v>
      </c>
      <c r="E57" s="7">
        <v>3</v>
      </c>
      <c r="F57" s="6" t="s">
        <v>1117</v>
      </c>
      <c r="G57" s="6" t="s">
        <v>1145</v>
      </c>
    </row>
    <row r="58" ht="15" customHeight="1" spans="1:7" x14ac:dyDescent="0.25">
      <c r="A58" s="6" t="s">
        <v>377</v>
      </c>
      <c r="B58" s="6" t="s">
        <v>61</v>
      </c>
      <c r="C58" s="7">
        <v>20.8</v>
      </c>
      <c r="D58" s="7">
        <v>0</v>
      </c>
      <c r="E58" s="7">
        <v>5.4</v>
      </c>
      <c r="F58" s="6" t="s">
        <v>1117</v>
      </c>
      <c r="G58" s="6" t="s">
        <v>1146</v>
      </c>
    </row>
    <row r="59" ht="15" customHeight="1" spans="1:7" x14ac:dyDescent="0.25">
      <c r="A59" s="6" t="s">
        <v>389</v>
      </c>
      <c r="B59" s="6" t="s">
        <v>61</v>
      </c>
      <c r="C59" s="7">
        <v>35.2</v>
      </c>
      <c r="D59" s="7">
        <v>0</v>
      </c>
      <c r="E59" s="7">
        <v>5.4</v>
      </c>
      <c r="F59" s="6" t="s">
        <v>1117</v>
      </c>
      <c r="G59" s="6" t="s">
        <v>1147</v>
      </c>
    </row>
    <row r="60" ht="15" customHeight="1" spans="1:7" x14ac:dyDescent="0.25">
      <c r="A60" s="6" t="s">
        <v>378</v>
      </c>
      <c r="B60" s="6" t="s">
        <v>61</v>
      </c>
      <c r="C60" s="7">
        <v>19.4</v>
      </c>
      <c r="D60" s="7">
        <v>0</v>
      </c>
      <c r="E60" s="7">
        <v>5.4</v>
      </c>
      <c r="F60" s="6" t="s">
        <v>1117</v>
      </c>
      <c r="G60" s="6" t="s">
        <v>1148</v>
      </c>
    </row>
    <row r="61" ht="15" customHeight="1" spans="1:7" x14ac:dyDescent="0.25">
      <c r="A61" s="6" t="s">
        <v>390</v>
      </c>
      <c r="B61" s="6" t="s">
        <v>61</v>
      </c>
      <c r="C61" s="7">
        <v>36.6</v>
      </c>
      <c r="D61" s="7">
        <v>0</v>
      </c>
      <c r="E61" s="7">
        <v>5.4</v>
      </c>
      <c r="F61" s="6" t="s">
        <v>1117</v>
      </c>
      <c r="G61" s="6" t="s">
        <v>1149</v>
      </c>
    </row>
    <row r="62" ht="15" customHeight="1" spans="1:7" x14ac:dyDescent="0.25">
      <c r="A62" s="6" t="s">
        <v>401</v>
      </c>
      <c r="B62" s="6" t="s">
        <v>61</v>
      </c>
      <c r="C62" s="7">
        <v>20.8</v>
      </c>
      <c r="D62" s="7">
        <v>0</v>
      </c>
      <c r="E62" s="7">
        <v>7.8</v>
      </c>
      <c r="F62" s="6" t="s">
        <v>1117</v>
      </c>
      <c r="G62" s="6" t="s">
        <v>1150</v>
      </c>
    </row>
    <row r="63" ht="15" customHeight="1" spans="1:7" x14ac:dyDescent="0.25">
      <c r="A63" s="6" t="s">
        <v>413</v>
      </c>
      <c r="B63" s="6" t="s">
        <v>61</v>
      </c>
      <c r="C63" s="7">
        <v>35.2</v>
      </c>
      <c r="D63" s="7">
        <v>0</v>
      </c>
      <c r="E63" s="7">
        <v>7.8</v>
      </c>
      <c r="F63" s="6" t="s">
        <v>1117</v>
      </c>
      <c r="G63" s="6" t="s">
        <v>1151</v>
      </c>
    </row>
    <row r="64" ht="15" customHeight="1" spans="1:7" x14ac:dyDescent="0.25">
      <c r="A64" s="6" t="s">
        <v>402</v>
      </c>
      <c r="B64" s="6" t="s">
        <v>61</v>
      </c>
      <c r="C64" s="7">
        <v>19.4</v>
      </c>
      <c r="D64" s="7">
        <v>0</v>
      </c>
      <c r="E64" s="7">
        <v>7.8</v>
      </c>
      <c r="F64" s="6" t="s">
        <v>1117</v>
      </c>
      <c r="G64" s="6" t="s">
        <v>1152</v>
      </c>
    </row>
    <row r="65" ht="15" customHeight="1" spans="1:7" x14ac:dyDescent="0.25">
      <c r="A65" s="6" t="s">
        <v>414</v>
      </c>
      <c r="B65" s="6" t="s">
        <v>61</v>
      </c>
      <c r="C65" s="7">
        <v>36.6</v>
      </c>
      <c r="D65" s="7">
        <v>0</v>
      </c>
      <c r="E65" s="7">
        <v>7.8</v>
      </c>
      <c r="F65" s="6" t="s">
        <v>1117</v>
      </c>
      <c r="G65" s="6" t="s">
        <v>1153</v>
      </c>
    </row>
    <row r="66" ht="15" customHeight="1" spans="1:7" x14ac:dyDescent="0.25">
      <c r="A66" s="6" t="s">
        <v>425</v>
      </c>
      <c r="B66" s="6" t="s">
        <v>61</v>
      </c>
      <c r="C66" s="7">
        <v>20.8</v>
      </c>
      <c r="D66" s="7">
        <v>0</v>
      </c>
      <c r="E66" s="7">
        <v>10.2</v>
      </c>
      <c r="F66" s="6" t="s">
        <v>1117</v>
      </c>
      <c r="G66" s="6" t="s">
        <v>1154</v>
      </c>
    </row>
    <row r="67" ht="15" customHeight="1" spans="1:7" x14ac:dyDescent="0.25">
      <c r="A67" s="6" t="s">
        <v>437</v>
      </c>
      <c r="B67" s="6" t="s">
        <v>61</v>
      </c>
      <c r="C67" s="7">
        <v>35.2</v>
      </c>
      <c r="D67" s="7">
        <v>0</v>
      </c>
      <c r="E67" s="7">
        <v>10.2</v>
      </c>
      <c r="F67" s="6" t="s">
        <v>1117</v>
      </c>
      <c r="G67" s="6" t="s">
        <v>1155</v>
      </c>
    </row>
    <row r="68" ht="15" customHeight="1" spans="1:7" x14ac:dyDescent="0.25">
      <c r="A68" s="6" t="s">
        <v>426</v>
      </c>
      <c r="B68" s="6" t="s">
        <v>61</v>
      </c>
      <c r="C68" s="7">
        <v>19.4</v>
      </c>
      <c r="D68" s="7">
        <v>0</v>
      </c>
      <c r="E68" s="7">
        <v>10.2</v>
      </c>
      <c r="F68" s="6" t="s">
        <v>1117</v>
      </c>
      <c r="G68" s="6" t="s">
        <v>1156</v>
      </c>
    </row>
    <row r="69" ht="15" customHeight="1" spans="1:7" x14ac:dyDescent="0.25">
      <c r="A69" s="6" t="s">
        <v>438</v>
      </c>
      <c r="B69" s="6" t="s">
        <v>61</v>
      </c>
      <c r="C69" s="7">
        <v>36.6</v>
      </c>
      <c r="D69" s="7">
        <v>0</v>
      </c>
      <c r="E69" s="7">
        <v>10.2</v>
      </c>
      <c r="F69" s="6" t="s">
        <v>1117</v>
      </c>
      <c r="G69" s="6" t="s">
        <v>1157</v>
      </c>
    </row>
    <row r="70" ht="15" customHeight="1" spans="1:7" x14ac:dyDescent="0.25">
      <c r="A70" s="6" t="s">
        <v>450</v>
      </c>
      <c r="B70" s="6" t="s">
        <v>61</v>
      </c>
      <c r="C70" s="7">
        <v>20.8</v>
      </c>
      <c r="D70" s="7">
        <v>0</v>
      </c>
      <c r="E70" s="7">
        <v>12.6</v>
      </c>
      <c r="F70" s="6" t="s">
        <v>1117</v>
      </c>
      <c r="G70" s="6" t="s">
        <v>1158</v>
      </c>
    </row>
    <row r="71" ht="15" customHeight="1" spans="1:7" x14ac:dyDescent="0.25">
      <c r="A71" s="6" t="s">
        <v>462</v>
      </c>
      <c r="B71" s="6" t="s">
        <v>61</v>
      </c>
      <c r="C71" s="7">
        <v>35.2</v>
      </c>
      <c r="D71" s="7">
        <v>0</v>
      </c>
      <c r="E71" s="7">
        <v>12.6</v>
      </c>
      <c r="F71" s="6" t="s">
        <v>1117</v>
      </c>
      <c r="G71" s="6" t="s">
        <v>1159</v>
      </c>
    </row>
    <row r="72" ht="15" customHeight="1" spans="1:7" x14ac:dyDescent="0.25">
      <c r="A72" s="6" t="s">
        <v>451</v>
      </c>
      <c r="B72" s="6" t="s">
        <v>61</v>
      </c>
      <c r="C72" s="7">
        <v>19.4</v>
      </c>
      <c r="D72" s="7">
        <v>0</v>
      </c>
      <c r="E72" s="7">
        <v>12.6</v>
      </c>
      <c r="F72" s="6" t="s">
        <v>1117</v>
      </c>
      <c r="G72" s="6" t="s">
        <v>1160</v>
      </c>
    </row>
    <row r="73" ht="15" customHeight="1" spans="1:7" x14ac:dyDescent="0.25">
      <c r="A73" s="6" t="s">
        <v>463</v>
      </c>
      <c r="B73" s="6" t="s">
        <v>61</v>
      </c>
      <c r="C73" s="7">
        <v>36.6</v>
      </c>
      <c r="D73" s="7">
        <v>0</v>
      </c>
      <c r="E73" s="7">
        <v>12.6</v>
      </c>
      <c r="F73" s="6" t="s">
        <v>1117</v>
      </c>
      <c r="G73" s="6" t="s">
        <v>1161</v>
      </c>
    </row>
    <row r="74" ht="15" customHeight="1" spans="1:7" x14ac:dyDescent="0.25">
      <c r="A74" s="6" t="s">
        <v>474</v>
      </c>
      <c r="B74" s="6" t="s">
        <v>61</v>
      </c>
      <c r="C74" s="7">
        <v>20.8</v>
      </c>
      <c r="D74" s="7">
        <v>0</v>
      </c>
      <c r="E74" s="7">
        <v>15</v>
      </c>
      <c r="F74" s="6" t="s">
        <v>1117</v>
      </c>
      <c r="G74" s="6" t="s">
        <v>1162</v>
      </c>
    </row>
    <row r="75" ht="15" customHeight="1" spans="1:7" x14ac:dyDescent="0.25">
      <c r="A75" s="6" t="s">
        <v>486</v>
      </c>
      <c r="B75" s="6" t="s">
        <v>61</v>
      </c>
      <c r="C75" s="7">
        <v>35.2</v>
      </c>
      <c r="D75" s="7">
        <v>0</v>
      </c>
      <c r="E75" s="7">
        <v>15</v>
      </c>
      <c r="F75" s="6" t="s">
        <v>1117</v>
      </c>
      <c r="G75" s="6" t="s">
        <v>1163</v>
      </c>
    </row>
    <row r="76" ht="15" customHeight="1" spans="1:7" x14ac:dyDescent="0.25">
      <c r="A76" s="6" t="s">
        <v>475</v>
      </c>
      <c r="B76" s="6" t="s">
        <v>61</v>
      </c>
      <c r="C76" s="7">
        <v>19.4</v>
      </c>
      <c r="D76" s="7">
        <v>0</v>
      </c>
      <c r="E76" s="7">
        <v>15</v>
      </c>
      <c r="F76" s="6" t="s">
        <v>1117</v>
      </c>
      <c r="G76" s="6" t="s">
        <v>1164</v>
      </c>
    </row>
    <row r="77" ht="15" customHeight="1" spans="1:7" x14ac:dyDescent="0.25">
      <c r="A77" s="6" t="s">
        <v>487</v>
      </c>
      <c r="B77" s="6" t="s">
        <v>61</v>
      </c>
      <c r="C77" s="7">
        <v>36.6</v>
      </c>
      <c r="D77" s="7">
        <v>0</v>
      </c>
      <c r="E77" s="7">
        <v>15</v>
      </c>
      <c r="F77" s="6" t="s">
        <v>1117</v>
      </c>
      <c r="G77" s="6" t="s">
        <v>1165</v>
      </c>
    </row>
    <row r="78" ht="15" customHeight="1" spans="1:7" x14ac:dyDescent="0.25">
      <c r="A78" s="6" t="s">
        <v>498</v>
      </c>
      <c r="B78" s="6" t="s">
        <v>61</v>
      </c>
      <c r="C78" s="7">
        <v>0.8</v>
      </c>
      <c r="D78" s="7">
        <v>0</v>
      </c>
      <c r="E78" s="7">
        <v>25</v>
      </c>
      <c r="F78" s="6" t="s">
        <v>1117</v>
      </c>
      <c r="G78" s="6" t="s">
        <v>1166</v>
      </c>
    </row>
    <row r="79" ht="15" customHeight="1" spans="1:7" x14ac:dyDescent="0.25">
      <c r="A79" s="6" t="s">
        <v>510</v>
      </c>
      <c r="B79" s="6" t="s">
        <v>61</v>
      </c>
      <c r="C79" s="7">
        <v>15.2</v>
      </c>
      <c r="D79" s="7">
        <v>0</v>
      </c>
      <c r="E79" s="7">
        <v>25</v>
      </c>
      <c r="F79" s="6" t="s">
        <v>1117</v>
      </c>
      <c r="G79" s="6" t="s">
        <v>1167</v>
      </c>
    </row>
    <row r="80" ht="15" customHeight="1" spans="1:7" x14ac:dyDescent="0.25">
      <c r="A80" s="6" t="s">
        <v>499</v>
      </c>
      <c r="B80" s="6" t="s">
        <v>61</v>
      </c>
      <c r="C80" s="7">
        <v>-0.6</v>
      </c>
      <c r="D80" s="7">
        <v>0</v>
      </c>
      <c r="E80" s="7">
        <v>25</v>
      </c>
      <c r="F80" s="6" t="s">
        <v>1117</v>
      </c>
      <c r="G80" s="6" t="s">
        <v>1168</v>
      </c>
    </row>
    <row r="81" ht="15" customHeight="1" spans="1:7" x14ac:dyDescent="0.25">
      <c r="A81" s="6" t="s">
        <v>511</v>
      </c>
      <c r="B81" s="6" t="s">
        <v>61</v>
      </c>
      <c r="C81" s="7">
        <v>16.6</v>
      </c>
      <c r="D81" s="7">
        <v>0</v>
      </c>
      <c r="E81" s="7">
        <v>25</v>
      </c>
      <c r="F81" s="6" t="s">
        <v>1117</v>
      </c>
      <c r="G81" s="6" t="s">
        <v>1169</v>
      </c>
    </row>
    <row r="82" ht="15" customHeight="1" spans="1:7" x14ac:dyDescent="0.25">
      <c r="A82" s="6" t="s">
        <v>522</v>
      </c>
      <c r="B82" s="6" t="s">
        <v>61</v>
      </c>
      <c r="C82" s="7">
        <v>0.8</v>
      </c>
      <c r="D82" s="7">
        <v>0</v>
      </c>
      <c r="E82" s="7">
        <v>27.4</v>
      </c>
      <c r="F82" s="6" t="s">
        <v>1117</v>
      </c>
      <c r="G82" s="6" t="s">
        <v>1170</v>
      </c>
    </row>
    <row r="83" ht="15" customHeight="1" spans="1:7" x14ac:dyDescent="0.25">
      <c r="A83" s="6" t="s">
        <v>534</v>
      </c>
      <c r="B83" s="6" t="s">
        <v>61</v>
      </c>
      <c r="C83" s="7">
        <v>15.2</v>
      </c>
      <c r="D83" s="7">
        <v>0</v>
      </c>
      <c r="E83" s="7">
        <v>27.4</v>
      </c>
      <c r="F83" s="6" t="s">
        <v>1117</v>
      </c>
      <c r="G83" s="6" t="s">
        <v>1171</v>
      </c>
    </row>
    <row r="84" ht="15" customHeight="1" spans="1:7" x14ac:dyDescent="0.25">
      <c r="A84" s="6" t="s">
        <v>523</v>
      </c>
      <c r="B84" s="6" t="s">
        <v>61</v>
      </c>
      <c r="C84" s="7">
        <v>-0.6</v>
      </c>
      <c r="D84" s="7">
        <v>0</v>
      </c>
      <c r="E84" s="7">
        <v>27.4</v>
      </c>
      <c r="F84" s="6" t="s">
        <v>1117</v>
      </c>
      <c r="G84" s="6" t="s">
        <v>1172</v>
      </c>
    </row>
    <row r="85" ht="15" customHeight="1" spans="1:7" x14ac:dyDescent="0.25">
      <c r="A85" s="6" t="s">
        <v>535</v>
      </c>
      <c r="B85" s="6" t="s">
        <v>61</v>
      </c>
      <c r="C85" s="7">
        <v>16.6</v>
      </c>
      <c r="D85" s="7">
        <v>0</v>
      </c>
      <c r="E85" s="7">
        <v>27.4</v>
      </c>
      <c r="F85" s="6" t="s">
        <v>1117</v>
      </c>
      <c r="G85" s="6" t="s">
        <v>1173</v>
      </c>
    </row>
    <row r="86" ht="15" customHeight="1" spans="1:7" x14ac:dyDescent="0.25">
      <c r="A86" s="6" t="s">
        <v>546</v>
      </c>
      <c r="B86" s="6" t="s">
        <v>61</v>
      </c>
      <c r="C86" s="7">
        <v>0.8</v>
      </c>
      <c r="D86" s="7">
        <v>0</v>
      </c>
      <c r="E86" s="7">
        <v>29.8</v>
      </c>
      <c r="F86" s="6" t="s">
        <v>1117</v>
      </c>
      <c r="G86" s="6" t="s">
        <v>1174</v>
      </c>
    </row>
    <row r="87" ht="15" customHeight="1" spans="1:7" x14ac:dyDescent="0.25">
      <c r="A87" s="6" t="s">
        <v>558</v>
      </c>
      <c r="B87" s="6" t="s">
        <v>61</v>
      </c>
      <c r="C87" s="7">
        <v>15.2</v>
      </c>
      <c r="D87" s="7">
        <v>0</v>
      </c>
      <c r="E87" s="7">
        <v>29.8</v>
      </c>
      <c r="F87" s="6" t="s">
        <v>1117</v>
      </c>
      <c r="G87" s="6" t="s">
        <v>1175</v>
      </c>
    </row>
    <row r="88" ht="15" customHeight="1" spans="1:7" x14ac:dyDescent="0.25">
      <c r="A88" s="6" t="s">
        <v>547</v>
      </c>
      <c r="B88" s="6" t="s">
        <v>61</v>
      </c>
      <c r="C88" s="7">
        <v>-0.6</v>
      </c>
      <c r="D88" s="7">
        <v>0</v>
      </c>
      <c r="E88" s="7">
        <v>29.8</v>
      </c>
      <c r="F88" s="6" t="s">
        <v>1117</v>
      </c>
      <c r="G88" s="6" t="s">
        <v>1176</v>
      </c>
    </row>
    <row r="89" ht="15" customHeight="1" spans="1:7" x14ac:dyDescent="0.25">
      <c r="A89" s="6" t="s">
        <v>559</v>
      </c>
      <c r="B89" s="6" t="s">
        <v>61</v>
      </c>
      <c r="C89" s="7">
        <v>16.6</v>
      </c>
      <c r="D89" s="7">
        <v>0</v>
      </c>
      <c r="E89" s="7">
        <v>29.8</v>
      </c>
      <c r="F89" s="6" t="s">
        <v>1117</v>
      </c>
      <c r="G89" s="6" t="s">
        <v>1177</v>
      </c>
    </row>
    <row r="90" ht="15" customHeight="1" spans="1:7" x14ac:dyDescent="0.25">
      <c r="A90" s="6" t="s">
        <v>570</v>
      </c>
      <c r="B90" s="6" t="s">
        <v>61</v>
      </c>
      <c r="C90" s="7">
        <v>0.8</v>
      </c>
      <c r="D90" s="7">
        <v>0</v>
      </c>
      <c r="E90" s="7">
        <v>32.2</v>
      </c>
      <c r="F90" s="6" t="s">
        <v>1117</v>
      </c>
      <c r="G90" s="6" t="s">
        <v>1178</v>
      </c>
    </row>
    <row r="91" ht="15" customHeight="1" spans="1:7" x14ac:dyDescent="0.25">
      <c r="A91" s="6" t="s">
        <v>582</v>
      </c>
      <c r="B91" s="6" t="s">
        <v>61</v>
      </c>
      <c r="C91" s="7">
        <v>15.2</v>
      </c>
      <c r="D91" s="7">
        <v>0</v>
      </c>
      <c r="E91" s="7">
        <v>32.2</v>
      </c>
      <c r="F91" s="6" t="s">
        <v>1117</v>
      </c>
      <c r="G91" s="6" t="s">
        <v>1179</v>
      </c>
    </row>
    <row r="92" ht="15" customHeight="1" spans="1:7" x14ac:dyDescent="0.25">
      <c r="A92" s="6" t="s">
        <v>571</v>
      </c>
      <c r="B92" s="6" t="s">
        <v>61</v>
      </c>
      <c r="C92" s="7">
        <v>-0.6</v>
      </c>
      <c r="D92" s="7">
        <v>0</v>
      </c>
      <c r="E92" s="7">
        <v>32.2</v>
      </c>
      <c r="F92" s="6" t="s">
        <v>1117</v>
      </c>
      <c r="G92" s="6" t="s">
        <v>1180</v>
      </c>
    </row>
    <row r="93" ht="15" customHeight="1" spans="1:7" x14ac:dyDescent="0.25">
      <c r="A93" s="6" t="s">
        <v>583</v>
      </c>
      <c r="B93" s="6" t="s">
        <v>61</v>
      </c>
      <c r="C93" s="7">
        <v>16.6</v>
      </c>
      <c r="D93" s="7">
        <v>0</v>
      </c>
      <c r="E93" s="7">
        <v>32.2</v>
      </c>
      <c r="F93" s="6" t="s">
        <v>1117</v>
      </c>
      <c r="G93" s="6" t="s">
        <v>1181</v>
      </c>
    </row>
    <row r="94" ht="15" customHeight="1" spans="1:7" x14ac:dyDescent="0.25">
      <c r="A94" s="6" t="s">
        <v>594</v>
      </c>
      <c r="B94" s="6" t="s">
        <v>61</v>
      </c>
      <c r="C94" s="7">
        <v>0.8</v>
      </c>
      <c r="D94" s="7">
        <v>0</v>
      </c>
      <c r="E94" s="7">
        <v>34.6</v>
      </c>
      <c r="F94" s="6" t="s">
        <v>1117</v>
      </c>
      <c r="G94" s="6" t="s">
        <v>1182</v>
      </c>
    </row>
    <row r="95" ht="15" customHeight="1" spans="1:7" x14ac:dyDescent="0.25">
      <c r="A95" s="6" t="s">
        <v>606</v>
      </c>
      <c r="B95" s="6" t="s">
        <v>61</v>
      </c>
      <c r="C95" s="7">
        <v>15.2</v>
      </c>
      <c r="D95" s="7">
        <v>0</v>
      </c>
      <c r="E95" s="7">
        <v>34.6</v>
      </c>
      <c r="F95" s="6" t="s">
        <v>1117</v>
      </c>
      <c r="G95" s="6" t="s">
        <v>1183</v>
      </c>
    </row>
    <row r="96" ht="15" customHeight="1" spans="1:7" x14ac:dyDescent="0.25">
      <c r="A96" s="6" t="s">
        <v>595</v>
      </c>
      <c r="B96" s="6" t="s">
        <v>61</v>
      </c>
      <c r="C96" s="7">
        <v>-0.6</v>
      </c>
      <c r="D96" s="7">
        <v>0</v>
      </c>
      <c r="E96" s="7">
        <v>34.6</v>
      </c>
      <c r="F96" s="6" t="s">
        <v>1117</v>
      </c>
      <c r="G96" s="6" t="s">
        <v>1184</v>
      </c>
    </row>
    <row r="97" ht="15" customHeight="1" spans="1:7" x14ac:dyDescent="0.25">
      <c r="A97" s="6" t="s">
        <v>607</v>
      </c>
      <c r="B97" s="6" t="s">
        <v>61</v>
      </c>
      <c r="C97" s="7">
        <v>16.6</v>
      </c>
      <c r="D97" s="7">
        <v>0</v>
      </c>
      <c r="E97" s="7">
        <v>34.6</v>
      </c>
      <c r="F97" s="6" t="s">
        <v>1117</v>
      </c>
      <c r="G97" s="6" t="s">
        <v>1185</v>
      </c>
    </row>
    <row r="98" ht="15" customHeight="1" spans="1:7" x14ac:dyDescent="0.25">
      <c r="A98" s="6" t="s">
        <v>618</v>
      </c>
      <c r="B98" s="6" t="s">
        <v>61</v>
      </c>
      <c r="C98" s="7">
        <v>0.8</v>
      </c>
      <c r="D98" s="7">
        <v>0</v>
      </c>
      <c r="E98" s="7">
        <v>37</v>
      </c>
      <c r="F98" s="6" t="s">
        <v>1117</v>
      </c>
      <c r="G98" s="6" t="s">
        <v>1186</v>
      </c>
    </row>
    <row r="99" ht="15" customHeight="1" spans="1:7" x14ac:dyDescent="0.25">
      <c r="A99" s="6" t="s">
        <v>630</v>
      </c>
      <c r="B99" s="6" t="s">
        <v>61</v>
      </c>
      <c r="C99" s="7">
        <v>15.2</v>
      </c>
      <c r="D99" s="7">
        <v>0</v>
      </c>
      <c r="E99" s="7">
        <v>37</v>
      </c>
      <c r="F99" s="6" t="s">
        <v>1117</v>
      </c>
      <c r="G99" s="6" t="s">
        <v>1187</v>
      </c>
    </row>
    <row r="100" ht="15" customHeight="1" spans="1:7" x14ac:dyDescent="0.25">
      <c r="A100" s="6" t="s">
        <v>619</v>
      </c>
      <c r="B100" s="6" t="s">
        <v>61</v>
      </c>
      <c r="C100" s="7">
        <v>-0.6</v>
      </c>
      <c r="D100" s="7">
        <v>0</v>
      </c>
      <c r="E100" s="7">
        <v>37</v>
      </c>
      <c r="F100" s="6" t="s">
        <v>1117</v>
      </c>
      <c r="G100" s="6" t="s">
        <v>1188</v>
      </c>
    </row>
    <row r="101" ht="15" customHeight="1" spans="1:7" x14ac:dyDescent="0.25">
      <c r="A101" s="6" t="s">
        <v>631</v>
      </c>
      <c r="B101" s="6" t="s">
        <v>61</v>
      </c>
      <c r="C101" s="7">
        <v>16.6</v>
      </c>
      <c r="D101" s="7">
        <v>0</v>
      </c>
      <c r="E101" s="7">
        <v>37</v>
      </c>
      <c r="F101" s="6" t="s">
        <v>1117</v>
      </c>
      <c r="G101" s="6" t="s">
        <v>1189</v>
      </c>
    </row>
    <row r="102" ht="15" customHeight="1" spans="1:7" x14ac:dyDescent="0.25">
      <c r="A102" s="6" t="s">
        <v>642</v>
      </c>
      <c r="B102" s="6" t="s">
        <v>61</v>
      </c>
      <c r="C102" s="7">
        <v>20.8</v>
      </c>
      <c r="D102" s="7">
        <v>0</v>
      </c>
      <c r="E102" s="7">
        <v>25</v>
      </c>
      <c r="F102" s="6" t="s">
        <v>1117</v>
      </c>
      <c r="G102" s="6" t="s">
        <v>1190</v>
      </c>
    </row>
    <row r="103" ht="15" customHeight="1" spans="1:7" x14ac:dyDescent="0.25">
      <c r="A103" s="6" t="s">
        <v>654</v>
      </c>
      <c r="B103" s="6" t="s">
        <v>61</v>
      </c>
      <c r="C103" s="7">
        <v>35.2</v>
      </c>
      <c r="D103" s="7">
        <v>0</v>
      </c>
      <c r="E103" s="7">
        <v>25</v>
      </c>
      <c r="F103" s="6" t="s">
        <v>1117</v>
      </c>
      <c r="G103" s="6" t="s">
        <v>1191</v>
      </c>
    </row>
    <row r="104" ht="15" customHeight="1" spans="1:7" x14ac:dyDescent="0.25">
      <c r="A104" s="6" t="s">
        <v>643</v>
      </c>
      <c r="B104" s="6" t="s">
        <v>61</v>
      </c>
      <c r="C104" s="7">
        <v>19.4</v>
      </c>
      <c r="D104" s="7">
        <v>0</v>
      </c>
      <c r="E104" s="7">
        <v>25</v>
      </c>
      <c r="F104" s="6" t="s">
        <v>1117</v>
      </c>
      <c r="G104" s="6" t="s">
        <v>1192</v>
      </c>
    </row>
    <row r="105" ht="15" customHeight="1" spans="1:7" x14ac:dyDescent="0.25">
      <c r="A105" s="6" t="s">
        <v>655</v>
      </c>
      <c r="B105" s="6" t="s">
        <v>61</v>
      </c>
      <c r="C105" s="7">
        <v>36.6</v>
      </c>
      <c r="D105" s="7">
        <v>0</v>
      </c>
      <c r="E105" s="7">
        <v>25</v>
      </c>
      <c r="F105" s="6" t="s">
        <v>1117</v>
      </c>
      <c r="G105" s="6" t="s">
        <v>1193</v>
      </c>
    </row>
    <row r="106" ht="15" customHeight="1" spans="1:7" x14ac:dyDescent="0.25">
      <c r="A106" s="6" t="s">
        <v>666</v>
      </c>
      <c r="B106" s="6" t="s">
        <v>61</v>
      </c>
      <c r="C106" s="7">
        <v>20.8</v>
      </c>
      <c r="D106" s="7">
        <v>0</v>
      </c>
      <c r="E106" s="7">
        <v>27.4</v>
      </c>
      <c r="F106" s="6" t="s">
        <v>1117</v>
      </c>
      <c r="G106" s="6" t="s">
        <v>1194</v>
      </c>
    </row>
    <row r="107" ht="15" customHeight="1" spans="1:7" x14ac:dyDescent="0.25">
      <c r="A107" s="6" t="s">
        <v>678</v>
      </c>
      <c r="B107" s="6" t="s">
        <v>61</v>
      </c>
      <c r="C107" s="7">
        <v>35.2</v>
      </c>
      <c r="D107" s="7">
        <v>0</v>
      </c>
      <c r="E107" s="7">
        <v>27.4</v>
      </c>
      <c r="F107" s="6" t="s">
        <v>1117</v>
      </c>
      <c r="G107" s="6" t="s">
        <v>1195</v>
      </c>
    </row>
    <row r="108" ht="15" customHeight="1" spans="1:7" x14ac:dyDescent="0.25">
      <c r="A108" s="6" t="s">
        <v>667</v>
      </c>
      <c r="B108" s="6" t="s">
        <v>61</v>
      </c>
      <c r="C108" s="7">
        <v>19.4</v>
      </c>
      <c r="D108" s="7">
        <v>0</v>
      </c>
      <c r="E108" s="7">
        <v>27.4</v>
      </c>
      <c r="F108" s="6" t="s">
        <v>1117</v>
      </c>
      <c r="G108" s="6" t="s">
        <v>1196</v>
      </c>
    </row>
    <row r="109" ht="15" customHeight="1" spans="1:7" x14ac:dyDescent="0.25">
      <c r="A109" s="6" t="s">
        <v>679</v>
      </c>
      <c r="B109" s="6" t="s">
        <v>61</v>
      </c>
      <c r="C109" s="7">
        <v>36.6</v>
      </c>
      <c r="D109" s="7">
        <v>0</v>
      </c>
      <c r="E109" s="7">
        <v>27.4</v>
      </c>
      <c r="F109" s="6" t="s">
        <v>1117</v>
      </c>
      <c r="G109" s="6" t="s">
        <v>1197</v>
      </c>
    </row>
    <row r="110" ht="15" customHeight="1" spans="1:7" x14ac:dyDescent="0.25">
      <c r="A110" s="6" t="s">
        <v>690</v>
      </c>
      <c r="B110" s="6" t="s">
        <v>61</v>
      </c>
      <c r="C110" s="7">
        <v>20.8</v>
      </c>
      <c r="D110" s="7">
        <v>0</v>
      </c>
      <c r="E110" s="7">
        <v>29.8</v>
      </c>
      <c r="F110" s="6" t="s">
        <v>1117</v>
      </c>
      <c r="G110" s="6" t="s">
        <v>1198</v>
      </c>
    </row>
    <row r="111" ht="15" customHeight="1" spans="1:7" x14ac:dyDescent="0.25">
      <c r="A111" s="6" t="s">
        <v>702</v>
      </c>
      <c r="B111" s="6" t="s">
        <v>61</v>
      </c>
      <c r="C111" s="7">
        <v>35.2</v>
      </c>
      <c r="D111" s="7">
        <v>0</v>
      </c>
      <c r="E111" s="7">
        <v>29.8</v>
      </c>
      <c r="F111" s="6" t="s">
        <v>1117</v>
      </c>
      <c r="G111" s="6" t="s">
        <v>1199</v>
      </c>
    </row>
    <row r="112" ht="15" customHeight="1" spans="1:7" x14ac:dyDescent="0.25">
      <c r="A112" s="6" t="s">
        <v>691</v>
      </c>
      <c r="B112" s="6" t="s">
        <v>61</v>
      </c>
      <c r="C112" s="7">
        <v>19.4</v>
      </c>
      <c r="D112" s="7">
        <v>0</v>
      </c>
      <c r="E112" s="7">
        <v>29.8</v>
      </c>
      <c r="F112" s="6" t="s">
        <v>1117</v>
      </c>
      <c r="G112" s="6" t="s">
        <v>1200</v>
      </c>
    </row>
    <row r="113" ht="15" customHeight="1" spans="1:7" x14ac:dyDescent="0.25">
      <c r="A113" s="6" t="s">
        <v>703</v>
      </c>
      <c r="B113" s="6" t="s">
        <v>61</v>
      </c>
      <c r="C113" s="7">
        <v>36.6</v>
      </c>
      <c r="D113" s="7">
        <v>0</v>
      </c>
      <c r="E113" s="7">
        <v>29.8</v>
      </c>
      <c r="F113" s="6" t="s">
        <v>1117</v>
      </c>
      <c r="G113" s="6" t="s">
        <v>1201</v>
      </c>
    </row>
    <row r="114" ht="15" customHeight="1" spans="1:7" x14ac:dyDescent="0.25">
      <c r="A114" s="6" t="s">
        <v>714</v>
      </c>
      <c r="B114" s="6" t="s">
        <v>61</v>
      </c>
      <c r="C114" s="7">
        <v>20.8</v>
      </c>
      <c r="D114" s="7">
        <v>0</v>
      </c>
      <c r="E114" s="7">
        <v>32.2</v>
      </c>
      <c r="F114" s="6" t="s">
        <v>1117</v>
      </c>
      <c r="G114" s="6" t="s">
        <v>1202</v>
      </c>
    </row>
    <row r="115" ht="15" customHeight="1" spans="1:7" x14ac:dyDescent="0.25">
      <c r="A115" s="6" t="s">
        <v>726</v>
      </c>
      <c r="B115" s="6" t="s">
        <v>61</v>
      </c>
      <c r="C115" s="7">
        <v>35.2</v>
      </c>
      <c r="D115" s="7">
        <v>0</v>
      </c>
      <c r="E115" s="7">
        <v>32.2</v>
      </c>
      <c r="F115" s="6" t="s">
        <v>1117</v>
      </c>
      <c r="G115" s="6" t="s">
        <v>1203</v>
      </c>
    </row>
    <row r="116" ht="15" customHeight="1" spans="1:7" x14ac:dyDescent="0.25">
      <c r="A116" s="6" t="s">
        <v>715</v>
      </c>
      <c r="B116" s="6" t="s">
        <v>61</v>
      </c>
      <c r="C116" s="7">
        <v>19.4</v>
      </c>
      <c r="D116" s="7">
        <v>0</v>
      </c>
      <c r="E116" s="7">
        <v>32.2</v>
      </c>
      <c r="F116" s="6" t="s">
        <v>1117</v>
      </c>
      <c r="G116" s="6" t="s">
        <v>1204</v>
      </c>
    </row>
    <row r="117" ht="15" customHeight="1" spans="1:7" x14ac:dyDescent="0.25">
      <c r="A117" s="6" t="s">
        <v>727</v>
      </c>
      <c r="B117" s="6" t="s">
        <v>61</v>
      </c>
      <c r="C117" s="7">
        <v>36.6</v>
      </c>
      <c r="D117" s="7">
        <v>0</v>
      </c>
      <c r="E117" s="7">
        <v>32.2</v>
      </c>
      <c r="F117" s="6" t="s">
        <v>1117</v>
      </c>
      <c r="G117" s="6" t="s">
        <v>1205</v>
      </c>
    </row>
    <row r="118" ht="15" customHeight="1" spans="1:7" x14ac:dyDescent="0.25">
      <c r="A118" s="6" t="s">
        <v>738</v>
      </c>
      <c r="B118" s="6" t="s">
        <v>61</v>
      </c>
      <c r="C118" s="7">
        <v>20.8</v>
      </c>
      <c r="D118" s="7">
        <v>0</v>
      </c>
      <c r="E118" s="7">
        <v>34.6</v>
      </c>
      <c r="F118" s="6" t="s">
        <v>1117</v>
      </c>
      <c r="G118" s="6" t="s">
        <v>1206</v>
      </c>
    </row>
    <row r="119" ht="15" customHeight="1" spans="1:7" x14ac:dyDescent="0.25">
      <c r="A119" s="6" t="s">
        <v>750</v>
      </c>
      <c r="B119" s="6" t="s">
        <v>61</v>
      </c>
      <c r="C119" s="7">
        <v>35.2</v>
      </c>
      <c r="D119" s="7">
        <v>0</v>
      </c>
      <c r="E119" s="7">
        <v>34.6</v>
      </c>
      <c r="F119" s="6" t="s">
        <v>1117</v>
      </c>
      <c r="G119" s="6" t="s">
        <v>1207</v>
      </c>
    </row>
    <row r="120" ht="15" customHeight="1" spans="1:7" x14ac:dyDescent="0.25">
      <c r="A120" s="6" t="s">
        <v>739</v>
      </c>
      <c r="B120" s="6" t="s">
        <v>61</v>
      </c>
      <c r="C120" s="7">
        <v>19.4</v>
      </c>
      <c r="D120" s="7">
        <v>0</v>
      </c>
      <c r="E120" s="7">
        <v>34.6</v>
      </c>
      <c r="F120" s="6" t="s">
        <v>1117</v>
      </c>
      <c r="G120" s="6" t="s">
        <v>1208</v>
      </c>
    </row>
    <row r="121" ht="15" customHeight="1" spans="1:7" x14ac:dyDescent="0.25">
      <c r="A121" s="6" t="s">
        <v>751</v>
      </c>
      <c r="B121" s="6" t="s">
        <v>61</v>
      </c>
      <c r="C121" s="7">
        <v>36.6</v>
      </c>
      <c r="D121" s="7">
        <v>0</v>
      </c>
      <c r="E121" s="7">
        <v>34.6</v>
      </c>
      <c r="F121" s="6" t="s">
        <v>1117</v>
      </c>
      <c r="G121" s="6" t="s">
        <v>1209</v>
      </c>
    </row>
    <row r="122" ht="15" customHeight="1" spans="1:7" x14ac:dyDescent="0.25">
      <c r="A122" s="6" t="s">
        <v>762</v>
      </c>
      <c r="B122" s="6" t="s">
        <v>61</v>
      </c>
      <c r="C122" s="7">
        <v>20.8</v>
      </c>
      <c r="D122" s="7">
        <v>0</v>
      </c>
      <c r="E122" s="7">
        <v>37</v>
      </c>
      <c r="F122" s="6" t="s">
        <v>1117</v>
      </c>
      <c r="G122" s="6" t="s">
        <v>1210</v>
      </c>
    </row>
    <row r="123" ht="15" customHeight="1" spans="1:7" x14ac:dyDescent="0.25">
      <c r="A123" s="6" t="s">
        <v>774</v>
      </c>
      <c r="B123" s="6" t="s">
        <v>61</v>
      </c>
      <c r="C123" s="7">
        <v>35.2</v>
      </c>
      <c r="D123" s="7">
        <v>0</v>
      </c>
      <c r="E123" s="7">
        <v>37</v>
      </c>
      <c r="F123" s="6" t="s">
        <v>1117</v>
      </c>
      <c r="G123" s="6" t="s">
        <v>1211</v>
      </c>
    </row>
    <row r="124" ht="15" customHeight="1" spans="1:7" x14ac:dyDescent="0.25">
      <c r="A124" s="6" t="s">
        <v>763</v>
      </c>
      <c r="B124" s="6" t="s">
        <v>61</v>
      </c>
      <c r="C124" s="7">
        <v>19.4</v>
      </c>
      <c r="D124" s="7">
        <v>0</v>
      </c>
      <c r="E124" s="7">
        <v>37</v>
      </c>
      <c r="F124" s="6" t="s">
        <v>1117</v>
      </c>
      <c r="G124" s="6" t="s">
        <v>1212</v>
      </c>
    </row>
    <row r="125" ht="15" customHeight="1" spans="1:7" x14ac:dyDescent="0.25">
      <c r="A125" s="6" t="s">
        <v>775</v>
      </c>
      <c r="B125" s="6" t="s">
        <v>61</v>
      </c>
      <c r="C125" s="7">
        <v>36.6</v>
      </c>
      <c r="D125" s="7">
        <v>0</v>
      </c>
      <c r="E125" s="7">
        <v>37</v>
      </c>
      <c r="F125" s="6" t="s">
        <v>1117</v>
      </c>
      <c r="G125" s="6" t="s">
        <v>1213</v>
      </c>
    </row>
    <row r="126" ht="15" customHeight="1" spans="1:7" x14ac:dyDescent="0.25">
      <c r="A126" s="6" t="s">
        <v>1062</v>
      </c>
      <c r="B126" s="6" t="s">
        <v>61</v>
      </c>
      <c r="C126" s="7">
        <v>8</v>
      </c>
      <c r="D126" s="7">
        <v>1</v>
      </c>
      <c r="E126" s="7">
        <v>3</v>
      </c>
      <c r="F126" s="6" t="s">
        <v>1214</v>
      </c>
      <c r="G126" s="6" t="s">
        <v>1215</v>
      </c>
    </row>
    <row r="127" ht="15" customHeight="1" spans="1:7" x14ac:dyDescent="0.25">
      <c r="A127" s="6" t="s">
        <v>1066</v>
      </c>
      <c r="B127" s="6" t="s">
        <v>61</v>
      </c>
      <c r="C127" s="7">
        <v>8</v>
      </c>
      <c r="D127" s="7">
        <v>1</v>
      </c>
      <c r="E127" s="7">
        <v>5.4</v>
      </c>
      <c r="F127" s="6" t="s">
        <v>1214</v>
      </c>
      <c r="G127" s="6" t="s">
        <v>1216</v>
      </c>
    </row>
    <row r="128" ht="15" customHeight="1" spans="1:7" x14ac:dyDescent="0.25">
      <c r="A128" s="6" t="s">
        <v>1068</v>
      </c>
      <c r="B128" s="6" t="s">
        <v>61</v>
      </c>
      <c r="C128" s="7">
        <v>8</v>
      </c>
      <c r="D128" s="7">
        <v>1</v>
      </c>
      <c r="E128" s="7">
        <v>7.8</v>
      </c>
      <c r="F128" s="6" t="s">
        <v>1214</v>
      </c>
      <c r="G128" s="6" t="s">
        <v>1217</v>
      </c>
    </row>
    <row r="129" ht="15" customHeight="1" spans="1:7" x14ac:dyDescent="0.25">
      <c r="A129" s="6" t="s">
        <v>1070</v>
      </c>
      <c r="B129" s="6" t="s">
        <v>61</v>
      </c>
      <c r="C129" s="7">
        <v>8</v>
      </c>
      <c r="D129" s="7">
        <v>1</v>
      </c>
      <c r="E129" s="7">
        <v>10.2</v>
      </c>
      <c r="F129" s="6" t="s">
        <v>1214</v>
      </c>
      <c r="G129" s="6" t="s">
        <v>1218</v>
      </c>
    </row>
    <row r="130" ht="15" customHeight="1" spans="1:7" x14ac:dyDescent="0.25">
      <c r="A130" s="6" t="s">
        <v>1072</v>
      </c>
      <c r="B130" s="6" t="s">
        <v>61</v>
      </c>
      <c r="C130" s="7">
        <v>8</v>
      </c>
      <c r="D130" s="7">
        <v>1</v>
      </c>
      <c r="E130" s="7">
        <v>12.6</v>
      </c>
      <c r="F130" s="6" t="s">
        <v>1214</v>
      </c>
      <c r="G130" s="6" t="s">
        <v>1219</v>
      </c>
    </row>
    <row r="131" ht="15" customHeight="1" spans="1:7" x14ac:dyDescent="0.25">
      <c r="A131" s="6" t="s">
        <v>1074</v>
      </c>
      <c r="B131" s="6" t="s">
        <v>61</v>
      </c>
      <c r="C131" s="7">
        <v>8</v>
      </c>
      <c r="D131" s="7">
        <v>1</v>
      </c>
      <c r="E131" s="7">
        <v>15</v>
      </c>
      <c r="F131" s="6" t="s">
        <v>1214</v>
      </c>
      <c r="G131" s="6" t="s">
        <v>1220</v>
      </c>
    </row>
    <row r="132" ht="15" customHeight="1" spans="1:7" x14ac:dyDescent="0.25">
      <c r="A132" s="6" t="s">
        <v>1076</v>
      </c>
      <c r="B132" s="6" t="s">
        <v>61</v>
      </c>
      <c r="C132" s="7">
        <v>28</v>
      </c>
      <c r="D132" s="7">
        <v>1</v>
      </c>
      <c r="E132" s="7">
        <v>3</v>
      </c>
      <c r="F132" s="6" t="s">
        <v>1214</v>
      </c>
      <c r="G132" s="6" t="s">
        <v>1221</v>
      </c>
    </row>
    <row r="133" ht="15" customHeight="1" spans="1:7" x14ac:dyDescent="0.25">
      <c r="A133" s="6" t="s">
        <v>1078</v>
      </c>
      <c r="B133" s="6" t="s">
        <v>61</v>
      </c>
      <c r="C133" s="7">
        <v>28</v>
      </c>
      <c r="D133" s="7">
        <v>1</v>
      </c>
      <c r="E133" s="7">
        <v>5.4</v>
      </c>
      <c r="F133" s="6" t="s">
        <v>1214</v>
      </c>
      <c r="G133" s="6" t="s">
        <v>1222</v>
      </c>
    </row>
    <row r="134" ht="15" customHeight="1" spans="1:7" x14ac:dyDescent="0.25">
      <c r="A134" s="6" t="s">
        <v>1080</v>
      </c>
      <c r="B134" s="6" t="s">
        <v>61</v>
      </c>
      <c r="C134" s="7">
        <v>28</v>
      </c>
      <c r="D134" s="7">
        <v>1</v>
      </c>
      <c r="E134" s="7">
        <v>7.8</v>
      </c>
      <c r="F134" s="6" t="s">
        <v>1214</v>
      </c>
      <c r="G134" s="6" t="s">
        <v>1223</v>
      </c>
    </row>
    <row r="135" ht="15" customHeight="1" spans="1:7" x14ac:dyDescent="0.25">
      <c r="A135" s="6" t="s">
        <v>1082</v>
      </c>
      <c r="B135" s="6" t="s">
        <v>61</v>
      </c>
      <c r="C135" s="7">
        <v>28</v>
      </c>
      <c r="D135" s="7">
        <v>1</v>
      </c>
      <c r="E135" s="7">
        <v>10.2</v>
      </c>
      <c r="F135" s="6" t="s">
        <v>1214</v>
      </c>
      <c r="G135" s="6" t="s">
        <v>1224</v>
      </c>
    </row>
    <row r="136" ht="15" customHeight="1" spans="1:7" x14ac:dyDescent="0.25">
      <c r="A136" s="6" t="s">
        <v>1084</v>
      </c>
      <c r="B136" s="6" t="s">
        <v>61</v>
      </c>
      <c r="C136" s="7">
        <v>28</v>
      </c>
      <c r="D136" s="7">
        <v>1</v>
      </c>
      <c r="E136" s="7">
        <v>12.6</v>
      </c>
      <c r="F136" s="6" t="s">
        <v>1214</v>
      </c>
      <c r="G136" s="6" t="s">
        <v>1225</v>
      </c>
    </row>
    <row r="137" ht="15" customHeight="1" spans="1:7" x14ac:dyDescent="0.25">
      <c r="A137" s="6" t="s">
        <v>1086</v>
      </c>
      <c r="B137" s="6" t="s">
        <v>61</v>
      </c>
      <c r="C137" s="7">
        <v>28</v>
      </c>
      <c r="D137" s="7">
        <v>1</v>
      </c>
      <c r="E137" s="7">
        <v>15</v>
      </c>
      <c r="F137" s="6" t="s">
        <v>1214</v>
      </c>
      <c r="G137" s="6" t="s">
        <v>1226</v>
      </c>
    </row>
    <row r="138" ht="15" customHeight="1" spans="1:7" x14ac:dyDescent="0.25">
      <c r="A138" s="6" t="s">
        <v>1088</v>
      </c>
      <c r="B138" s="6" t="s">
        <v>61</v>
      </c>
      <c r="C138" s="7">
        <v>8</v>
      </c>
      <c r="D138" s="7">
        <v>1</v>
      </c>
      <c r="E138" s="7">
        <v>25</v>
      </c>
      <c r="F138" s="6" t="s">
        <v>1214</v>
      </c>
      <c r="G138" s="6" t="s">
        <v>1227</v>
      </c>
    </row>
    <row r="139" ht="15" customHeight="1" spans="1:7" x14ac:dyDescent="0.25">
      <c r="A139" s="6" t="s">
        <v>1090</v>
      </c>
      <c r="B139" s="6" t="s">
        <v>61</v>
      </c>
      <c r="C139" s="7">
        <v>8</v>
      </c>
      <c r="D139" s="7">
        <v>1</v>
      </c>
      <c r="E139" s="7">
        <v>27.4</v>
      </c>
      <c r="F139" s="6" t="s">
        <v>1214</v>
      </c>
      <c r="G139" s="6" t="s">
        <v>1228</v>
      </c>
    </row>
    <row r="140" ht="15" customHeight="1" spans="1:7" x14ac:dyDescent="0.25">
      <c r="A140" s="6" t="s">
        <v>1092</v>
      </c>
      <c r="B140" s="6" t="s">
        <v>61</v>
      </c>
      <c r="C140" s="7">
        <v>8</v>
      </c>
      <c r="D140" s="7">
        <v>1</v>
      </c>
      <c r="E140" s="7">
        <v>29.8</v>
      </c>
      <c r="F140" s="6" t="s">
        <v>1214</v>
      </c>
      <c r="G140" s="6" t="s">
        <v>1229</v>
      </c>
    </row>
    <row r="141" ht="15" customHeight="1" spans="1:7" x14ac:dyDescent="0.25">
      <c r="A141" s="6" t="s">
        <v>1094</v>
      </c>
      <c r="B141" s="6" t="s">
        <v>61</v>
      </c>
      <c r="C141" s="7">
        <v>8</v>
      </c>
      <c r="D141" s="7">
        <v>1</v>
      </c>
      <c r="E141" s="7">
        <v>32.2</v>
      </c>
      <c r="F141" s="6" t="s">
        <v>1214</v>
      </c>
      <c r="G141" s="6" t="s">
        <v>1230</v>
      </c>
    </row>
    <row r="142" ht="15" customHeight="1" spans="1:7" x14ac:dyDescent="0.25">
      <c r="A142" s="6" t="s">
        <v>1096</v>
      </c>
      <c r="B142" s="6" t="s">
        <v>61</v>
      </c>
      <c r="C142" s="7">
        <v>8</v>
      </c>
      <c r="D142" s="7">
        <v>1</v>
      </c>
      <c r="E142" s="7">
        <v>34.6</v>
      </c>
      <c r="F142" s="6" t="s">
        <v>1214</v>
      </c>
      <c r="G142" s="6" t="s">
        <v>1231</v>
      </c>
    </row>
    <row r="143" ht="15" customHeight="1" spans="1:7" x14ac:dyDescent="0.25">
      <c r="A143" s="6" t="s">
        <v>1098</v>
      </c>
      <c r="B143" s="6" t="s">
        <v>61</v>
      </c>
      <c r="C143" s="7">
        <v>8</v>
      </c>
      <c r="D143" s="7">
        <v>1</v>
      </c>
      <c r="E143" s="7">
        <v>37</v>
      </c>
      <c r="F143" s="6" t="s">
        <v>1214</v>
      </c>
      <c r="G143" s="6" t="s">
        <v>1232</v>
      </c>
    </row>
    <row r="144" ht="15" customHeight="1" spans="1:7" x14ac:dyDescent="0.25">
      <c r="A144" s="6" t="s">
        <v>1100</v>
      </c>
      <c r="B144" s="6" t="s">
        <v>61</v>
      </c>
      <c r="C144" s="7">
        <v>28</v>
      </c>
      <c r="D144" s="7">
        <v>1</v>
      </c>
      <c r="E144" s="7">
        <v>25</v>
      </c>
      <c r="F144" s="6" t="s">
        <v>1214</v>
      </c>
      <c r="G144" s="6" t="s">
        <v>1233</v>
      </c>
    </row>
    <row r="145" ht="15" customHeight="1" spans="1:7" x14ac:dyDescent="0.25">
      <c r="A145" s="6" t="s">
        <v>1102</v>
      </c>
      <c r="B145" s="6" t="s">
        <v>61</v>
      </c>
      <c r="C145" s="7">
        <v>28</v>
      </c>
      <c r="D145" s="7">
        <v>1</v>
      </c>
      <c r="E145" s="7">
        <v>27.4</v>
      </c>
      <c r="F145" s="6" t="s">
        <v>1214</v>
      </c>
      <c r="G145" s="6" t="s">
        <v>1234</v>
      </c>
    </row>
    <row r="146" ht="15" customHeight="1" spans="1:7" x14ac:dyDescent="0.25">
      <c r="A146" s="6" t="s">
        <v>1104</v>
      </c>
      <c r="B146" s="6" t="s">
        <v>61</v>
      </c>
      <c r="C146" s="7">
        <v>28</v>
      </c>
      <c r="D146" s="7">
        <v>1</v>
      </c>
      <c r="E146" s="7">
        <v>29.8</v>
      </c>
      <c r="F146" s="6" t="s">
        <v>1214</v>
      </c>
      <c r="G146" s="6" t="s">
        <v>1235</v>
      </c>
    </row>
    <row r="147" ht="15" customHeight="1" spans="1:7" x14ac:dyDescent="0.25">
      <c r="A147" s="6" t="s">
        <v>1106</v>
      </c>
      <c r="B147" s="6" t="s">
        <v>61</v>
      </c>
      <c r="C147" s="7">
        <v>28</v>
      </c>
      <c r="D147" s="7">
        <v>1</v>
      </c>
      <c r="E147" s="7">
        <v>32.2</v>
      </c>
      <c r="F147" s="6" t="s">
        <v>1214</v>
      </c>
      <c r="G147" s="6" t="s">
        <v>1236</v>
      </c>
    </row>
    <row r="148" ht="15" customHeight="1" spans="1:7" x14ac:dyDescent="0.25">
      <c r="A148" s="6" t="s">
        <v>1108</v>
      </c>
      <c r="B148" s="6" t="s">
        <v>61</v>
      </c>
      <c r="C148" s="7">
        <v>28</v>
      </c>
      <c r="D148" s="7">
        <v>1</v>
      </c>
      <c r="E148" s="7">
        <v>34.6</v>
      </c>
      <c r="F148" s="6" t="s">
        <v>1214</v>
      </c>
      <c r="G148" s="6" t="s">
        <v>1237</v>
      </c>
    </row>
    <row r="149" ht="15" customHeight="1" spans="1:7" x14ac:dyDescent="0.25">
      <c r="A149" s="6" t="s">
        <v>1110</v>
      </c>
      <c r="B149" s="6" t="s">
        <v>61</v>
      </c>
      <c r="C149" s="7">
        <v>28</v>
      </c>
      <c r="D149" s="7">
        <v>1</v>
      </c>
      <c r="E149" s="7">
        <v>37</v>
      </c>
      <c r="F149" s="6" t="s">
        <v>1214</v>
      </c>
      <c r="G149" s="6" t="s">
        <v>1238</v>
      </c>
    </row>
    <row r="151" ht="15" customHeight="1" spans="1:1" x14ac:dyDescent="0.25">
      <c r="A151" s="9" t="s">
        <v>1239</v>
      </c>
    </row>
    <row r="152" ht="15" customHeight="1" spans="1:1" x14ac:dyDescent="0.25">
      <c r="A152" s="9" t="s">
        <v>1240</v>
      </c>
    </row>
    <row r="153" ht="15" customHeight="1" spans="1:1" x14ac:dyDescent="0.25">
      <c r="A153" s="9" t="s">
        <v>1241</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5"/>
  <sheetViews>
    <sheetView workbookViewId="0" zoomScale="100" zoomScaleNormal="100" view="normal">
      <pane ySplit="1" topLeftCell="A2" activePane="bottomLeft" state="frozen"/>
      <selection pane="bottomLeft" activeCell="A1" sqref="A1"/>
    </sheetView>
  </sheetViews>
  <sheetFormatPr defaultRowHeight="15" outlineLevelRow="0" outlineLevelCol="0" x14ac:dyDescent="0" defaultColWidth="8.6796875"/>
  <cols>
    <col min="1" max="2" width="22" customWidth="1"/>
    <col min="3" max="3" width="12" customWidth="1"/>
  </cols>
  <sheetData>
    <row r="1" ht="30" customHeight="1" spans="1:3" x14ac:dyDescent="0.25">
      <c r="A1" s="5" t="s">
        <v>1242</v>
      </c>
      <c r="B1" s="5" t="s">
        <v>1243</v>
      </c>
      <c r="C1" s="5" t="s">
        <v>791</v>
      </c>
    </row>
    <row r="2" ht="15" customHeight="1" spans="1:3" x14ac:dyDescent="0.25">
      <c r="A2" s="6" t="s">
        <v>801</v>
      </c>
      <c r="B2" s="6" t="s">
        <v>811</v>
      </c>
      <c r="C2" s="6" t="s">
        <v>804</v>
      </c>
    </row>
    <row r="3" ht="15" customHeight="1" spans="1:3" x14ac:dyDescent="0.25">
      <c r="A3" s="6" t="s">
        <v>807</v>
      </c>
      <c r="B3" s="6" t="s">
        <v>815</v>
      </c>
      <c r="C3" s="6" t="s">
        <v>804</v>
      </c>
    </row>
    <row r="4" ht="15" customHeight="1" spans="1:3" x14ac:dyDescent="0.25">
      <c r="A4" s="6" t="s">
        <v>811</v>
      </c>
      <c r="B4" s="6" t="s">
        <v>825</v>
      </c>
      <c r="C4" s="6" t="s">
        <v>804</v>
      </c>
    </row>
    <row r="5" ht="15" customHeight="1" spans="1:3" x14ac:dyDescent="0.25">
      <c r="A5" s="6" t="s">
        <v>815</v>
      </c>
      <c r="B5" s="6" t="s">
        <v>828</v>
      </c>
      <c r="C5" s="6" t="s">
        <v>804</v>
      </c>
    </row>
    <row r="6" ht="15" customHeight="1" spans="1:3" x14ac:dyDescent="0.25">
      <c r="A6" s="6" t="s">
        <v>817</v>
      </c>
      <c r="B6" s="6" t="s">
        <v>825</v>
      </c>
      <c r="C6" s="6" t="s">
        <v>804</v>
      </c>
    </row>
    <row r="7" ht="15" customHeight="1" spans="1:3" x14ac:dyDescent="0.25">
      <c r="A7" s="6" t="s">
        <v>821</v>
      </c>
      <c r="B7" s="6" t="s">
        <v>828</v>
      </c>
      <c r="C7" s="6" t="s">
        <v>804</v>
      </c>
    </row>
    <row r="8" ht="15" customHeight="1" spans="1:3" x14ac:dyDescent="0.25">
      <c r="A8" s="6" t="s">
        <v>825</v>
      </c>
      <c r="B8" s="6" t="s">
        <v>830</v>
      </c>
      <c r="C8" s="6" t="s">
        <v>804</v>
      </c>
    </row>
    <row r="9" ht="15" customHeight="1" spans="1:3" x14ac:dyDescent="0.25">
      <c r="A9" s="6" t="s">
        <v>828</v>
      </c>
      <c r="B9" s="6" t="s">
        <v>833</v>
      </c>
      <c r="C9" s="6" t="s">
        <v>804</v>
      </c>
    </row>
    <row r="10" ht="15" customHeight="1" spans="1:3" x14ac:dyDescent="0.25">
      <c r="A10" s="6" t="s">
        <v>825</v>
      </c>
      <c r="B10" s="6" t="s">
        <v>836</v>
      </c>
      <c r="C10" s="6" t="s">
        <v>804</v>
      </c>
    </row>
    <row r="11" ht="15" customHeight="1" spans="1:3" x14ac:dyDescent="0.25">
      <c r="A11" s="6" t="s">
        <v>828</v>
      </c>
      <c r="B11" s="6" t="s">
        <v>838</v>
      </c>
      <c r="C11" s="6" t="s">
        <v>804</v>
      </c>
    </row>
    <row r="12" ht="15" customHeight="1" spans="1:3" x14ac:dyDescent="0.25">
      <c r="A12" s="6" t="s">
        <v>825</v>
      </c>
      <c r="B12" s="6" t="s">
        <v>841</v>
      </c>
      <c r="C12" s="6" t="s">
        <v>804</v>
      </c>
    </row>
    <row r="13" ht="15" customHeight="1" spans="1:3" x14ac:dyDescent="0.25">
      <c r="A13" s="6" t="s">
        <v>828</v>
      </c>
      <c r="B13" s="6" t="s">
        <v>843</v>
      </c>
      <c r="C13" s="6" t="s">
        <v>804</v>
      </c>
    </row>
    <row r="14" ht="15" customHeight="1" spans="1:3" x14ac:dyDescent="0.25">
      <c r="A14" s="6" t="s">
        <v>830</v>
      </c>
      <c r="B14" s="6" t="s">
        <v>846</v>
      </c>
      <c r="C14" s="6" t="s">
        <v>804</v>
      </c>
    </row>
    <row r="15" ht="15" customHeight="1" spans="1:3" x14ac:dyDescent="0.25">
      <c r="A15" s="6" t="s">
        <v>833</v>
      </c>
      <c r="B15" s="6" t="s">
        <v>846</v>
      </c>
      <c r="C15" s="6" t="s">
        <v>804</v>
      </c>
    </row>
    <row r="16" ht="15" customHeight="1" spans="1:3" x14ac:dyDescent="0.25">
      <c r="A16" s="6" t="s">
        <v>846</v>
      </c>
      <c r="B16" s="6" t="s">
        <v>850</v>
      </c>
      <c r="C16" s="6" t="s">
        <v>804</v>
      </c>
    </row>
    <row r="17" ht="15" customHeight="1" spans="1:3" x14ac:dyDescent="0.25">
      <c r="A17" s="6" t="s">
        <v>850</v>
      </c>
      <c r="B17" s="6" t="s">
        <v>203</v>
      </c>
      <c r="C17" s="6" t="s">
        <v>804</v>
      </c>
    </row>
    <row r="18" ht="15" customHeight="1" spans="1:3" x14ac:dyDescent="0.25">
      <c r="A18" s="6" t="s">
        <v>850</v>
      </c>
      <c r="B18" s="6" t="s">
        <v>215</v>
      </c>
      <c r="C18" s="6" t="s">
        <v>804</v>
      </c>
    </row>
    <row r="19" ht="15" customHeight="1" spans="1:3" x14ac:dyDescent="0.25">
      <c r="A19" s="6" t="s">
        <v>850</v>
      </c>
      <c r="B19" s="6" t="s">
        <v>228</v>
      </c>
      <c r="C19" s="6" t="s">
        <v>804</v>
      </c>
    </row>
    <row r="20" ht="15" customHeight="1" spans="1:3" x14ac:dyDescent="0.25">
      <c r="A20" s="6" t="s">
        <v>850</v>
      </c>
      <c r="B20" s="6" t="s">
        <v>240</v>
      </c>
      <c r="C20" s="6" t="s">
        <v>804</v>
      </c>
    </row>
    <row r="21" ht="15" customHeight="1" spans="1:3" x14ac:dyDescent="0.25">
      <c r="A21" s="6" t="s">
        <v>850</v>
      </c>
      <c r="B21" s="6" t="s">
        <v>253</v>
      </c>
      <c r="C21" s="6" t="s">
        <v>804</v>
      </c>
    </row>
    <row r="22" ht="15" customHeight="1" spans="1:3" x14ac:dyDescent="0.25">
      <c r="A22" s="6" t="s">
        <v>850</v>
      </c>
      <c r="B22" s="6" t="s">
        <v>265</v>
      </c>
      <c r="C22" s="6" t="s">
        <v>804</v>
      </c>
    </row>
    <row r="23" ht="15" customHeight="1" spans="1:3" x14ac:dyDescent="0.25">
      <c r="A23" s="6" t="s">
        <v>850</v>
      </c>
      <c r="B23" s="6" t="s">
        <v>279</v>
      </c>
      <c r="C23" s="6" t="s">
        <v>804</v>
      </c>
    </row>
    <row r="24" ht="15" customHeight="1" spans="1:3" x14ac:dyDescent="0.25">
      <c r="A24" s="6" t="s">
        <v>850</v>
      </c>
      <c r="B24" s="6" t="s">
        <v>291</v>
      </c>
      <c r="C24" s="6" t="s">
        <v>804</v>
      </c>
    </row>
    <row r="25" ht="15" customHeight="1" spans="1:3" x14ac:dyDescent="0.25">
      <c r="A25" s="6" t="s">
        <v>850</v>
      </c>
      <c r="B25" s="6" t="s">
        <v>304</v>
      </c>
      <c r="C25" s="6" t="s">
        <v>804</v>
      </c>
    </row>
    <row r="26" ht="15" customHeight="1" spans="1:3" x14ac:dyDescent="0.25">
      <c r="A26" s="6" t="s">
        <v>850</v>
      </c>
      <c r="B26" s="6" t="s">
        <v>316</v>
      </c>
      <c r="C26" s="6" t="s">
        <v>804</v>
      </c>
    </row>
    <row r="27" ht="15" customHeight="1" spans="1:3" x14ac:dyDescent="0.25">
      <c r="A27" s="6" t="s">
        <v>850</v>
      </c>
      <c r="B27" s="6" t="s">
        <v>329</v>
      </c>
      <c r="C27" s="6" t="s">
        <v>804</v>
      </c>
    </row>
    <row r="28" ht="15" customHeight="1" spans="1:3" x14ac:dyDescent="0.25">
      <c r="A28" s="6" t="s">
        <v>850</v>
      </c>
      <c r="B28" s="6" t="s">
        <v>341</v>
      </c>
      <c r="C28" s="6" t="s">
        <v>804</v>
      </c>
    </row>
    <row r="29" ht="15" customHeight="1" spans="1:3" x14ac:dyDescent="0.25">
      <c r="A29" s="6" t="s">
        <v>830</v>
      </c>
      <c r="B29" s="6" t="s">
        <v>879</v>
      </c>
      <c r="C29" s="6" t="s">
        <v>804</v>
      </c>
    </row>
    <row r="30" ht="15" customHeight="1" spans="1:3" x14ac:dyDescent="0.25">
      <c r="A30" s="6" t="s">
        <v>833</v>
      </c>
      <c r="B30" s="6" t="s">
        <v>879</v>
      </c>
      <c r="C30" s="6" t="s">
        <v>804</v>
      </c>
    </row>
    <row r="31" ht="15" customHeight="1" spans="1:3" x14ac:dyDescent="0.25">
      <c r="A31" s="6" t="s">
        <v>879</v>
      </c>
      <c r="B31" s="6" t="s">
        <v>882</v>
      </c>
      <c r="C31" s="6" t="s">
        <v>804</v>
      </c>
    </row>
    <row r="32" ht="15" customHeight="1" spans="1:3" x14ac:dyDescent="0.25">
      <c r="A32" s="6" t="s">
        <v>882</v>
      </c>
      <c r="B32" s="6" t="s">
        <v>353</v>
      </c>
      <c r="C32" s="6" t="s">
        <v>804</v>
      </c>
    </row>
    <row r="33" ht="15" customHeight="1" spans="1:3" x14ac:dyDescent="0.25">
      <c r="A33" s="6" t="s">
        <v>882</v>
      </c>
      <c r="B33" s="6" t="s">
        <v>365</v>
      </c>
      <c r="C33" s="6" t="s">
        <v>804</v>
      </c>
    </row>
    <row r="34" ht="15" customHeight="1" spans="1:3" x14ac:dyDescent="0.25">
      <c r="A34" s="6" t="s">
        <v>882</v>
      </c>
      <c r="B34" s="6" t="s">
        <v>377</v>
      </c>
      <c r="C34" s="6" t="s">
        <v>804</v>
      </c>
    </row>
    <row r="35" ht="15" customHeight="1" spans="1:3" x14ac:dyDescent="0.25">
      <c r="A35" s="6" t="s">
        <v>882</v>
      </c>
      <c r="B35" s="6" t="s">
        <v>389</v>
      </c>
      <c r="C35" s="6" t="s">
        <v>804</v>
      </c>
    </row>
    <row r="36" ht="15" customHeight="1" spans="1:3" x14ac:dyDescent="0.25">
      <c r="A36" s="6" t="s">
        <v>882</v>
      </c>
      <c r="B36" s="6" t="s">
        <v>401</v>
      </c>
      <c r="C36" s="6" t="s">
        <v>804</v>
      </c>
    </row>
    <row r="37" ht="15" customHeight="1" spans="1:3" x14ac:dyDescent="0.25">
      <c r="A37" s="6" t="s">
        <v>882</v>
      </c>
      <c r="B37" s="6" t="s">
        <v>413</v>
      </c>
      <c r="C37" s="6" t="s">
        <v>804</v>
      </c>
    </row>
    <row r="38" ht="15" customHeight="1" spans="1:3" x14ac:dyDescent="0.25">
      <c r="A38" s="6" t="s">
        <v>882</v>
      </c>
      <c r="B38" s="6" t="s">
        <v>425</v>
      </c>
      <c r="C38" s="6" t="s">
        <v>804</v>
      </c>
    </row>
    <row r="39" ht="15" customHeight="1" spans="1:3" x14ac:dyDescent="0.25">
      <c r="A39" s="6" t="s">
        <v>882</v>
      </c>
      <c r="B39" s="6" t="s">
        <v>437</v>
      </c>
      <c r="C39" s="6" t="s">
        <v>804</v>
      </c>
    </row>
    <row r="40" ht="15" customHeight="1" spans="1:3" x14ac:dyDescent="0.25">
      <c r="A40" s="6" t="s">
        <v>882</v>
      </c>
      <c r="B40" s="6" t="s">
        <v>450</v>
      </c>
      <c r="C40" s="6" t="s">
        <v>804</v>
      </c>
    </row>
    <row r="41" ht="15" customHeight="1" spans="1:3" x14ac:dyDescent="0.25">
      <c r="A41" s="6" t="s">
        <v>882</v>
      </c>
      <c r="B41" s="6" t="s">
        <v>462</v>
      </c>
      <c r="C41" s="6" t="s">
        <v>804</v>
      </c>
    </row>
    <row r="42" ht="15" customHeight="1" spans="1:3" x14ac:dyDescent="0.25">
      <c r="A42" s="6" t="s">
        <v>882</v>
      </c>
      <c r="B42" s="6" t="s">
        <v>474</v>
      </c>
      <c r="C42" s="6" t="s">
        <v>804</v>
      </c>
    </row>
    <row r="43" ht="15" customHeight="1" spans="1:3" x14ac:dyDescent="0.25">
      <c r="A43" s="6" t="s">
        <v>882</v>
      </c>
      <c r="B43" s="6" t="s">
        <v>486</v>
      </c>
      <c r="C43" s="6" t="s">
        <v>804</v>
      </c>
    </row>
    <row r="44" ht="15" customHeight="1" spans="1:3" x14ac:dyDescent="0.25">
      <c r="A44" s="6" t="s">
        <v>836</v>
      </c>
      <c r="B44" s="6" t="s">
        <v>909</v>
      </c>
      <c r="C44" s="6" t="s">
        <v>804</v>
      </c>
    </row>
    <row r="45" ht="15" customHeight="1" spans="1:3" x14ac:dyDescent="0.25">
      <c r="A45" s="6" t="s">
        <v>838</v>
      </c>
      <c r="B45" s="6" t="s">
        <v>909</v>
      </c>
      <c r="C45" s="6" t="s">
        <v>804</v>
      </c>
    </row>
    <row r="46" ht="15" customHeight="1" spans="1:3" x14ac:dyDescent="0.25">
      <c r="A46" s="6" t="s">
        <v>909</v>
      </c>
      <c r="B46" s="6" t="s">
        <v>912</v>
      </c>
      <c r="C46" s="6" t="s">
        <v>804</v>
      </c>
    </row>
    <row r="47" ht="15" customHeight="1" spans="1:3" x14ac:dyDescent="0.25">
      <c r="A47" s="6" t="s">
        <v>912</v>
      </c>
      <c r="B47" s="6" t="s">
        <v>498</v>
      </c>
      <c r="C47" s="6" t="s">
        <v>804</v>
      </c>
    </row>
    <row r="48" ht="15" customHeight="1" spans="1:3" x14ac:dyDescent="0.25">
      <c r="A48" s="6" t="s">
        <v>912</v>
      </c>
      <c r="B48" s="6" t="s">
        <v>510</v>
      </c>
      <c r="C48" s="6" t="s">
        <v>804</v>
      </c>
    </row>
    <row r="49" ht="15" customHeight="1" spans="1:3" x14ac:dyDescent="0.25">
      <c r="A49" s="6" t="s">
        <v>912</v>
      </c>
      <c r="B49" s="6" t="s">
        <v>522</v>
      </c>
      <c r="C49" s="6" t="s">
        <v>804</v>
      </c>
    </row>
    <row r="50" ht="15" customHeight="1" spans="1:3" x14ac:dyDescent="0.25">
      <c r="A50" s="6" t="s">
        <v>912</v>
      </c>
      <c r="B50" s="6" t="s">
        <v>534</v>
      </c>
      <c r="C50" s="6" t="s">
        <v>804</v>
      </c>
    </row>
    <row r="51" ht="15" customHeight="1" spans="1:3" x14ac:dyDescent="0.25">
      <c r="A51" s="6" t="s">
        <v>912</v>
      </c>
      <c r="B51" s="6" t="s">
        <v>546</v>
      </c>
      <c r="C51" s="6" t="s">
        <v>804</v>
      </c>
    </row>
    <row r="52" ht="15" customHeight="1" spans="1:3" x14ac:dyDescent="0.25">
      <c r="A52" s="6" t="s">
        <v>912</v>
      </c>
      <c r="B52" s="6" t="s">
        <v>558</v>
      </c>
      <c r="C52" s="6" t="s">
        <v>804</v>
      </c>
    </row>
    <row r="53" ht="15" customHeight="1" spans="1:3" x14ac:dyDescent="0.25">
      <c r="A53" s="6" t="s">
        <v>912</v>
      </c>
      <c r="B53" s="6" t="s">
        <v>570</v>
      </c>
      <c r="C53" s="6" t="s">
        <v>804</v>
      </c>
    </row>
    <row r="54" ht="15" customHeight="1" spans="1:3" x14ac:dyDescent="0.25">
      <c r="A54" s="6" t="s">
        <v>912</v>
      </c>
      <c r="B54" s="6" t="s">
        <v>582</v>
      </c>
      <c r="C54" s="6" t="s">
        <v>804</v>
      </c>
    </row>
    <row r="55" ht="15" customHeight="1" spans="1:3" x14ac:dyDescent="0.25">
      <c r="A55" s="6" t="s">
        <v>912</v>
      </c>
      <c r="B55" s="6" t="s">
        <v>594</v>
      </c>
      <c r="C55" s="6" t="s">
        <v>804</v>
      </c>
    </row>
    <row r="56" ht="15" customHeight="1" spans="1:3" x14ac:dyDescent="0.25">
      <c r="A56" s="6" t="s">
        <v>912</v>
      </c>
      <c r="B56" s="6" t="s">
        <v>606</v>
      </c>
      <c r="C56" s="6" t="s">
        <v>804</v>
      </c>
    </row>
    <row r="57" ht="15" customHeight="1" spans="1:3" x14ac:dyDescent="0.25">
      <c r="A57" s="6" t="s">
        <v>912</v>
      </c>
      <c r="B57" s="6" t="s">
        <v>618</v>
      </c>
      <c r="C57" s="6" t="s">
        <v>804</v>
      </c>
    </row>
    <row r="58" ht="15" customHeight="1" spans="1:3" x14ac:dyDescent="0.25">
      <c r="A58" s="6" t="s">
        <v>912</v>
      </c>
      <c r="B58" s="6" t="s">
        <v>630</v>
      </c>
      <c r="C58" s="6" t="s">
        <v>804</v>
      </c>
    </row>
    <row r="59" ht="15" customHeight="1" spans="1:3" x14ac:dyDescent="0.25">
      <c r="A59" s="6" t="s">
        <v>841</v>
      </c>
      <c r="B59" s="6" t="s">
        <v>939</v>
      </c>
      <c r="C59" s="6" t="s">
        <v>804</v>
      </c>
    </row>
    <row r="60" ht="15" customHeight="1" spans="1:3" x14ac:dyDescent="0.25">
      <c r="A60" s="6" t="s">
        <v>843</v>
      </c>
      <c r="B60" s="6" t="s">
        <v>939</v>
      </c>
      <c r="C60" s="6" t="s">
        <v>804</v>
      </c>
    </row>
    <row r="61" ht="15" customHeight="1" spans="1:3" x14ac:dyDescent="0.25">
      <c r="A61" s="6" t="s">
        <v>939</v>
      </c>
      <c r="B61" s="6" t="s">
        <v>942</v>
      </c>
      <c r="C61" s="6" t="s">
        <v>804</v>
      </c>
    </row>
    <row r="62" ht="15" customHeight="1" spans="1:3" x14ac:dyDescent="0.25">
      <c r="A62" s="6" t="s">
        <v>942</v>
      </c>
      <c r="B62" s="6" t="s">
        <v>642</v>
      </c>
      <c r="C62" s="6" t="s">
        <v>804</v>
      </c>
    </row>
    <row r="63" ht="15" customHeight="1" spans="1:3" x14ac:dyDescent="0.25">
      <c r="A63" s="6" t="s">
        <v>942</v>
      </c>
      <c r="B63" s="6" t="s">
        <v>654</v>
      </c>
      <c r="C63" s="6" t="s">
        <v>804</v>
      </c>
    </row>
    <row r="64" ht="15" customHeight="1" spans="1:3" x14ac:dyDescent="0.25">
      <c r="A64" s="6" t="s">
        <v>942</v>
      </c>
      <c r="B64" s="6" t="s">
        <v>666</v>
      </c>
      <c r="C64" s="6" t="s">
        <v>804</v>
      </c>
    </row>
    <row r="65" ht="15" customHeight="1" spans="1:3" x14ac:dyDescent="0.25">
      <c r="A65" s="6" t="s">
        <v>942</v>
      </c>
      <c r="B65" s="6" t="s">
        <v>678</v>
      </c>
      <c r="C65" s="6" t="s">
        <v>804</v>
      </c>
    </row>
    <row r="66" ht="15" customHeight="1" spans="1:3" x14ac:dyDescent="0.25">
      <c r="A66" s="6" t="s">
        <v>942</v>
      </c>
      <c r="B66" s="6" t="s">
        <v>690</v>
      </c>
      <c r="C66" s="6" t="s">
        <v>804</v>
      </c>
    </row>
    <row r="67" ht="15" customHeight="1" spans="1:3" x14ac:dyDescent="0.25">
      <c r="A67" s="6" t="s">
        <v>942</v>
      </c>
      <c r="B67" s="6" t="s">
        <v>702</v>
      </c>
      <c r="C67" s="6" t="s">
        <v>804</v>
      </c>
    </row>
    <row r="68" ht="15" customHeight="1" spans="1:3" x14ac:dyDescent="0.25">
      <c r="A68" s="6" t="s">
        <v>942</v>
      </c>
      <c r="B68" s="6" t="s">
        <v>714</v>
      </c>
      <c r="C68" s="6" t="s">
        <v>804</v>
      </c>
    </row>
    <row r="69" ht="15" customHeight="1" spans="1:3" x14ac:dyDescent="0.25">
      <c r="A69" s="6" t="s">
        <v>942</v>
      </c>
      <c r="B69" s="6" t="s">
        <v>726</v>
      </c>
      <c r="C69" s="6" t="s">
        <v>804</v>
      </c>
    </row>
    <row r="70" ht="15" customHeight="1" spans="1:3" x14ac:dyDescent="0.25">
      <c r="A70" s="6" t="s">
        <v>942</v>
      </c>
      <c r="B70" s="6" t="s">
        <v>738</v>
      </c>
      <c r="C70" s="6" t="s">
        <v>804</v>
      </c>
    </row>
    <row r="71" ht="15" customHeight="1" spans="1:3" x14ac:dyDescent="0.25">
      <c r="A71" s="6" t="s">
        <v>942</v>
      </c>
      <c r="B71" s="6" t="s">
        <v>750</v>
      </c>
      <c r="C71" s="6" t="s">
        <v>804</v>
      </c>
    </row>
    <row r="72" ht="15" customHeight="1" spans="1:3" x14ac:dyDescent="0.25">
      <c r="A72" s="6" t="s">
        <v>942</v>
      </c>
      <c r="B72" s="6" t="s">
        <v>762</v>
      </c>
      <c r="C72" s="6" t="s">
        <v>804</v>
      </c>
    </row>
    <row r="73" ht="15" customHeight="1" spans="1:3" x14ac:dyDescent="0.25">
      <c r="A73" s="6" t="s">
        <v>942</v>
      </c>
      <c r="B73" s="6" t="s">
        <v>774</v>
      </c>
      <c r="C73" s="6" t="s">
        <v>804</v>
      </c>
    </row>
    <row r="74" ht="15" customHeight="1" spans="1:3" x14ac:dyDescent="0.25">
      <c r="A74" s="6" t="s">
        <v>969</v>
      </c>
      <c r="B74" s="6" t="s">
        <v>976</v>
      </c>
      <c r="C74" s="6" t="s">
        <v>972</v>
      </c>
    </row>
    <row r="75" ht="15" customHeight="1" spans="1:3" x14ac:dyDescent="0.25">
      <c r="A75" s="6" t="s">
        <v>974</v>
      </c>
      <c r="B75" s="6" t="s">
        <v>979</v>
      </c>
      <c r="C75" s="6" t="s">
        <v>972</v>
      </c>
    </row>
    <row r="76" ht="15" customHeight="1" spans="1:3" x14ac:dyDescent="0.25">
      <c r="A76" s="6" t="s">
        <v>976</v>
      </c>
      <c r="B76" s="6" t="s">
        <v>981</v>
      </c>
      <c r="C76" s="6" t="s">
        <v>972</v>
      </c>
    </row>
    <row r="77" ht="15" customHeight="1" spans="1:3" x14ac:dyDescent="0.25">
      <c r="A77" s="6" t="s">
        <v>979</v>
      </c>
      <c r="B77" s="6" t="s">
        <v>986</v>
      </c>
      <c r="C77" s="6" t="s">
        <v>972</v>
      </c>
    </row>
    <row r="78" ht="15" customHeight="1" spans="1:3" x14ac:dyDescent="0.25">
      <c r="A78" s="6" t="s">
        <v>981</v>
      </c>
      <c r="B78" s="6" t="s">
        <v>204</v>
      </c>
      <c r="C78" s="6" t="s">
        <v>972</v>
      </c>
    </row>
    <row r="79" ht="15" customHeight="1" spans="1:3" x14ac:dyDescent="0.25">
      <c r="A79" s="6" t="s">
        <v>981</v>
      </c>
      <c r="B79" s="6" t="s">
        <v>216</v>
      </c>
      <c r="C79" s="6" t="s">
        <v>972</v>
      </c>
    </row>
    <row r="80" ht="15" customHeight="1" spans="1:3" x14ac:dyDescent="0.25">
      <c r="A80" s="6" t="s">
        <v>981</v>
      </c>
      <c r="B80" s="6" t="s">
        <v>229</v>
      </c>
      <c r="C80" s="6" t="s">
        <v>972</v>
      </c>
    </row>
    <row r="81" ht="15" customHeight="1" spans="1:3" x14ac:dyDescent="0.25">
      <c r="A81" s="6" t="s">
        <v>981</v>
      </c>
      <c r="B81" s="6" t="s">
        <v>241</v>
      </c>
      <c r="C81" s="6" t="s">
        <v>972</v>
      </c>
    </row>
    <row r="82" ht="15" customHeight="1" spans="1:3" x14ac:dyDescent="0.25">
      <c r="A82" s="6" t="s">
        <v>981</v>
      </c>
      <c r="B82" s="6" t="s">
        <v>254</v>
      </c>
      <c r="C82" s="6" t="s">
        <v>972</v>
      </c>
    </row>
    <row r="83" ht="15" customHeight="1" spans="1:3" x14ac:dyDescent="0.25">
      <c r="A83" s="6" t="s">
        <v>981</v>
      </c>
      <c r="B83" s="6" t="s">
        <v>266</v>
      </c>
      <c r="C83" s="6" t="s">
        <v>972</v>
      </c>
    </row>
    <row r="84" ht="15" customHeight="1" spans="1:3" x14ac:dyDescent="0.25">
      <c r="A84" s="6" t="s">
        <v>981</v>
      </c>
      <c r="B84" s="6" t="s">
        <v>280</v>
      </c>
      <c r="C84" s="6" t="s">
        <v>972</v>
      </c>
    </row>
    <row r="85" ht="15" customHeight="1" spans="1:3" x14ac:dyDescent="0.25">
      <c r="A85" s="6" t="s">
        <v>981</v>
      </c>
      <c r="B85" s="6" t="s">
        <v>292</v>
      </c>
      <c r="C85" s="6" t="s">
        <v>972</v>
      </c>
    </row>
    <row r="86" ht="15" customHeight="1" spans="1:3" x14ac:dyDescent="0.25">
      <c r="A86" s="6" t="s">
        <v>981</v>
      </c>
      <c r="B86" s="6" t="s">
        <v>305</v>
      </c>
      <c r="C86" s="6" t="s">
        <v>972</v>
      </c>
    </row>
    <row r="87" ht="15" customHeight="1" spans="1:3" x14ac:dyDescent="0.25">
      <c r="A87" s="6" t="s">
        <v>981</v>
      </c>
      <c r="B87" s="6" t="s">
        <v>317</v>
      </c>
      <c r="C87" s="6" t="s">
        <v>972</v>
      </c>
    </row>
    <row r="88" ht="15" customHeight="1" spans="1:3" x14ac:dyDescent="0.25">
      <c r="A88" s="6" t="s">
        <v>981</v>
      </c>
      <c r="B88" s="6" t="s">
        <v>330</v>
      </c>
      <c r="C88" s="6" t="s">
        <v>972</v>
      </c>
    </row>
    <row r="89" ht="15" customHeight="1" spans="1:3" x14ac:dyDescent="0.25">
      <c r="A89" s="6" t="s">
        <v>981</v>
      </c>
      <c r="B89" s="6" t="s">
        <v>342</v>
      </c>
      <c r="C89" s="6" t="s">
        <v>972</v>
      </c>
    </row>
    <row r="90" ht="15" customHeight="1" spans="1:3" x14ac:dyDescent="0.25">
      <c r="A90" s="6" t="s">
        <v>981</v>
      </c>
      <c r="B90" s="6" t="s">
        <v>354</v>
      </c>
      <c r="C90" s="6" t="s">
        <v>972</v>
      </c>
    </row>
    <row r="91" ht="15" customHeight="1" spans="1:3" x14ac:dyDescent="0.25">
      <c r="A91" s="6" t="s">
        <v>981</v>
      </c>
      <c r="B91" s="6" t="s">
        <v>366</v>
      </c>
      <c r="C91" s="6" t="s">
        <v>972</v>
      </c>
    </row>
    <row r="92" ht="15" customHeight="1" spans="1:3" x14ac:dyDescent="0.25">
      <c r="A92" s="6" t="s">
        <v>981</v>
      </c>
      <c r="B92" s="6" t="s">
        <v>378</v>
      </c>
      <c r="C92" s="6" t="s">
        <v>972</v>
      </c>
    </row>
    <row r="93" ht="15" customHeight="1" spans="1:3" x14ac:dyDescent="0.25">
      <c r="A93" s="6" t="s">
        <v>981</v>
      </c>
      <c r="B93" s="6" t="s">
        <v>390</v>
      </c>
      <c r="C93" s="6" t="s">
        <v>972</v>
      </c>
    </row>
    <row r="94" ht="15" customHeight="1" spans="1:3" x14ac:dyDescent="0.25">
      <c r="A94" s="6" t="s">
        <v>981</v>
      </c>
      <c r="B94" s="6" t="s">
        <v>402</v>
      </c>
      <c r="C94" s="6" t="s">
        <v>972</v>
      </c>
    </row>
    <row r="95" ht="15" customHeight="1" spans="1:3" x14ac:dyDescent="0.25">
      <c r="A95" s="6" t="s">
        <v>981</v>
      </c>
      <c r="B95" s="6" t="s">
        <v>414</v>
      </c>
      <c r="C95" s="6" t="s">
        <v>972</v>
      </c>
    </row>
    <row r="96" ht="15" customHeight="1" spans="1:3" x14ac:dyDescent="0.25">
      <c r="A96" s="6" t="s">
        <v>981</v>
      </c>
      <c r="B96" s="6" t="s">
        <v>426</v>
      </c>
      <c r="C96" s="6" t="s">
        <v>972</v>
      </c>
    </row>
    <row r="97" ht="15" customHeight="1" spans="1:3" x14ac:dyDescent="0.25">
      <c r="A97" s="6" t="s">
        <v>981</v>
      </c>
      <c r="B97" s="6" t="s">
        <v>438</v>
      </c>
      <c r="C97" s="6" t="s">
        <v>972</v>
      </c>
    </row>
    <row r="98" ht="15" customHeight="1" spans="1:3" x14ac:dyDescent="0.25">
      <c r="A98" s="6" t="s">
        <v>981</v>
      </c>
      <c r="B98" s="6" t="s">
        <v>451</v>
      </c>
      <c r="C98" s="6" t="s">
        <v>972</v>
      </c>
    </row>
    <row r="99" ht="15" customHeight="1" spans="1:3" x14ac:dyDescent="0.25">
      <c r="A99" s="6" t="s">
        <v>981</v>
      </c>
      <c r="B99" s="6" t="s">
        <v>463</v>
      </c>
      <c r="C99" s="6" t="s">
        <v>972</v>
      </c>
    </row>
    <row r="100" ht="15" customHeight="1" spans="1:3" x14ac:dyDescent="0.25">
      <c r="A100" s="6" t="s">
        <v>981</v>
      </c>
      <c r="B100" s="6" t="s">
        <v>475</v>
      </c>
      <c r="C100" s="6" t="s">
        <v>972</v>
      </c>
    </row>
    <row r="101" ht="15" customHeight="1" spans="1:3" x14ac:dyDescent="0.25">
      <c r="A101" s="6" t="s">
        <v>981</v>
      </c>
      <c r="B101" s="6" t="s">
        <v>487</v>
      </c>
      <c r="C101" s="6" t="s">
        <v>972</v>
      </c>
    </row>
    <row r="102" ht="15" customHeight="1" spans="1:3" x14ac:dyDescent="0.25">
      <c r="A102" s="6" t="s">
        <v>986</v>
      </c>
      <c r="B102" s="6" t="s">
        <v>499</v>
      </c>
      <c r="C102" s="6" t="s">
        <v>972</v>
      </c>
    </row>
    <row r="103" ht="15" customHeight="1" spans="1:3" x14ac:dyDescent="0.25">
      <c r="A103" s="6" t="s">
        <v>986</v>
      </c>
      <c r="B103" s="6" t="s">
        <v>511</v>
      </c>
      <c r="C103" s="6" t="s">
        <v>972</v>
      </c>
    </row>
    <row r="104" ht="15" customHeight="1" spans="1:3" x14ac:dyDescent="0.25">
      <c r="A104" s="6" t="s">
        <v>986</v>
      </c>
      <c r="B104" s="6" t="s">
        <v>523</v>
      </c>
      <c r="C104" s="6" t="s">
        <v>972</v>
      </c>
    </row>
    <row r="105" ht="15" customHeight="1" spans="1:3" x14ac:dyDescent="0.25">
      <c r="A105" s="6" t="s">
        <v>986</v>
      </c>
      <c r="B105" s="6" t="s">
        <v>535</v>
      </c>
      <c r="C105" s="6" t="s">
        <v>972</v>
      </c>
    </row>
    <row r="106" ht="15" customHeight="1" spans="1:3" x14ac:dyDescent="0.25">
      <c r="A106" s="6" t="s">
        <v>986</v>
      </c>
      <c r="B106" s="6" t="s">
        <v>547</v>
      </c>
      <c r="C106" s="6" t="s">
        <v>972</v>
      </c>
    </row>
    <row r="107" ht="15" customHeight="1" spans="1:3" x14ac:dyDescent="0.25">
      <c r="A107" s="6" t="s">
        <v>986</v>
      </c>
      <c r="B107" s="6" t="s">
        <v>559</v>
      </c>
      <c r="C107" s="6" t="s">
        <v>972</v>
      </c>
    </row>
    <row r="108" ht="15" customHeight="1" spans="1:3" x14ac:dyDescent="0.25">
      <c r="A108" s="6" t="s">
        <v>986</v>
      </c>
      <c r="B108" s="6" t="s">
        <v>571</v>
      </c>
      <c r="C108" s="6" t="s">
        <v>972</v>
      </c>
    </row>
    <row r="109" ht="15" customHeight="1" spans="1:3" x14ac:dyDescent="0.25">
      <c r="A109" s="6" t="s">
        <v>986</v>
      </c>
      <c r="B109" s="6" t="s">
        <v>583</v>
      </c>
      <c r="C109" s="6" t="s">
        <v>972</v>
      </c>
    </row>
    <row r="110" ht="15" customHeight="1" spans="1:3" x14ac:dyDescent="0.25">
      <c r="A110" s="6" t="s">
        <v>986</v>
      </c>
      <c r="B110" s="6" t="s">
        <v>595</v>
      </c>
      <c r="C110" s="6" t="s">
        <v>972</v>
      </c>
    </row>
    <row r="111" ht="15" customHeight="1" spans="1:3" x14ac:dyDescent="0.25">
      <c r="A111" s="6" t="s">
        <v>986</v>
      </c>
      <c r="B111" s="6" t="s">
        <v>607</v>
      </c>
      <c r="C111" s="6" t="s">
        <v>972</v>
      </c>
    </row>
    <row r="112" ht="15" customHeight="1" spans="1:3" x14ac:dyDescent="0.25">
      <c r="A112" s="6" t="s">
        <v>986</v>
      </c>
      <c r="B112" s="6" t="s">
        <v>619</v>
      </c>
      <c r="C112" s="6" t="s">
        <v>972</v>
      </c>
    </row>
    <row r="113" ht="15" customHeight="1" spans="1:3" x14ac:dyDescent="0.25">
      <c r="A113" s="6" t="s">
        <v>986</v>
      </c>
      <c r="B113" s="6" t="s">
        <v>631</v>
      </c>
      <c r="C113" s="6" t="s">
        <v>972</v>
      </c>
    </row>
    <row r="114" ht="15" customHeight="1" spans="1:3" x14ac:dyDescent="0.25">
      <c r="A114" s="6" t="s">
        <v>986</v>
      </c>
      <c r="B114" s="6" t="s">
        <v>643</v>
      </c>
      <c r="C114" s="6" t="s">
        <v>972</v>
      </c>
    </row>
    <row r="115" ht="15" customHeight="1" spans="1:3" x14ac:dyDescent="0.25">
      <c r="A115" s="6" t="s">
        <v>986</v>
      </c>
      <c r="B115" s="6" t="s">
        <v>655</v>
      </c>
      <c r="C115" s="6" t="s">
        <v>972</v>
      </c>
    </row>
    <row r="116" ht="15" customHeight="1" spans="1:3" x14ac:dyDescent="0.25">
      <c r="A116" s="6" t="s">
        <v>986</v>
      </c>
      <c r="B116" s="6" t="s">
        <v>667</v>
      </c>
      <c r="C116" s="6" t="s">
        <v>972</v>
      </c>
    </row>
    <row r="117" ht="15" customHeight="1" spans="1:3" x14ac:dyDescent="0.25">
      <c r="A117" s="6" t="s">
        <v>986</v>
      </c>
      <c r="B117" s="6" t="s">
        <v>679</v>
      </c>
      <c r="C117" s="6" t="s">
        <v>972</v>
      </c>
    </row>
    <row r="118" ht="15" customHeight="1" spans="1:3" x14ac:dyDescent="0.25">
      <c r="A118" s="6" t="s">
        <v>986</v>
      </c>
      <c r="B118" s="6" t="s">
        <v>691</v>
      </c>
      <c r="C118" s="6" t="s">
        <v>972</v>
      </c>
    </row>
    <row r="119" ht="15" customHeight="1" spans="1:3" x14ac:dyDescent="0.25">
      <c r="A119" s="6" t="s">
        <v>986</v>
      </c>
      <c r="B119" s="6" t="s">
        <v>703</v>
      </c>
      <c r="C119" s="6" t="s">
        <v>972</v>
      </c>
    </row>
    <row r="120" ht="15" customHeight="1" spans="1:3" x14ac:dyDescent="0.25">
      <c r="A120" s="6" t="s">
        <v>986</v>
      </c>
      <c r="B120" s="6" t="s">
        <v>715</v>
      </c>
      <c r="C120" s="6" t="s">
        <v>972</v>
      </c>
    </row>
    <row r="121" ht="15" customHeight="1" spans="1:3" x14ac:dyDescent="0.25">
      <c r="A121" s="6" t="s">
        <v>986</v>
      </c>
      <c r="B121" s="6" t="s">
        <v>727</v>
      </c>
      <c r="C121" s="6" t="s">
        <v>972</v>
      </c>
    </row>
    <row r="122" ht="15" customHeight="1" spans="1:3" x14ac:dyDescent="0.25">
      <c r="A122" s="6" t="s">
        <v>986</v>
      </c>
      <c r="B122" s="6" t="s">
        <v>739</v>
      </c>
      <c r="C122" s="6" t="s">
        <v>972</v>
      </c>
    </row>
    <row r="123" ht="15" customHeight="1" spans="1:3" x14ac:dyDescent="0.25">
      <c r="A123" s="6" t="s">
        <v>986</v>
      </c>
      <c r="B123" s="6" t="s">
        <v>751</v>
      </c>
      <c r="C123" s="6" t="s">
        <v>972</v>
      </c>
    </row>
    <row r="124" ht="15" customHeight="1" spans="1:3" x14ac:dyDescent="0.25">
      <c r="A124" s="6" t="s">
        <v>986</v>
      </c>
      <c r="B124" s="6" t="s">
        <v>763</v>
      </c>
      <c r="C124" s="6" t="s">
        <v>972</v>
      </c>
    </row>
    <row r="125" ht="15" customHeight="1" spans="1:3" x14ac:dyDescent="0.25">
      <c r="A125" s="6" t="s">
        <v>986</v>
      </c>
      <c r="B125" s="6" t="s">
        <v>775</v>
      </c>
      <c r="C125" s="6" t="s">
        <v>972</v>
      </c>
    </row>
    <row r="126" ht="15" customHeight="1" spans="1:3" x14ac:dyDescent="0.25">
      <c r="A126" s="6" t="s">
        <v>203</v>
      </c>
      <c r="B126" s="6" t="s">
        <v>1062</v>
      </c>
      <c r="C126" s="6" t="s">
        <v>804</v>
      </c>
    </row>
    <row r="127" ht="15" customHeight="1" spans="1:3" x14ac:dyDescent="0.25">
      <c r="A127" s="6" t="s">
        <v>215</v>
      </c>
      <c r="B127" s="6" t="s">
        <v>1062</v>
      </c>
      <c r="C127" s="6" t="s">
        <v>804</v>
      </c>
    </row>
    <row r="128" ht="15" customHeight="1" spans="1:3" x14ac:dyDescent="0.25">
      <c r="A128" s="6" t="s">
        <v>1062</v>
      </c>
      <c r="B128" s="6" t="s">
        <v>204</v>
      </c>
      <c r="C128" s="6" t="s">
        <v>972</v>
      </c>
    </row>
    <row r="129" ht="15" customHeight="1" spans="1:3" x14ac:dyDescent="0.25">
      <c r="A129" s="6" t="s">
        <v>1062</v>
      </c>
      <c r="B129" s="6" t="s">
        <v>216</v>
      </c>
      <c r="C129" s="6" t="s">
        <v>972</v>
      </c>
    </row>
    <row r="130" ht="15" customHeight="1" spans="1:3" x14ac:dyDescent="0.25">
      <c r="A130" s="6" t="s">
        <v>228</v>
      </c>
      <c r="B130" s="6" t="s">
        <v>1066</v>
      </c>
      <c r="C130" s="6" t="s">
        <v>804</v>
      </c>
    </row>
    <row r="131" ht="15" customHeight="1" spans="1:3" x14ac:dyDescent="0.25">
      <c r="A131" s="6" t="s">
        <v>240</v>
      </c>
      <c r="B131" s="6" t="s">
        <v>1066</v>
      </c>
      <c r="C131" s="6" t="s">
        <v>804</v>
      </c>
    </row>
    <row r="132" ht="15" customHeight="1" spans="1:3" x14ac:dyDescent="0.25">
      <c r="A132" s="6" t="s">
        <v>1066</v>
      </c>
      <c r="B132" s="6" t="s">
        <v>229</v>
      </c>
      <c r="C132" s="6" t="s">
        <v>972</v>
      </c>
    </row>
    <row r="133" ht="15" customHeight="1" spans="1:3" x14ac:dyDescent="0.25">
      <c r="A133" s="6" t="s">
        <v>1066</v>
      </c>
      <c r="B133" s="6" t="s">
        <v>241</v>
      </c>
      <c r="C133" s="6" t="s">
        <v>972</v>
      </c>
    </row>
    <row r="134" ht="15" customHeight="1" spans="1:3" x14ac:dyDescent="0.25">
      <c r="A134" s="6" t="s">
        <v>253</v>
      </c>
      <c r="B134" s="6" t="s">
        <v>1068</v>
      </c>
      <c r="C134" s="6" t="s">
        <v>804</v>
      </c>
    </row>
    <row r="135" ht="15" customHeight="1" spans="1:3" x14ac:dyDescent="0.25">
      <c r="A135" s="6" t="s">
        <v>265</v>
      </c>
      <c r="B135" s="6" t="s">
        <v>1068</v>
      </c>
      <c r="C135" s="6" t="s">
        <v>804</v>
      </c>
    </row>
    <row r="136" ht="15" customHeight="1" spans="1:3" x14ac:dyDescent="0.25">
      <c r="A136" s="6" t="s">
        <v>1068</v>
      </c>
      <c r="B136" s="6" t="s">
        <v>254</v>
      </c>
      <c r="C136" s="6" t="s">
        <v>972</v>
      </c>
    </row>
    <row r="137" ht="15" customHeight="1" spans="1:3" x14ac:dyDescent="0.25">
      <c r="A137" s="6" t="s">
        <v>1068</v>
      </c>
      <c r="B137" s="6" t="s">
        <v>266</v>
      </c>
      <c r="C137" s="6" t="s">
        <v>972</v>
      </c>
    </row>
    <row r="138" ht="15" customHeight="1" spans="1:3" x14ac:dyDescent="0.25">
      <c r="A138" s="6" t="s">
        <v>279</v>
      </c>
      <c r="B138" s="6" t="s">
        <v>1070</v>
      </c>
      <c r="C138" s="6" t="s">
        <v>804</v>
      </c>
    </row>
    <row r="139" ht="15" customHeight="1" spans="1:3" x14ac:dyDescent="0.25">
      <c r="A139" s="6" t="s">
        <v>291</v>
      </c>
      <c r="B139" s="6" t="s">
        <v>1070</v>
      </c>
      <c r="C139" s="6" t="s">
        <v>804</v>
      </c>
    </row>
    <row r="140" ht="15" customHeight="1" spans="1:3" x14ac:dyDescent="0.25">
      <c r="A140" s="6" t="s">
        <v>1070</v>
      </c>
      <c r="B140" s="6" t="s">
        <v>280</v>
      </c>
      <c r="C140" s="6" t="s">
        <v>972</v>
      </c>
    </row>
    <row r="141" ht="15" customHeight="1" spans="1:3" x14ac:dyDescent="0.25">
      <c r="A141" s="6" t="s">
        <v>1070</v>
      </c>
      <c r="B141" s="6" t="s">
        <v>292</v>
      </c>
      <c r="C141" s="6" t="s">
        <v>972</v>
      </c>
    </row>
    <row r="142" ht="15" customHeight="1" spans="1:3" x14ac:dyDescent="0.25">
      <c r="A142" s="6" t="s">
        <v>304</v>
      </c>
      <c r="B142" s="6" t="s">
        <v>1072</v>
      </c>
      <c r="C142" s="6" t="s">
        <v>804</v>
      </c>
    </row>
    <row r="143" ht="15" customHeight="1" spans="1:3" x14ac:dyDescent="0.25">
      <c r="A143" s="6" t="s">
        <v>316</v>
      </c>
      <c r="B143" s="6" t="s">
        <v>1072</v>
      </c>
      <c r="C143" s="6" t="s">
        <v>804</v>
      </c>
    </row>
    <row r="144" ht="15" customHeight="1" spans="1:3" x14ac:dyDescent="0.25">
      <c r="A144" s="6" t="s">
        <v>1072</v>
      </c>
      <c r="B144" s="6" t="s">
        <v>305</v>
      </c>
      <c r="C144" s="6" t="s">
        <v>972</v>
      </c>
    </row>
    <row r="145" ht="15" customHeight="1" spans="1:3" x14ac:dyDescent="0.25">
      <c r="A145" s="6" t="s">
        <v>1072</v>
      </c>
      <c r="B145" s="6" t="s">
        <v>317</v>
      </c>
      <c r="C145" s="6" t="s">
        <v>972</v>
      </c>
    </row>
    <row r="146" ht="15" customHeight="1" spans="1:3" x14ac:dyDescent="0.25">
      <c r="A146" s="6" t="s">
        <v>329</v>
      </c>
      <c r="B146" s="6" t="s">
        <v>1074</v>
      </c>
      <c r="C146" s="6" t="s">
        <v>804</v>
      </c>
    </row>
    <row r="147" ht="15" customHeight="1" spans="1:3" x14ac:dyDescent="0.25">
      <c r="A147" s="6" t="s">
        <v>341</v>
      </c>
      <c r="B147" s="6" t="s">
        <v>1074</v>
      </c>
      <c r="C147" s="6" t="s">
        <v>804</v>
      </c>
    </row>
    <row r="148" ht="15" customHeight="1" spans="1:3" x14ac:dyDescent="0.25">
      <c r="A148" s="6" t="s">
        <v>1074</v>
      </c>
      <c r="B148" s="6" t="s">
        <v>330</v>
      </c>
      <c r="C148" s="6" t="s">
        <v>972</v>
      </c>
    </row>
    <row r="149" ht="15" customHeight="1" spans="1:3" x14ac:dyDescent="0.25">
      <c r="A149" s="6" t="s">
        <v>1074</v>
      </c>
      <c r="B149" s="6" t="s">
        <v>342</v>
      </c>
      <c r="C149" s="6" t="s">
        <v>972</v>
      </c>
    </row>
    <row r="150" ht="15" customHeight="1" spans="1:3" x14ac:dyDescent="0.25">
      <c r="A150" s="6" t="s">
        <v>353</v>
      </c>
      <c r="B150" s="6" t="s">
        <v>1076</v>
      </c>
      <c r="C150" s="6" t="s">
        <v>804</v>
      </c>
    </row>
    <row r="151" ht="15" customHeight="1" spans="1:3" x14ac:dyDescent="0.25">
      <c r="A151" s="6" t="s">
        <v>365</v>
      </c>
      <c r="B151" s="6" t="s">
        <v>1076</v>
      </c>
      <c r="C151" s="6" t="s">
        <v>804</v>
      </c>
    </row>
    <row r="152" ht="15" customHeight="1" spans="1:3" x14ac:dyDescent="0.25">
      <c r="A152" s="6" t="s">
        <v>1076</v>
      </c>
      <c r="B152" s="6" t="s">
        <v>354</v>
      </c>
      <c r="C152" s="6" t="s">
        <v>972</v>
      </c>
    </row>
    <row r="153" ht="15" customHeight="1" spans="1:3" x14ac:dyDescent="0.25">
      <c r="A153" s="6" t="s">
        <v>1076</v>
      </c>
      <c r="B153" s="6" t="s">
        <v>366</v>
      </c>
      <c r="C153" s="6" t="s">
        <v>972</v>
      </c>
    </row>
    <row r="154" ht="15" customHeight="1" spans="1:3" x14ac:dyDescent="0.25">
      <c r="A154" s="6" t="s">
        <v>377</v>
      </c>
      <c r="B154" s="6" t="s">
        <v>1078</v>
      </c>
      <c r="C154" s="6" t="s">
        <v>804</v>
      </c>
    </row>
    <row r="155" ht="15" customHeight="1" spans="1:3" x14ac:dyDescent="0.25">
      <c r="A155" s="6" t="s">
        <v>389</v>
      </c>
      <c r="B155" s="6" t="s">
        <v>1078</v>
      </c>
      <c r="C155" s="6" t="s">
        <v>804</v>
      </c>
    </row>
    <row r="156" ht="15" customHeight="1" spans="1:3" x14ac:dyDescent="0.25">
      <c r="A156" s="6" t="s">
        <v>1078</v>
      </c>
      <c r="B156" s="6" t="s">
        <v>378</v>
      </c>
      <c r="C156" s="6" t="s">
        <v>972</v>
      </c>
    </row>
    <row r="157" ht="15" customHeight="1" spans="1:3" x14ac:dyDescent="0.25">
      <c r="A157" s="6" t="s">
        <v>1078</v>
      </c>
      <c r="B157" s="6" t="s">
        <v>390</v>
      </c>
      <c r="C157" s="6" t="s">
        <v>972</v>
      </c>
    </row>
    <row r="158" ht="15" customHeight="1" spans="1:3" x14ac:dyDescent="0.25">
      <c r="A158" s="6" t="s">
        <v>401</v>
      </c>
      <c r="B158" s="6" t="s">
        <v>1080</v>
      </c>
      <c r="C158" s="6" t="s">
        <v>804</v>
      </c>
    </row>
    <row r="159" ht="15" customHeight="1" spans="1:3" x14ac:dyDescent="0.25">
      <c r="A159" s="6" t="s">
        <v>413</v>
      </c>
      <c r="B159" s="6" t="s">
        <v>1080</v>
      </c>
      <c r="C159" s="6" t="s">
        <v>804</v>
      </c>
    </row>
    <row r="160" ht="15" customHeight="1" spans="1:3" x14ac:dyDescent="0.25">
      <c r="A160" s="6" t="s">
        <v>1080</v>
      </c>
      <c r="B160" s="6" t="s">
        <v>402</v>
      </c>
      <c r="C160" s="6" t="s">
        <v>972</v>
      </c>
    </row>
    <row r="161" ht="15" customHeight="1" spans="1:3" x14ac:dyDescent="0.25">
      <c r="A161" s="6" t="s">
        <v>1080</v>
      </c>
      <c r="B161" s="6" t="s">
        <v>414</v>
      </c>
      <c r="C161" s="6" t="s">
        <v>972</v>
      </c>
    </row>
    <row r="162" ht="15" customHeight="1" spans="1:3" x14ac:dyDescent="0.25">
      <c r="A162" s="6" t="s">
        <v>425</v>
      </c>
      <c r="B162" s="6" t="s">
        <v>1082</v>
      </c>
      <c r="C162" s="6" t="s">
        <v>804</v>
      </c>
    </row>
    <row r="163" ht="15" customHeight="1" spans="1:3" x14ac:dyDescent="0.25">
      <c r="A163" s="6" t="s">
        <v>437</v>
      </c>
      <c r="B163" s="6" t="s">
        <v>1082</v>
      </c>
      <c r="C163" s="6" t="s">
        <v>804</v>
      </c>
    </row>
    <row r="164" ht="15" customHeight="1" spans="1:3" x14ac:dyDescent="0.25">
      <c r="A164" s="6" t="s">
        <v>1082</v>
      </c>
      <c r="B164" s="6" t="s">
        <v>426</v>
      </c>
      <c r="C164" s="6" t="s">
        <v>972</v>
      </c>
    </row>
    <row r="165" ht="15" customHeight="1" spans="1:3" x14ac:dyDescent="0.25">
      <c r="A165" s="6" t="s">
        <v>1082</v>
      </c>
      <c r="B165" s="6" t="s">
        <v>438</v>
      </c>
      <c r="C165" s="6" t="s">
        <v>972</v>
      </c>
    </row>
    <row r="166" ht="15" customHeight="1" spans="1:3" x14ac:dyDescent="0.25">
      <c r="A166" s="6" t="s">
        <v>450</v>
      </c>
      <c r="B166" s="6" t="s">
        <v>1084</v>
      </c>
      <c r="C166" s="6" t="s">
        <v>804</v>
      </c>
    </row>
    <row r="167" ht="15" customHeight="1" spans="1:3" x14ac:dyDescent="0.25">
      <c r="A167" s="6" t="s">
        <v>462</v>
      </c>
      <c r="B167" s="6" t="s">
        <v>1084</v>
      </c>
      <c r="C167" s="6" t="s">
        <v>804</v>
      </c>
    </row>
    <row r="168" ht="15" customHeight="1" spans="1:3" x14ac:dyDescent="0.25">
      <c r="A168" s="6" t="s">
        <v>1084</v>
      </c>
      <c r="B168" s="6" t="s">
        <v>451</v>
      </c>
      <c r="C168" s="6" t="s">
        <v>972</v>
      </c>
    </row>
    <row r="169" ht="15" customHeight="1" spans="1:3" x14ac:dyDescent="0.25">
      <c r="A169" s="6" t="s">
        <v>1084</v>
      </c>
      <c r="B169" s="6" t="s">
        <v>463</v>
      </c>
      <c r="C169" s="6" t="s">
        <v>972</v>
      </c>
    </row>
    <row r="170" ht="15" customHeight="1" spans="1:3" x14ac:dyDescent="0.25">
      <c r="A170" s="6" t="s">
        <v>474</v>
      </c>
      <c r="B170" s="6" t="s">
        <v>1086</v>
      </c>
      <c r="C170" s="6" t="s">
        <v>804</v>
      </c>
    </row>
    <row r="171" ht="15" customHeight="1" spans="1:3" x14ac:dyDescent="0.25">
      <c r="A171" s="6" t="s">
        <v>486</v>
      </c>
      <c r="B171" s="6" t="s">
        <v>1086</v>
      </c>
      <c r="C171" s="6" t="s">
        <v>804</v>
      </c>
    </row>
    <row r="172" ht="15" customHeight="1" spans="1:3" x14ac:dyDescent="0.25">
      <c r="A172" s="6" t="s">
        <v>1086</v>
      </c>
      <c r="B172" s="6" t="s">
        <v>475</v>
      </c>
      <c r="C172" s="6" t="s">
        <v>972</v>
      </c>
    </row>
    <row r="173" ht="15" customHeight="1" spans="1:3" x14ac:dyDescent="0.25">
      <c r="A173" s="6" t="s">
        <v>1086</v>
      </c>
      <c r="B173" s="6" t="s">
        <v>487</v>
      </c>
      <c r="C173" s="6" t="s">
        <v>972</v>
      </c>
    </row>
    <row r="174" ht="15" customHeight="1" spans="1:3" x14ac:dyDescent="0.25">
      <c r="A174" s="6" t="s">
        <v>498</v>
      </c>
      <c r="B174" s="6" t="s">
        <v>1088</v>
      </c>
      <c r="C174" s="6" t="s">
        <v>804</v>
      </c>
    </row>
    <row r="175" ht="15" customHeight="1" spans="1:3" x14ac:dyDescent="0.25">
      <c r="A175" s="6" t="s">
        <v>510</v>
      </c>
      <c r="B175" s="6" t="s">
        <v>1088</v>
      </c>
      <c r="C175" s="6" t="s">
        <v>804</v>
      </c>
    </row>
    <row r="176" ht="15" customHeight="1" spans="1:3" x14ac:dyDescent="0.25">
      <c r="A176" s="6" t="s">
        <v>1088</v>
      </c>
      <c r="B176" s="6" t="s">
        <v>499</v>
      </c>
      <c r="C176" s="6" t="s">
        <v>972</v>
      </c>
    </row>
    <row r="177" ht="15" customHeight="1" spans="1:3" x14ac:dyDescent="0.25">
      <c r="A177" s="6" t="s">
        <v>1088</v>
      </c>
      <c r="B177" s="6" t="s">
        <v>511</v>
      </c>
      <c r="C177" s="6" t="s">
        <v>972</v>
      </c>
    </row>
    <row r="178" ht="15" customHeight="1" spans="1:3" x14ac:dyDescent="0.25">
      <c r="A178" s="6" t="s">
        <v>522</v>
      </c>
      <c r="B178" s="6" t="s">
        <v>1090</v>
      </c>
      <c r="C178" s="6" t="s">
        <v>804</v>
      </c>
    </row>
    <row r="179" ht="15" customHeight="1" spans="1:3" x14ac:dyDescent="0.25">
      <c r="A179" s="6" t="s">
        <v>534</v>
      </c>
      <c r="B179" s="6" t="s">
        <v>1090</v>
      </c>
      <c r="C179" s="6" t="s">
        <v>804</v>
      </c>
    </row>
    <row r="180" ht="15" customHeight="1" spans="1:3" x14ac:dyDescent="0.25">
      <c r="A180" s="6" t="s">
        <v>1090</v>
      </c>
      <c r="B180" s="6" t="s">
        <v>523</v>
      </c>
      <c r="C180" s="6" t="s">
        <v>972</v>
      </c>
    </row>
    <row r="181" ht="15" customHeight="1" spans="1:3" x14ac:dyDescent="0.25">
      <c r="A181" s="6" t="s">
        <v>1090</v>
      </c>
      <c r="B181" s="6" t="s">
        <v>535</v>
      </c>
      <c r="C181" s="6" t="s">
        <v>972</v>
      </c>
    </row>
    <row r="182" ht="15" customHeight="1" spans="1:3" x14ac:dyDescent="0.25">
      <c r="A182" s="6" t="s">
        <v>546</v>
      </c>
      <c r="B182" s="6" t="s">
        <v>1092</v>
      </c>
      <c r="C182" s="6" t="s">
        <v>804</v>
      </c>
    </row>
    <row r="183" ht="15" customHeight="1" spans="1:3" x14ac:dyDescent="0.25">
      <c r="A183" s="6" t="s">
        <v>558</v>
      </c>
      <c r="B183" s="6" t="s">
        <v>1092</v>
      </c>
      <c r="C183" s="6" t="s">
        <v>804</v>
      </c>
    </row>
    <row r="184" ht="15" customHeight="1" spans="1:3" x14ac:dyDescent="0.25">
      <c r="A184" s="6" t="s">
        <v>1092</v>
      </c>
      <c r="B184" s="6" t="s">
        <v>547</v>
      </c>
      <c r="C184" s="6" t="s">
        <v>972</v>
      </c>
    </row>
    <row r="185" ht="15" customHeight="1" spans="1:3" x14ac:dyDescent="0.25">
      <c r="A185" s="6" t="s">
        <v>1092</v>
      </c>
      <c r="B185" s="6" t="s">
        <v>559</v>
      </c>
      <c r="C185" s="6" t="s">
        <v>972</v>
      </c>
    </row>
    <row r="186" ht="15" customHeight="1" spans="1:3" x14ac:dyDescent="0.25">
      <c r="A186" s="6" t="s">
        <v>570</v>
      </c>
      <c r="B186" s="6" t="s">
        <v>1094</v>
      </c>
      <c r="C186" s="6" t="s">
        <v>804</v>
      </c>
    </row>
    <row r="187" ht="15" customHeight="1" spans="1:3" x14ac:dyDescent="0.25">
      <c r="A187" s="6" t="s">
        <v>582</v>
      </c>
      <c r="B187" s="6" t="s">
        <v>1094</v>
      </c>
      <c r="C187" s="6" t="s">
        <v>804</v>
      </c>
    </row>
    <row r="188" ht="15" customHeight="1" spans="1:3" x14ac:dyDescent="0.25">
      <c r="A188" s="6" t="s">
        <v>1094</v>
      </c>
      <c r="B188" s="6" t="s">
        <v>571</v>
      </c>
      <c r="C188" s="6" t="s">
        <v>972</v>
      </c>
    </row>
    <row r="189" ht="15" customHeight="1" spans="1:3" x14ac:dyDescent="0.25">
      <c r="A189" s="6" t="s">
        <v>1094</v>
      </c>
      <c r="B189" s="6" t="s">
        <v>583</v>
      </c>
      <c r="C189" s="6" t="s">
        <v>972</v>
      </c>
    </row>
    <row r="190" ht="15" customHeight="1" spans="1:3" x14ac:dyDescent="0.25">
      <c r="A190" s="6" t="s">
        <v>594</v>
      </c>
      <c r="B190" s="6" t="s">
        <v>1096</v>
      </c>
      <c r="C190" s="6" t="s">
        <v>804</v>
      </c>
    </row>
    <row r="191" ht="15" customHeight="1" spans="1:3" x14ac:dyDescent="0.25">
      <c r="A191" s="6" t="s">
        <v>606</v>
      </c>
      <c r="B191" s="6" t="s">
        <v>1096</v>
      </c>
      <c r="C191" s="6" t="s">
        <v>804</v>
      </c>
    </row>
    <row r="192" ht="15" customHeight="1" spans="1:3" x14ac:dyDescent="0.25">
      <c r="A192" s="6" t="s">
        <v>1096</v>
      </c>
      <c r="B192" s="6" t="s">
        <v>595</v>
      </c>
      <c r="C192" s="6" t="s">
        <v>972</v>
      </c>
    </row>
    <row r="193" ht="15" customHeight="1" spans="1:3" x14ac:dyDescent="0.25">
      <c r="A193" s="6" t="s">
        <v>1096</v>
      </c>
      <c r="B193" s="6" t="s">
        <v>607</v>
      </c>
      <c r="C193" s="6" t="s">
        <v>972</v>
      </c>
    </row>
    <row r="194" ht="15" customHeight="1" spans="1:3" x14ac:dyDescent="0.25">
      <c r="A194" s="6" t="s">
        <v>618</v>
      </c>
      <c r="B194" s="6" t="s">
        <v>1098</v>
      </c>
      <c r="C194" s="6" t="s">
        <v>804</v>
      </c>
    </row>
    <row r="195" ht="15" customHeight="1" spans="1:3" x14ac:dyDescent="0.25">
      <c r="A195" s="6" t="s">
        <v>630</v>
      </c>
      <c r="B195" s="6" t="s">
        <v>1098</v>
      </c>
      <c r="C195" s="6" t="s">
        <v>804</v>
      </c>
    </row>
    <row r="196" ht="15" customHeight="1" spans="1:3" x14ac:dyDescent="0.25">
      <c r="A196" s="6" t="s">
        <v>1098</v>
      </c>
      <c r="B196" s="6" t="s">
        <v>619</v>
      </c>
      <c r="C196" s="6" t="s">
        <v>972</v>
      </c>
    </row>
    <row r="197" ht="15" customHeight="1" spans="1:3" x14ac:dyDescent="0.25">
      <c r="A197" s="6" t="s">
        <v>1098</v>
      </c>
      <c r="B197" s="6" t="s">
        <v>631</v>
      </c>
      <c r="C197" s="6" t="s">
        <v>972</v>
      </c>
    </row>
    <row r="198" ht="15" customHeight="1" spans="1:3" x14ac:dyDescent="0.25">
      <c r="A198" s="6" t="s">
        <v>642</v>
      </c>
      <c r="B198" s="6" t="s">
        <v>1100</v>
      </c>
      <c r="C198" s="6" t="s">
        <v>804</v>
      </c>
    </row>
    <row r="199" ht="15" customHeight="1" spans="1:3" x14ac:dyDescent="0.25">
      <c r="A199" s="6" t="s">
        <v>654</v>
      </c>
      <c r="B199" s="6" t="s">
        <v>1100</v>
      </c>
      <c r="C199" s="6" t="s">
        <v>804</v>
      </c>
    </row>
    <row r="200" ht="15" customHeight="1" spans="1:3" x14ac:dyDescent="0.25">
      <c r="A200" s="6" t="s">
        <v>1100</v>
      </c>
      <c r="B200" s="6" t="s">
        <v>643</v>
      </c>
      <c r="C200" s="6" t="s">
        <v>972</v>
      </c>
    </row>
    <row r="201" ht="15" customHeight="1" spans="1:3" x14ac:dyDescent="0.25">
      <c r="A201" s="6" t="s">
        <v>1100</v>
      </c>
      <c r="B201" s="6" t="s">
        <v>655</v>
      </c>
      <c r="C201" s="6" t="s">
        <v>972</v>
      </c>
    </row>
    <row r="202" ht="15" customHeight="1" spans="1:3" x14ac:dyDescent="0.25">
      <c r="A202" s="6" t="s">
        <v>666</v>
      </c>
      <c r="B202" s="6" t="s">
        <v>1102</v>
      </c>
      <c r="C202" s="6" t="s">
        <v>804</v>
      </c>
    </row>
    <row r="203" ht="15" customHeight="1" spans="1:3" x14ac:dyDescent="0.25">
      <c r="A203" s="6" t="s">
        <v>678</v>
      </c>
      <c r="B203" s="6" t="s">
        <v>1102</v>
      </c>
      <c r="C203" s="6" t="s">
        <v>804</v>
      </c>
    </row>
    <row r="204" ht="15" customHeight="1" spans="1:3" x14ac:dyDescent="0.25">
      <c r="A204" s="6" t="s">
        <v>1102</v>
      </c>
      <c r="B204" s="6" t="s">
        <v>667</v>
      </c>
      <c r="C204" s="6" t="s">
        <v>972</v>
      </c>
    </row>
    <row r="205" ht="15" customHeight="1" spans="1:3" x14ac:dyDescent="0.25">
      <c r="A205" s="6" t="s">
        <v>1102</v>
      </c>
      <c r="B205" s="6" t="s">
        <v>679</v>
      </c>
      <c r="C205" s="6" t="s">
        <v>972</v>
      </c>
    </row>
    <row r="206" ht="15" customHeight="1" spans="1:3" x14ac:dyDescent="0.25">
      <c r="A206" s="6" t="s">
        <v>690</v>
      </c>
      <c r="B206" s="6" t="s">
        <v>1104</v>
      </c>
      <c r="C206" s="6" t="s">
        <v>804</v>
      </c>
    </row>
    <row r="207" ht="15" customHeight="1" spans="1:3" x14ac:dyDescent="0.25">
      <c r="A207" s="6" t="s">
        <v>702</v>
      </c>
      <c r="B207" s="6" t="s">
        <v>1104</v>
      </c>
      <c r="C207" s="6" t="s">
        <v>804</v>
      </c>
    </row>
    <row r="208" ht="15" customHeight="1" spans="1:3" x14ac:dyDescent="0.25">
      <c r="A208" s="6" t="s">
        <v>1104</v>
      </c>
      <c r="B208" s="6" t="s">
        <v>691</v>
      </c>
      <c r="C208" s="6" t="s">
        <v>972</v>
      </c>
    </row>
    <row r="209" ht="15" customHeight="1" spans="1:3" x14ac:dyDescent="0.25">
      <c r="A209" s="6" t="s">
        <v>1104</v>
      </c>
      <c r="B209" s="6" t="s">
        <v>703</v>
      </c>
      <c r="C209" s="6" t="s">
        <v>972</v>
      </c>
    </row>
    <row r="210" ht="15" customHeight="1" spans="1:3" x14ac:dyDescent="0.25">
      <c r="A210" s="6" t="s">
        <v>714</v>
      </c>
      <c r="B210" s="6" t="s">
        <v>1106</v>
      </c>
      <c r="C210" s="6" t="s">
        <v>804</v>
      </c>
    </row>
    <row r="211" ht="15" customHeight="1" spans="1:3" x14ac:dyDescent="0.25">
      <c r="A211" s="6" t="s">
        <v>726</v>
      </c>
      <c r="B211" s="6" t="s">
        <v>1106</v>
      </c>
      <c r="C211" s="6" t="s">
        <v>804</v>
      </c>
    </row>
    <row r="212" ht="15" customHeight="1" spans="1:3" x14ac:dyDescent="0.25">
      <c r="A212" s="6" t="s">
        <v>1106</v>
      </c>
      <c r="B212" s="6" t="s">
        <v>715</v>
      </c>
      <c r="C212" s="6" t="s">
        <v>972</v>
      </c>
    </row>
    <row r="213" ht="15" customHeight="1" spans="1:3" x14ac:dyDescent="0.25">
      <c r="A213" s="6" t="s">
        <v>1106</v>
      </c>
      <c r="B213" s="6" t="s">
        <v>727</v>
      </c>
      <c r="C213" s="6" t="s">
        <v>972</v>
      </c>
    </row>
    <row r="214" ht="15" customHeight="1" spans="1:3" x14ac:dyDescent="0.25">
      <c r="A214" s="6" t="s">
        <v>738</v>
      </c>
      <c r="B214" s="6" t="s">
        <v>1108</v>
      </c>
      <c r="C214" s="6" t="s">
        <v>804</v>
      </c>
    </row>
    <row r="215" ht="15" customHeight="1" spans="1:3" x14ac:dyDescent="0.25">
      <c r="A215" s="6" t="s">
        <v>750</v>
      </c>
      <c r="B215" s="6" t="s">
        <v>1108</v>
      </c>
      <c r="C215" s="6" t="s">
        <v>804</v>
      </c>
    </row>
    <row r="216" ht="15" customHeight="1" spans="1:3" x14ac:dyDescent="0.25">
      <c r="A216" s="6" t="s">
        <v>1108</v>
      </c>
      <c r="B216" s="6" t="s">
        <v>739</v>
      </c>
      <c r="C216" s="6" t="s">
        <v>972</v>
      </c>
    </row>
    <row r="217" ht="15" customHeight="1" spans="1:3" x14ac:dyDescent="0.25">
      <c r="A217" s="6" t="s">
        <v>1108</v>
      </c>
      <c r="B217" s="6" t="s">
        <v>751</v>
      </c>
      <c r="C217" s="6" t="s">
        <v>972</v>
      </c>
    </row>
    <row r="218" ht="15" customHeight="1" spans="1:3" x14ac:dyDescent="0.25">
      <c r="A218" s="6" t="s">
        <v>762</v>
      </c>
      <c r="B218" s="6" t="s">
        <v>1110</v>
      </c>
      <c r="C218" s="6" t="s">
        <v>804</v>
      </c>
    </row>
    <row r="219" ht="15" customHeight="1" spans="1:3" x14ac:dyDescent="0.25">
      <c r="A219" s="6" t="s">
        <v>774</v>
      </c>
      <c r="B219" s="6" t="s">
        <v>1110</v>
      </c>
      <c r="C219" s="6" t="s">
        <v>804</v>
      </c>
    </row>
    <row r="220" ht="15" customHeight="1" spans="1:3" x14ac:dyDescent="0.25">
      <c r="A220" s="6" t="s">
        <v>1110</v>
      </c>
      <c r="B220" s="6" t="s">
        <v>763</v>
      </c>
      <c r="C220" s="6" t="s">
        <v>972</v>
      </c>
    </row>
    <row r="221" ht="15" customHeight="1" spans="1:3" x14ac:dyDescent="0.25">
      <c r="A221" s="6" t="s">
        <v>1110</v>
      </c>
      <c r="B221" s="6" t="s">
        <v>775</v>
      </c>
      <c r="C221" s="6" t="s">
        <v>972</v>
      </c>
    </row>
    <row r="223" ht="15" customHeight="1" spans="1:1" x14ac:dyDescent="0.25">
      <c r="A223" s="9" t="s">
        <v>1244</v>
      </c>
    </row>
    <row r="224" ht="15" customHeight="1" spans="1:1" x14ac:dyDescent="0.25">
      <c r="A224" s="9" t="s">
        <v>1245</v>
      </c>
    </row>
    <row r="225" ht="15" customHeight="1" spans="1:1" x14ac:dyDescent="0.25">
      <c r="A225" s="9" t="s">
        <v>1246</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Views>
    <sheetView workbookViewId="0" zoomScale="100" zoomScaleNormal="100" view="normal">
      <pane ySplit="1" topLeftCell="A2" activePane="bottomLeft" state="frozen"/>
      <selection pane="bottomLeft" activeCell="A1" sqref="A1"/>
    </sheetView>
  </sheetViews>
  <sheetFormatPr defaultRowHeight="15" outlineLevelRow="0" outlineLevelCol="0" x14ac:dyDescent="0" defaultColWidth="8.6796875"/>
  <cols>
    <col min="1" max="1" width="14" customWidth="1"/>
    <col min="2" max="2" width="46" customWidth="1"/>
    <col min="3" max="4" width="15" customWidth="1"/>
    <col min="5" max="5" width="17" customWidth="1"/>
    <col min="6" max="6" width="26" customWidth="1"/>
  </cols>
  <sheetData>
    <row r="1" ht="30" customHeight="1" spans="1:6" x14ac:dyDescent="0.25">
      <c r="A1" s="5" t="s">
        <v>788</v>
      </c>
      <c r="B1" s="5" t="s">
        <v>1247</v>
      </c>
      <c r="C1" s="5" t="s">
        <v>1248</v>
      </c>
      <c r="D1" s="5" t="s">
        <v>1249</v>
      </c>
      <c r="E1" s="5" t="s">
        <v>800</v>
      </c>
      <c r="F1" s="5" t="s">
        <v>1250</v>
      </c>
    </row>
    <row r="2" ht="15" customHeight="1" spans="1:6" x14ac:dyDescent="0.25">
      <c r="A2" s="6" t="s">
        <v>353</v>
      </c>
      <c r="B2" s="6" t="s">
        <v>1251</v>
      </c>
      <c r="C2" s="6">
        <v>800</v>
      </c>
      <c r="D2" s="6">
        <v>14</v>
      </c>
      <c r="E2" s="6">
        <v>10</v>
      </c>
      <c r="F2" s="6" t="s">
        <v>1252</v>
      </c>
    </row>
    <row r="3" ht="15" customHeight="1" spans="1:6" x14ac:dyDescent="0.25">
      <c r="A3" s="6" t="s">
        <v>365</v>
      </c>
      <c r="B3" s="6" t="s">
        <v>1251</v>
      </c>
      <c r="C3" s="6">
        <v>800</v>
      </c>
      <c r="D3" s="6">
        <v>14</v>
      </c>
      <c r="E3" s="6">
        <v>10</v>
      </c>
      <c r="F3" s="6" t="s">
        <v>1252</v>
      </c>
    </row>
    <row r="4" ht="15" customHeight="1" spans="1:6" x14ac:dyDescent="0.25">
      <c r="A4" s="6" t="s">
        <v>882</v>
      </c>
      <c r="B4" s="6" t="s">
        <v>1253</v>
      </c>
      <c r="C4" s="8">
        <v>2500</v>
      </c>
      <c r="D4" s="6">
        <v>45</v>
      </c>
      <c r="E4" s="6">
        <v>14</v>
      </c>
      <c r="F4" s="6" t="s">
        <v>1252</v>
      </c>
    </row>
    <row r="5" ht="15" customHeight="1" spans="1:6" x14ac:dyDescent="0.25">
      <c r="A5" s="6" t="s">
        <v>354</v>
      </c>
      <c r="B5" s="6" t="s">
        <v>1254</v>
      </c>
      <c r="C5" s="6">
        <v>600</v>
      </c>
      <c r="D5" s="6">
        <v>40</v>
      </c>
      <c r="E5" s="6">
        <v>8</v>
      </c>
      <c r="F5" s="6" t="s">
        <v>1252</v>
      </c>
    </row>
    <row r="6" ht="15" customHeight="1" spans="1:6" x14ac:dyDescent="0.25">
      <c r="A6" s="6" t="s">
        <v>366</v>
      </c>
      <c r="B6" s="6" t="s">
        <v>1254</v>
      </c>
      <c r="C6" s="6">
        <v>600</v>
      </c>
      <c r="D6" s="6">
        <v>40</v>
      </c>
      <c r="E6" s="6">
        <v>8</v>
      </c>
      <c r="F6" s="6" t="s">
        <v>1252</v>
      </c>
    </row>
    <row r="7" ht="15" customHeight="1" spans="1:6" x14ac:dyDescent="0.25">
      <c r="A7" s="6" t="s">
        <v>830</v>
      </c>
      <c r="B7" s="6" t="s">
        <v>1255</v>
      </c>
      <c r="C7" s="8">
        <v>3000</v>
      </c>
      <c r="D7" s="6">
        <v>97</v>
      </c>
      <c r="E7" s="6">
        <v>16</v>
      </c>
      <c r="F7" s="6" t="s">
        <v>1252</v>
      </c>
    </row>
    <row r="9" ht="15" customHeight="1" spans="1:1" x14ac:dyDescent="0.25">
      <c r="A9" s="9" t="s">
        <v>1256</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7"/>
  <sheetViews>
    <sheetView workbookViewId="0" zoomScale="100" zoomScaleNormal="100" view="normal">
      <pane ySplit="1" topLeftCell="A2" activePane="bottomLeft" state="frozen"/>
      <selection pane="bottomLeft" activeCell="A1" sqref="A1"/>
    </sheetView>
  </sheetViews>
  <sheetFormatPr defaultRowHeight="15" outlineLevelRow="0" outlineLevelCol="0" x14ac:dyDescent="0" defaultColWidth="8.6796875"/>
  <cols>
    <col min="1" max="1" width="14" customWidth="1"/>
    <col min="2" max="2" width="26" customWidth="1"/>
    <col min="3" max="3" width="12" customWidth="1"/>
    <col min="4" max="4" width="13" customWidth="1"/>
    <col min="5" max="5" width="10" customWidth="1"/>
    <col min="6" max="6" width="16" customWidth="1"/>
    <col min="7" max="8" width="11" customWidth="1"/>
    <col min="9" max="9" width="18" customWidth="1"/>
    <col min="10" max="10" width="19" customWidth="1"/>
    <col min="11" max="11" width="17" customWidth="1"/>
  </cols>
  <sheetData>
    <row r="1" ht="30" customHeight="1" spans="1:11" x14ac:dyDescent="0.25">
      <c r="A1" s="5" t="s">
        <v>788</v>
      </c>
      <c r="B1" s="5" t="s">
        <v>790</v>
      </c>
      <c r="C1" s="5" t="s">
        <v>791</v>
      </c>
      <c r="D1" s="5" t="s">
        <v>1257</v>
      </c>
      <c r="E1" s="5" t="s">
        <v>792</v>
      </c>
      <c r="F1" s="5" t="s">
        <v>795</v>
      </c>
      <c r="G1" s="5" t="s">
        <v>1258</v>
      </c>
      <c r="H1" s="5" t="s">
        <v>1259</v>
      </c>
      <c r="I1" s="5" t="s">
        <v>1260</v>
      </c>
      <c r="J1" s="5" t="s">
        <v>1261</v>
      </c>
      <c r="K1" s="5" t="s">
        <v>50</v>
      </c>
    </row>
    <row r="2" ht="15" customHeight="1" spans="1:11" x14ac:dyDescent="0.25">
      <c r="A2" s="6" t="s">
        <v>353</v>
      </c>
      <c r="B2" s="6" t="s">
        <v>885</v>
      </c>
      <c r="C2" s="6" t="s">
        <v>804</v>
      </c>
      <c r="D2" s="6">
        <v>1</v>
      </c>
      <c r="E2" s="6">
        <v>400</v>
      </c>
      <c r="F2" s="7">
        <v>320</v>
      </c>
      <c r="G2" s="7">
        <v>100</v>
      </c>
      <c r="H2" s="7">
        <v>600</v>
      </c>
      <c r="I2" s="7">
        <v>31.2</v>
      </c>
      <c r="J2" s="7">
        <v>187.5</v>
      </c>
      <c r="K2" s="6" t="s">
        <v>1262</v>
      </c>
    </row>
    <row r="3" ht="15" customHeight="1" spans="1:11" x14ac:dyDescent="0.25">
      <c r="A3" s="6" t="s">
        <v>365</v>
      </c>
      <c r="B3" s="6" t="s">
        <v>887</v>
      </c>
      <c r="C3" s="6" t="s">
        <v>804</v>
      </c>
      <c r="D3" s="6">
        <v>1</v>
      </c>
      <c r="E3" s="6">
        <v>400</v>
      </c>
      <c r="F3" s="7">
        <v>320</v>
      </c>
      <c r="G3" s="7">
        <v>100</v>
      </c>
      <c r="H3" s="7">
        <v>600</v>
      </c>
      <c r="I3" s="7">
        <v>31.2</v>
      </c>
      <c r="J3" s="7">
        <v>187.5</v>
      </c>
      <c r="K3" s="6" t="s">
        <v>1262</v>
      </c>
    </row>
    <row r="4" ht="15" customHeight="1" spans="1:11" x14ac:dyDescent="0.25">
      <c r="A4" s="6" t="s">
        <v>882</v>
      </c>
      <c r="B4" s="6" t="s">
        <v>883</v>
      </c>
      <c r="C4" s="6" t="s">
        <v>804</v>
      </c>
      <c r="D4" s="6">
        <v>2</v>
      </c>
      <c r="E4" s="8">
        <v>1600</v>
      </c>
      <c r="F4" s="7">
        <v>1280</v>
      </c>
      <c r="G4" s="6">
        <v>976</v>
      </c>
      <c r="H4" s="8">
        <v>1976</v>
      </c>
      <c r="I4" s="7">
        <v>76.2</v>
      </c>
      <c r="J4" s="7">
        <v>154.4</v>
      </c>
      <c r="K4" s="6" t="s">
        <v>1262</v>
      </c>
    </row>
    <row r="5" ht="15" customHeight="1" spans="1:11" x14ac:dyDescent="0.25">
      <c r="A5" s="6" t="s">
        <v>879</v>
      </c>
      <c r="B5" s="6" t="s">
        <v>880</v>
      </c>
      <c r="C5" s="6" t="s">
        <v>804</v>
      </c>
      <c r="D5" s="6">
        <v>3</v>
      </c>
      <c r="E5" s="8">
        <v>2800</v>
      </c>
      <c r="F5" s="7">
        <v>2240</v>
      </c>
      <c r="G5" s="6">
        <v>976</v>
      </c>
      <c r="H5" s="8">
        <v>1976</v>
      </c>
      <c r="I5" s="7">
        <v>43.6</v>
      </c>
      <c r="J5" s="7">
        <v>88.2</v>
      </c>
      <c r="K5" s="6" t="s">
        <v>1263</v>
      </c>
    </row>
    <row r="6" ht="15" customHeight="1" spans="1:11" x14ac:dyDescent="0.25">
      <c r="A6" s="6" t="s">
        <v>830</v>
      </c>
      <c r="B6" s="6" t="s">
        <v>832</v>
      </c>
      <c r="C6" s="6" t="s">
        <v>804</v>
      </c>
      <c r="D6" s="6">
        <v>4</v>
      </c>
      <c r="E6" s="8">
        <v>3000</v>
      </c>
      <c r="F6" s="7">
        <v>2160</v>
      </c>
      <c r="G6" s="8">
        <v>1919</v>
      </c>
      <c r="H6" s="8">
        <v>2919</v>
      </c>
      <c r="I6" s="7">
        <v>88.8</v>
      </c>
      <c r="J6" s="7">
        <v>135.1</v>
      </c>
      <c r="K6" s="6" t="s">
        <v>1264</v>
      </c>
    </row>
    <row r="7" ht="15" customHeight="1" spans="1:11" x14ac:dyDescent="0.25">
      <c r="A7" s="6" t="s">
        <v>833</v>
      </c>
      <c r="B7" s="6" t="s">
        <v>835</v>
      </c>
      <c r="C7" s="6" t="s">
        <v>804</v>
      </c>
      <c r="D7" s="6">
        <v>4</v>
      </c>
      <c r="E7" s="8">
        <v>3000</v>
      </c>
      <c r="F7" s="7">
        <v>2160</v>
      </c>
      <c r="G7" s="8">
        <v>1919</v>
      </c>
      <c r="H7" s="8">
        <v>2919</v>
      </c>
      <c r="I7" s="7">
        <v>88.8</v>
      </c>
      <c r="J7" s="7">
        <v>135.1</v>
      </c>
      <c r="K7" s="6" t="s">
        <v>1264</v>
      </c>
    </row>
    <row r="8" ht="15" customHeight="1" spans="1:11" x14ac:dyDescent="0.25">
      <c r="A8" s="6" t="s">
        <v>825</v>
      </c>
      <c r="B8" s="6" t="s">
        <v>827</v>
      </c>
      <c r="C8" s="6" t="s">
        <v>804</v>
      </c>
      <c r="D8" s="6">
        <v>5</v>
      </c>
      <c r="E8" s="8">
        <v>6000</v>
      </c>
      <c r="F8" s="7">
        <v>5100</v>
      </c>
      <c r="G8" s="7">
        <v>3740</v>
      </c>
      <c r="H8" s="7">
        <v>4290</v>
      </c>
      <c r="I8" s="7">
        <v>73.3</v>
      </c>
      <c r="J8" s="7">
        <v>84.1</v>
      </c>
      <c r="K8" s="6" t="s">
        <v>1263</v>
      </c>
    </row>
    <row r="9" ht="15" customHeight="1" spans="1:11" x14ac:dyDescent="0.25">
      <c r="A9" s="6" t="s">
        <v>811</v>
      </c>
      <c r="B9" s="6" t="s">
        <v>813</v>
      </c>
      <c r="C9" s="6" t="s">
        <v>804</v>
      </c>
      <c r="D9" s="6">
        <v>6</v>
      </c>
      <c r="E9" s="8">
        <v>7500</v>
      </c>
      <c r="F9" s="7">
        <v>6000</v>
      </c>
      <c r="G9" s="7">
        <v>4155.6</v>
      </c>
      <c r="H9" s="7">
        <v>4766.7</v>
      </c>
      <c r="I9" s="7">
        <v>69.3</v>
      </c>
      <c r="J9" s="7">
        <v>79.4</v>
      </c>
      <c r="K9" s="6" t="s">
        <v>1265</v>
      </c>
    </row>
    <row r="10" ht="15" customHeight="1" spans="1:11" x14ac:dyDescent="0.25">
      <c r="A10" s="6" t="s">
        <v>801</v>
      </c>
      <c r="B10" s="6" t="s">
        <v>803</v>
      </c>
      <c r="C10" s="6" t="s">
        <v>804</v>
      </c>
      <c r="D10" s="6">
        <v>7</v>
      </c>
      <c r="E10" s="8">
        <v>6000</v>
      </c>
      <c r="F10" s="7">
        <v>5100</v>
      </c>
      <c r="G10" s="7">
        <v>3740</v>
      </c>
      <c r="H10" s="7">
        <v>4290</v>
      </c>
      <c r="I10" s="7">
        <v>73.3</v>
      </c>
      <c r="J10" s="7">
        <v>84.1</v>
      </c>
      <c r="K10" s="6" t="s">
        <v>1263</v>
      </c>
    </row>
    <row r="11" ht="15" customHeight="1" spans="1:11" x14ac:dyDescent="0.25">
      <c r="A11" s="6" t="s">
        <v>354</v>
      </c>
      <c r="B11" s="6" t="s">
        <v>1008</v>
      </c>
      <c r="C11" s="6" t="s">
        <v>972</v>
      </c>
      <c r="D11" s="6">
        <v>1</v>
      </c>
      <c r="E11" s="6">
        <v>200</v>
      </c>
      <c r="F11" s="7">
        <v>180</v>
      </c>
      <c r="G11" s="7">
        <v>100</v>
      </c>
      <c r="H11" s="7">
        <v>600</v>
      </c>
      <c r="I11" s="7">
        <v>55.6</v>
      </c>
      <c r="J11" s="7">
        <v>333.3</v>
      </c>
      <c r="K11" s="6" t="s">
        <v>1262</v>
      </c>
    </row>
    <row r="12" ht="15" customHeight="1" spans="1:11" x14ac:dyDescent="0.25">
      <c r="A12" s="6" t="s">
        <v>366</v>
      </c>
      <c r="B12" s="6" t="s">
        <v>1010</v>
      </c>
      <c r="C12" s="6" t="s">
        <v>972</v>
      </c>
      <c r="D12" s="6">
        <v>1</v>
      </c>
      <c r="E12" s="6">
        <v>200</v>
      </c>
      <c r="F12" s="7">
        <v>180</v>
      </c>
      <c r="G12" s="7">
        <v>100</v>
      </c>
      <c r="H12" s="7">
        <v>600</v>
      </c>
      <c r="I12" s="7">
        <v>55.6</v>
      </c>
      <c r="J12" s="7">
        <v>333.3</v>
      </c>
      <c r="K12" s="6" t="s">
        <v>1262</v>
      </c>
    </row>
    <row r="13" ht="15" customHeight="1" spans="1:11" x14ac:dyDescent="0.25">
      <c r="A13" s="6" t="s">
        <v>981</v>
      </c>
      <c r="B13" s="6" t="s">
        <v>983</v>
      </c>
      <c r="C13" s="6" t="s">
        <v>972</v>
      </c>
      <c r="D13" s="6">
        <v>2</v>
      </c>
      <c r="E13" s="8">
        <v>9000</v>
      </c>
      <c r="F13" s="7">
        <v>7650</v>
      </c>
      <c r="G13" s="7">
        <v>4590.9</v>
      </c>
      <c r="H13" s="7">
        <v>6983.2</v>
      </c>
      <c r="I13" s="7">
        <v>60</v>
      </c>
      <c r="J13" s="7">
        <v>91.3</v>
      </c>
      <c r="K13" s="6" t="s">
        <v>1263</v>
      </c>
    </row>
    <row r="15" ht="15" customHeight="1" spans="1:1" x14ac:dyDescent="0.25">
      <c r="A15" s="9" t="s">
        <v>1266</v>
      </c>
    </row>
    <row r="16" ht="15" customHeight="1" spans="1:1" x14ac:dyDescent="0.25">
      <c r="A16" s="9" t="s">
        <v>1267</v>
      </c>
    </row>
    <row r="17" ht="15" customHeight="1" spans="1:1" x14ac:dyDescent="0.25">
      <c r="A17" s="9" t="s">
        <v>1268</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workbookViewId="0" zoomScale="100" zoomScaleNormal="100" view="normal">
      <pane ySplit="1" topLeftCell="A2" activePane="bottomLeft" state="frozen"/>
      <selection pane="bottomLeft" activeCell="A1" sqref="A1"/>
    </sheetView>
  </sheetViews>
  <sheetFormatPr defaultRowHeight="15" outlineLevelRow="0" outlineLevelCol="0" x14ac:dyDescent="0" defaultColWidth="8.6796875"/>
  <cols>
    <col min="1" max="1" width="40" customWidth="1"/>
    <col min="2" max="2" width="12" customWidth="1"/>
    <col min="3" max="5" width="16" customWidth="1"/>
  </cols>
  <sheetData>
    <row r="1" ht="30" customHeight="1" spans="1:5" x14ac:dyDescent="0.25">
      <c r="A1" s="5" t="s">
        <v>1269</v>
      </c>
      <c r="B1" s="5" t="s">
        <v>793</v>
      </c>
      <c r="C1" s="5" t="s">
        <v>1270</v>
      </c>
      <c r="D1" s="5" t="s">
        <v>1271</v>
      </c>
      <c r="E1" s="5" t="s">
        <v>1272</v>
      </c>
    </row>
    <row r="2" ht="15" customHeight="1" spans="1:5" x14ac:dyDescent="0.25">
      <c r="A2" s="6" t="s">
        <v>1273</v>
      </c>
      <c r="B2" s="6" t="s">
        <v>984</v>
      </c>
      <c r="C2" s="7">
        <v>4591</v>
      </c>
      <c r="D2" s="7">
        <v>6983</v>
      </c>
      <c r="E2" s="7">
        <v>2392</v>
      </c>
    </row>
    <row r="3" ht="15" customHeight="1" spans="1:5" x14ac:dyDescent="0.25">
      <c r="A3" s="6" t="s">
        <v>1274</v>
      </c>
      <c r="B3" s="6" t="s">
        <v>1275</v>
      </c>
      <c r="C3" s="7">
        <v>28</v>
      </c>
      <c r="D3" s="7">
        <v>32.12</v>
      </c>
      <c r="E3" s="7">
        <v>4.12</v>
      </c>
    </row>
    <row r="4" ht="15" customHeight="1" spans="1:5" x14ac:dyDescent="0.25">
      <c r="A4" s="6" t="s">
        <v>1276</v>
      </c>
      <c r="B4" s="6" t="s">
        <v>1277</v>
      </c>
      <c r="C4" s="8">
        <v>50400000</v>
      </c>
      <c r="D4" s="7">
        <v>57810960</v>
      </c>
      <c r="E4" s="7">
        <v>7410960</v>
      </c>
    </row>
    <row r="5" ht="15" customHeight="1" spans="1:5" x14ac:dyDescent="0.25">
      <c r="A5" s="6" t="s">
        <v>1278</v>
      </c>
      <c r="B5" s="6" t="s">
        <v>1279</v>
      </c>
      <c r="C5" s="7">
        <v>1.58</v>
      </c>
      <c r="D5" s="7">
        <v>1.71</v>
      </c>
      <c r="E5" s="7">
        <v>0.13</v>
      </c>
    </row>
    <row r="6" ht="15" customHeight="1" spans="1:5" x14ac:dyDescent="0.25">
      <c r="A6" s="6" t="s">
        <v>1280</v>
      </c>
      <c r="B6" s="6" t="s">
        <v>1281</v>
      </c>
      <c r="C6" s="6">
        <v>48</v>
      </c>
      <c r="D6" s="7">
        <v>31.6</v>
      </c>
      <c r="E6" s="7">
        <v>-16.4</v>
      </c>
    </row>
    <row r="8" ht="15" customHeight="1" spans="1:1" x14ac:dyDescent="0.25">
      <c r="A8" s="9" t="s">
        <v>1282</v>
      </c>
    </row>
    <row r="9" ht="15" customHeight="1" spans="1:1" x14ac:dyDescent="0.25">
      <c r="A9" s="9" t="s">
        <v>1283</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Views>
    <sheetView workbookViewId="0" zoomScale="100" zoomScaleNormal="100" view="normal">
      <pane ySplit="1" topLeftCell="A2" activePane="bottomLeft" state="frozen"/>
      <selection pane="bottomLeft" activeCell="A1" sqref="A1"/>
    </sheetView>
  </sheetViews>
  <sheetFormatPr defaultRowHeight="15" outlineLevelRow="0" outlineLevelCol="0" x14ac:dyDescent="0" defaultColWidth="8.6796875"/>
  <cols>
    <col min="1" max="1" width="11" customWidth="1"/>
    <col min="2" max="2" width="26" customWidth="1"/>
    <col min="3" max="3" width="12" customWidth="1"/>
    <col min="4" max="4" width="15" customWidth="1"/>
    <col min="5" max="5" width="8" customWidth="1"/>
    <col min="6" max="6" width="22" customWidth="1"/>
    <col min="7" max="7" width="15" customWidth="1"/>
  </cols>
  <sheetData>
    <row r="1" ht="30" customHeight="1" spans="1:7" x14ac:dyDescent="0.25">
      <c r="A1" s="5" t="s">
        <v>197</v>
      </c>
      <c r="B1" s="5" t="s">
        <v>43</v>
      </c>
      <c r="C1" s="5" t="s">
        <v>42</v>
      </c>
      <c r="D1" s="5" t="s">
        <v>1284</v>
      </c>
      <c r="E1" s="5" t="s">
        <v>55</v>
      </c>
      <c r="F1" s="5" t="s">
        <v>1285</v>
      </c>
      <c r="G1" s="5" t="s">
        <v>1286</v>
      </c>
    </row>
    <row r="2" ht="15" customHeight="1" spans="1:7" x14ac:dyDescent="0.25">
      <c r="A2" s="6" t="s">
        <v>202</v>
      </c>
      <c r="B2" s="6" t="s">
        <v>1287</v>
      </c>
      <c r="C2" s="6" t="s">
        <v>61</v>
      </c>
      <c r="D2" s="8">
        <v>1450</v>
      </c>
      <c r="E2" s="6">
        <v>72</v>
      </c>
      <c r="F2" s="6" t="s">
        <v>1288</v>
      </c>
      <c r="G2" s="6" t="s">
        <v>1289</v>
      </c>
    </row>
    <row r="3" ht="15" customHeight="1" spans="1:7" x14ac:dyDescent="0.25">
      <c r="A3" s="6" t="s">
        <v>252</v>
      </c>
      <c r="B3" s="6" t="s">
        <v>1290</v>
      </c>
      <c r="C3" s="6" t="s">
        <v>61</v>
      </c>
      <c r="D3" s="6">
        <v>980</v>
      </c>
      <c r="E3" s="6">
        <v>49</v>
      </c>
      <c r="F3" s="6" t="s">
        <v>1291</v>
      </c>
      <c r="G3" s="6" t="s">
        <v>1292</v>
      </c>
    </row>
    <row r="4" ht="15" customHeight="1" spans="1:7" x14ac:dyDescent="0.25">
      <c r="A4" s="6" t="s">
        <v>449</v>
      </c>
      <c r="B4" s="6" t="s">
        <v>1293</v>
      </c>
      <c r="C4" s="6" t="s">
        <v>61</v>
      </c>
      <c r="D4" s="8">
        <v>2100</v>
      </c>
      <c r="E4" s="6">
        <v>35</v>
      </c>
      <c r="F4" s="6" t="s">
        <v>1294</v>
      </c>
      <c r="G4" s="6" t="s">
        <v>1295</v>
      </c>
    </row>
    <row r="5" ht="15" customHeight="1" spans="1:7" x14ac:dyDescent="0.25">
      <c r="A5" s="6" t="s">
        <v>303</v>
      </c>
      <c r="B5" s="6" t="s">
        <v>1296</v>
      </c>
      <c r="C5" s="6" t="s">
        <v>61</v>
      </c>
      <c r="D5" s="6">
        <v>620</v>
      </c>
      <c r="E5" s="6">
        <v>31</v>
      </c>
      <c r="F5" s="6" t="s">
        <v>1297</v>
      </c>
      <c r="G5" s="6" t="s">
        <v>1298</v>
      </c>
    </row>
    <row r="6" ht="15" customHeight="1" spans="1:7" x14ac:dyDescent="0.25">
      <c r="A6" s="6" t="s">
        <v>328</v>
      </c>
      <c r="B6" s="6" t="s">
        <v>1299</v>
      </c>
      <c r="C6" s="6" t="s">
        <v>61</v>
      </c>
      <c r="D6" s="6">
        <v>840</v>
      </c>
      <c r="E6" s="6">
        <v>42</v>
      </c>
      <c r="F6" s="6" t="s">
        <v>1300</v>
      </c>
      <c r="G6" s="6" t="s">
        <v>1301</v>
      </c>
    </row>
    <row r="7" ht="15" customHeight="1" spans="1:7" x14ac:dyDescent="0.25">
      <c r="A7" s="6" t="s">
        <v>1302</v>
      </c>
      <c r="B7" s="6" t="s">
        <v>1303</v>
      </c>
      <c r="C7" s="6" t="s">
        <v>69</v>
      </c>
      <c r="D7" s="8">
        <v>1620</v>
      </c>
      <c r="E7" s="6">
        <v>81</v>
      </c>
      <c r="F7" s="6" t="s">
        <v>1304</v>
      </c>
      <c r="G7" s="6" t="s">
        <v>1305</v>
      </c>
    </row>
    <row r="8" ht="15" customHeight="1" spans="1:7" x14ac:dyDescent="0.25">
      <c r="A8" s="6" t="s">
        <v>1306</v>
      </c>
      <c r="B8" s="6" t="s">
        <v>1307</v>
      </c>
      <c r="C8" s="6" t="s">
        <v>69</v>
      </c>
      <c r="D8" s="8">
        <v>1180</v>
      </c>
      <c r="E8" s="6">
        <v>59</v>
      </c>
      <c r="F8" s="6" t="s">
        <v>1308</v>
      </c>
      <c r="G8" s="6" t="s">
        <v>1309</v>
      </c>
    </row>
    <row r="9" ht="15" customHeight="1" spans="1:7" x14ac:dyDescent="0.25">
      <c r="A9" s="6" t="s">
        <v>1310</v>
      </c>
      <c r="B9" s="6" t="s">
        <v>1311</v>
      </c>
      <c r="C9" s="6" t="s">
        <v>69</v>
      </c>
      <c r="D9" s="8">
        <v>2150</v>
      </c>
      <c r="E9" s="6">
        <v>107</v>
      </c>
      <c r="F9" s="6" t="s">
        <v>1312</v>
      </c>
      <c r="G9" s="6" t="s">
        <v>1313</v>
      </c>
    </row>
    <row r="10" ht="15" customHeight="1" spans="1:7" x14ac:dyDescent="0.25">
      <c r="A10" s="6" t="s">
        <v>1314</v>
      </c>
      <c r="B10" s="6" t="s">
        <v>1315</v>
      </c>
      <c r="C10" s="6" t="s">
        <v>73</v>
      </c>
      <c r="D10" s="6">
        <v>890</v>
      </c>
      <c r="E10" s="6">
        <v>44</v>
      </c>
      <c r="F10" s="6" t="s">
        <v>1316</v>
      </c>
      <c r="G10" s="6" t="s">
        <v>1317</v>
      </c>
    </row>
    <row r="11" ht="15" customHeight="1" spans="1:7" x14ac:dyDescent="0.25">
      <c r="A11" s="6" t="s">
        <v>1318</v>
      </c>
      <c r="B11" s="6" t="s">
        <v>1319</v>
      </c>
      <c r="C11" s="6" t="s">
        <v>73</v>
      </c>
      <c r="D11" s="8">
        <v>1340</v>
      </c>
      <c r="E11" s="6">
        <v>67</v>
      </c>
      <c r="F11" s="6" t="s">
        <v>1320</v>
      </c>
      <c r="G11" s="6" t="s">
        <v>1321</v>
      </c>
    </row>
    <row r="12" ht="15" customHeight="1" spans="1:7" x14ac:dyDescent="0.25">
      <c r="A12" s="6" t="s">
        <v>1322</v>
      </c>
      <c r="B12" s="6" t="s">
        <v>1323</v>
      </c>
      <c r="C12" s="6" t="s">
        <v>73</v>
      </c>
      <c r="D12" s="8">
        <v>1760</v>
      </c>
      <c r="E12" s="6">
        <v>59</v>
      </c>
      <c r="F12" s="6" t="s">
        <v>1324</v>
      </c>
      <c r="G12" s="6" t="s">
        <v>1325</v>
      </c>
    </row>
    <row r="13" ht="15" customHeight="1" spans="1:7" x14ac:dyDescent="0.25">
      <c r="A13" s="6" t="s">
        <v>1326</v>
      </c>
      <c r="B13" s="6" t="s">
        <v>1327</v>
      </c>
      <c r="C13" s="6" t="s">
        <v>79</v>
      </c>
      <c r="D13" s="8">
        <v>3200</v>
      </c>
      <c r="E13" s="6">
        <v>53</v>
      </c>
      <c r="F13" s="6" t="s">
        <v>1328</v>
      </c>
      <c r="G13" s="6" t="s">
        <v>1329</v>
      </c>
    </row>
    <row r="14" ht="15" customHeight="1" spans="1:7" x14ac:dyDescent="0.25">
      <c r="A14" s="6" t="s">
        <v>1330</v>
      </c>
      <c r="B14" s="6" t="s">
        <v>1331</v>
      </c>
      <c r="C14" s="6" t="s">
        <v>79</v>
      </c>
      <c r="D14" s="8">
        <v>1480</v>
      </c>
      <c r="E14" s="6">
        <v>74</v>
      </c>
      <c r="F14" s="6" t="s">
        <v>1304</v>
      </c>
      <c r="G14" s="6" t="s">
        <v>1332</v>
      </c>
    </row>
    <row r="15" ht="15" customHeight="1" spans="1:7" x14ac:dyDescent="0.25">
      <c r="A15" s="6" t="s">
        <v>1333</v>
      </c>
      <c r="B15" s="6" t="s">
        <v>1334</v>
      </c>
      <c r="C15" s="6" t="s">
        <v>85</v>
      </c>
      <c r="D15" s="8">
        <v>2240</v>
      </c>
      <c r="E15" s="6">
        <v>112</v>
      </c>
      <c r="F15" s="6" t="s">
        <v>1335</v>
      </c>
      <c r="G15" s="6" t="s">
        <v>1336</v>
      </c>
    </row>
    <row r="16" ht="15" customHeight="1" spans="1:7" x14ac:dyDescent="0.25">
      <c r="A16" s="6" t="s">
        <v>1337</v>
      </c>
      <c r="B16" s="6" t="s">
        <v>1287</v>
      </c>
      <c r="C16" s="6" t="s">
        <v>85</v>
      </c>
      <c r="D16" s="8">
        <v>2680</v>
      </c>
      <c r="E16" s="6">
        <v>134</v>
      </c>
      <c r="F16" s="6" t="s">
        <v>1288</v>
      </c>
      <c r="G16" s="6" t="s">
        <v>1338</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zoomScale="100" zoomScaleNormal="100" view="normal">
      <pane ySplit="1" topLeftCell="A2" activePane="bottomLeft" state="frozen"/>
      <selection pane="bottomLeft" activeCell="A1" sqref="A1"/>
    </sheetView>
  </sheetViews>
  <sheetFormatPr defaultRowHeight="15" outlineLevelRow="0" outlineLevelCol="0" x14ac:dyDescent="0" defaultColWidth="8.6796875"/>
  <cols>
    <col min="1" max="1" width="12" customWidth="1"/>
    <col min="2" max="2" width="11" customWidth="1"/>
    <col min="3" max="3" width="26" customWidth="1"/>
    <col min="4" max="4" width="12" customWidth="1"/>
    <col min="5" max="5" width="16" customWidth="1"/>
    <col min="6" max="6" width="22" customWidth="1"/>
    <col min="7" max="7" width="17" customWidth="1"/>
    <col min="8" max="8" width="24" customWidth="1"/>
    <col min="9" max="9" width="26" customWidth="1"/>
    <col min="10" max="10" width="14" customWidth="1"/>
  </cols>
  <sheetData>
    <row r="1" ht="30" customHeight="1" spans="1:10" x14ac:dyDescent="0.25">
      <c r="A1" s="5" t="s">
        <v>1339</v>
      </c>
      <c r="B1" s="5" t="s">
        <v>197</v>
      </c>
      <c r="C1" s="5" t="s">
        <v>1340</v>
      </c>
      <c r="D1" s="5" t="s">
        <v>42</v>
      </c>
      <c r="E1" s="5" t="s">
        <v>1341</v>
      </c>
      <c r="F1" s="5" t="s">
        <v>1342</v>
      </c>
      <c r="G1" s="5" t="s">
        <v>1343</v>
      </c>
      <c r="H1" s="5" t="s">
        <v>1344</v>
      </c>
      <c r="I1" s="5" t="s">
        <v>1345</v>
      </c>
      <c r="J1" s="5" t="s">
        <v>1346</v>
      </c>
    </row>
    <row r="2" ht="15" customHeight="1" spans="1:10" x14ac:dyDescent="0.25">
      <c r="A2" s="6" t="s">
        <v>1347</v>
      </c>
      <c r="B2" s="6" t="s">
        <v>202</v>
      </c>
      <c r="C2" s="6" t="s">
        <v>1287</v>
      </c>
      <c r="D2" s="6" t="s">
        <v>61</v>
      </c>
      <c r="E2" s="7">
        <v>99.982</v>
      </c>
      <c r="F2" s="6">
        <v>4</v>
      </c>
      <c r="G2" s="6">
        <v>410</v>
      </c>
      <c r="H2" s="7">
        <v>102.5</v>
      </c>
      <c r="I2" s="6" t="s">
        <v>1348</v>
      </c>
      <c r="J2" s="6" t="s">
        <v>1349</v>
      </c>
    </row>
    <row r="3" ht="15" customHeight="1" spans="1:10" x14ac:dyDescent="0.25">
      <c r="A3" s="6" t="s">
        <v>1350</v>
      </c>
      <c r="B3" s="6" t="s">
        <v>252</v>
      </c>
      <c r="C3" s="6" t="s">
        <v>1290</v>
      </c>
      <c r="D3" s="6" t="s">
        <v>61</v>
      </c>
      <c r="E3" s="7">
        <v>99.995</v>
      </c>
      <c r="F3" s="6">
        <v>2</v>
      </c>
      <c r="G3" s="6">
        <v>680</v>
      </c>
      <c r="H3" s="7">
        <v>340</v>
      </c>
      <c r="I3" s="6" t="s">
        <v>1348</v>
      </c>
      <c r="J3" s="6" t="s">
        <v>1351</v>
      </c>
    </row>
    <row r="4" ht="15" customHeight="1" spans="1:10" x14ac:dyDescent="0.25">
      <c r="A4" s="6" t="s">
        <v>1352</v>
      </c>
      <c r="B4" s="6" t="s">
        <v>449</v>
      </c>
      <c r="C4" s="6" t="s">
        <v>1293</v>
      </c>
      <c r="D4" s="6" t="s">
        <v>61</v>
      </c>
      <c r="E4" s="7">
        <v>99.95</v>
      </c>
      <c r="F4" s="6">
        <v>6</v>
      </c>
      <c r="G4" s="6">
        <v>290</v>
      </c>
      <c r="H4" s="7">
        <v>48.3</v>
      </c>
      <c r="I4" s="6" t="s">
        <v>1348</v>
      </c>
      <c r="J4" s="6" t="s">
        <v>1349</v>
      </c>
    </row>
    <row r="5" ht="15" customHeight="1" spans="1:10" x14ac:dyDescent="0.25">
      <c r="A5" s="6" t="s">
        <v>1353</v>
      </c>
      <c r="B5" s="6" t="s">
        <v>303</v>
      </c>
      <c r="C5" s="6" t="s">
        <v>1296</v>
      </c>
      <c r="D5" s="6" t="s">
        <v>61</v>
      </c>
      <c r="E5" s="7">
        <v>99.995</v>
      </c>
      <c r="F5" s="6">
        <v>2</v>
      </c>
      <c r="G5" s="6">
        <v>520</v>
      </c>
      <c r="H5" s="7">
        <v>260</v>
      </c>
      <c r="I5" s="6" t="s">
        <v>1348</v>
      </c>
      <c r="J5" s="6" t="s">
        <v>1351</v>
      </c>
    </row>
    <row r="6" ht="15" customHeight="1" spans="1:10" x14ac:dyDescent="0.25">
      <c r="A6" s="6" t="s">
        <v>1354</v>
      </c>
      <c r="B6" s="6" t="s">
        <v>328</v>
      </c>
      <c r="C6" s="6" t="s">
        <v>1299</v>
      </c>
      <c r="D6" s="6" t="s">
        <v>61</v>
      </c>
      <c r="E6" s="7">
        <v>99.982</v>
      </c>
      <c r="F6" s="6">
        <v>4</v>
      </c>
      <c r="G6" s="6">
        <v>230</v>
      </c>
      <c r="H6" s="7">
        <v>57.5</v>
      </c>
      <c r="I6" s="6" t="s">
        <v>1348</v>
      </c>
      <c r="J6" s="6" t="s">
        <v>1349</v>
      </c>
    </row>
    <row r="7" ht="15" customHeight="1" spans="1:10" x14ac:dyDescent="0.25">
      <c r="A7" s="6" t="s">
        <v>1355</v>
      </c>
      <c r="B7" s="6" t="s">
        <v>1302</v>
      </c>
      <c r="C7" s="6" t="s">
        <v>1303</v>
      </c>
      <c r="D7" s="6" t="s">
        <v>69</v>
      </c>
      <c r="E7" s="7">
        <v>99.995</v>
      </c>
      <c r="F7" s="6">
        <v>2</v>
      </c>
      <c r="G7" s="6">
        <v>610</v>
      </c>
      <c r="H7" s="7">
        <v>305</v>
      </c>
      <c r="I7" s="6" t="s">
        <v>1348</v>
      </c>
      <c r="J7" s="6" t="s">
        <v>1351</v>
      </c>
    </row>
    <row r="8" ht="15" customHeight="1" spans="1:10" x14ac:dyDescent="0.25">
      <c r="A8" s="6" t="s">
        <v>1356</v>
      </c>
      <c r="B8" s="6" t="s">
        <v>1306</v>
      </c>
      <c r="C8" s="6" t="s">
        <v>1307</v>
      </c>
      <c r="D8" s="6" t="s">
        <v>69</v>
      </c>
      <c r="E8" s="7">
        <v>99.95</v>
      </c>
      <c r="F8" s="6">
        <v>6</v>
      </c>
      <c r="G8" s="6">
        <v>180</v>
      </c>
      <c r="H8" s="7">
        <v>30</v>
      </c>
      <c r="I8" s="6" t="s">
        <v>1348</v>
      </c>
      <c r="J8" s="6" t="s">
        <v>1349</v>
      </c>
    </row>
    <row r="9" ht="15" customHeight="1" spans="1:10" x14ac:dyDescent="0.25">
      <c r="A9" s="6" t="s">
        <v>1357</v>
      </c>
      <c r="B9" s="6" t="s">
        <v>1310</v>
      </c>
      <c r="C9" s="6" t="s">
        <v>1311</v>
      </c>
      <c r="D9" s="6" t="s">
        <v>69</v>
      </c>
      <c r="E9" s="7">
        <v>99.999</v>
      </c>
      <c r="F9" s="6">
        <v>1</v>
      </c>
      <c r="G9" s="6">
        <v>940</v>
      </c>
      <c r="H9" s="7">
        <v>940</v>
      </c>
      <c r="I9" s="6" t="s">
        <v>1348</v>
      </c>
      <c r="J9" s="6" t="s">
        <v>1351</v>
      </c>
    </row>
    <row r="10" ht="15" customHeight="1" spans="1:10" x14ac:dyDescent="0.25">
      <c r="A10" s="6" t="s">
        <v>1358</v>
      </c>
      <c r="B10" s="6" t="s">
        <v>1314</v>
      </c>
      <c r="C10" s="6" t="s">
        <v>1315</v>
      </c>
      <c r="D10" s="6" t="s">
        <v>73</v>
      </c>
      <c r="E10" s="7">
        <v>99.95</v>
      </c>
      <c r="F10" s="6">
        <v>8</v>
      </c>
      <c r="G10" s="6">
        <v>150</v>
      </c>
      <c r="H10" s="7">
        <v>18.8</v>
      </c>
      <c r="I10" s="6" t="s">
        <v>1348</v>
      </c>
      <c r="J10" s="6" t="s">
        <v>1349</v>
      </c>
    </row>
    <row r="11" ht="15" customHeight="1" spans="1:10" x14ac:dyDescent="0.25">
      <c r="A11" s="6" t="s">
        <v>1359</v>
      </c>
      <c r="B11" s="6" t="s">
        <v>1318</v>
      </c>
      <c r="C11" s="6" t="s">
        <v>1319</v>
      </c>
      <c r="D11" s="6" t="s">
        <v>73</v>
      </c>
      <c r="E11" s="7">
        <v>99.982</v>
      </c>
      <c r="F11" s="6">
        <v>4</v>
      </c>
      <c r="G11" s="6">
        <v>260</v>
      </c>
      <c r="H11" s="7">
        <v>65</v>
      </c>
      <c r="I11" s="6" t="s">
        <v>1348</v>
      </c>
      <c r="J11" s="6" t="s">
        <v>1349</v>
      </c>
    </row>
    <row r="12" ht="15" customHeight="1" spans="1:10" x14ac:dyDescent="0.25">
      <c r="A12" s="6" t="s">
        <v>1360</v>
      </c>
      <c r="B12" s="6" t="s">
        <v>1322</v>
      </c>
      <c r="C12" s="6" t="s">
        <v>1323</v>
      </c>
      <c r="D12" s="6" t="s">
        <v>73</v>
      </c>
      <c r="E12" s="7">
        <v>99.99</v>
      </c>
      <c r="F12" s="6">
        <v>3</v>
      </c>
      <c r="G12" s="6">
        <v>340</v>
      </c>
      <c r="H12" s="7">
        <v>113.3</v>
      </c>
      <c r="I12" s="6" t="s">
        <v>1348</v>
      </c>
      <c r="J12" s="6" t="s">
        <v>1351</v>
      </c>
    </row>
    <row r="13" ht="15" customHeight="1" spans="1:10" x14ac:dyDescent="0.25">
      <c r="A13" s="6" t="s">
        <v>1361</v>
      </c>
      <c r="B13" s="6" t="s">
        <v>1326</v>
      </c>
      <c r="C13" s="6" t="s">
        <v>1327</v>
      </c>
      <c r="D13" s="6" t="s">
        <v>79</v>
      </c>
      <c r="E13" s="7">
        <v>99.95</v>
      </c>
      <c r="F13" s="6">
        <v>6</v>
      </c>
      <c r="G13" s="6">
        <v>380</v>
      </c>
      <c r="H13" s="7">
        <v>63.3</v>
      </c>
      <c r="I13" s="6" t="s">
        <v>1348</v>
      </c>
      <c r="J13" s="6" t="s">
        <v>1349</v>
      </c>
    </row>
    <row r="14" ht="15" customHeight="1" spans="1:10" x14ac:dyDescent="0.25">
      <c r="A14" s="6" t="s">
        <v>1362</v>
      </c>
      <c r="B14" s="6" t="s">
        <v>1330</v>
      </c>
      <c r="C14" s="6" t="s">
        <v>1331</v>
      </c>
      <c r="D14" s="6" t="s">
        <v>79</v>
      </c>
      <c r="E14" s="7">
        <v>99.995</v>
      </c>
      <c r="F14" s="6">
        <v>2</v>
      </c>
      <c r="G14" s="6">
        <v>610</v>
      </c>
      <c r="H14" s="7">
        <v>305</v>
      </c>
      <c r="I14" s="6" t="s">
        <v>1348</v>
      </c>
      <c r="J14" s="6" t="s">
        <v>1351</v>
      </c>
    </row>
    <row r="15" ht="15" customHeight="1" spans="1:10" x14ac:dyDescent="0.25">
      <c r="A15" s="6" t="s">
        <v>1363</v>
      </c>
      <c r="B15" s="6" t="s">
        <v>1333</v>
      </c>
      <c r="C15" s="6" t="s">
        <v>1334</v>
      </c>
      <c r="D15" s="6" t="s">
        <v>85</v>
      </c>
      <c r="E15" s="7">
        <v>99.99</v>
      </c>
      <c r="F15" s="6">
        <v>3</v>
      </c>
      <c r="G15" s="6">
        <v>720</v>
      </c>
      <c r="H15" s="7">
        <v>240</v>
      </c>
      <c r="I15" s="6" t="s">
        <v>1348</v>
      </c>
      <c r="J15" s="6" t="s">
        <v>1351</v>
      </c>
    </row>
    <row r="16" ht="15" customHeight="1" spans="1:10" x14ac:dyDescent="0.25">
      <c r="A16" s="6" t="s">
        <v>1364</v>
      </c>
      <c r="B16" s="6" t="s">
        <v>1337</v>
      </c>
      <c r="C16" s="6" t="s">
        <v>1287</v>
      </c>
      <c r="D16" s="6" t="s">
        <v>85</v>
      </c>
      <c r="E16" s="7">
        <v>99.982</v>
      </c>
      <c r="F16" s="6">
        <v>4</v>
      </c>
      <c r="G16" s="6">
        <v>410</v>
      </c>
      <c r="H16" s="7">
        <v>102.5</v>
      </c>
      <c r="I16" s="6" t="s">
        <v>1348</v>
      </c>
      <c r="J16" s="6" t="s">
        <v>1349</v>
      </c>
    </row>
    <row r="18" ht="15" customHeight="1" spans="1:1" x14ac:dyDescent="0.25">
      <c r="A18" s="9" t="s">
        <v>1365</v>
      </c>
    </row>
    <row r="19" ht="15" customHeight="1" spans="1:1" x14ac:dyDescent="0.25">
      <c r="A19" s="9" t="s">
        <v>1366</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
  <sheetViews>
    <sheetView workbookViewId="0" zoomScale="100" zoomScaleNormal="100" view="normal">
      <pane ySplit="1" topLeftCell="A2" activePane="bottomLeft" state="frozen"/>
      <selection pane="bottomLeft" activeCell="A1" sqref="A1"/>
    </sheetView>
  </sheetViews>
  <sheetFormatPr defaultRowHeight="15" outlineLevelRow="0" outlineLevelCol="0" x14ac:dyDescent="0" defaultColWidth="8.6796875"/>
  <cols>
    <col min="1" max="1" width="16" customWidth="1"/>
    <col min="2" max="2" width="11" customWidth="1"/>
    <col min="3" max="3" width="14" customWidth="1"/>
    <col min="4" max="4" width="10" customWidth="1"/>
    <col min="5" max="6" width="19" customWidth="1"/>
    <col min="7" max="7" width="50" customWidth="1"/>
    <col min="8" max="8" width="44" customWidth="1"/>
    <col min="9" max="9" width="13" customWidth="1"/>
    <col min="10" max="10" width="16" customWidth="1"/>
    <col min="11" max="11" width="14" customWidth="1"/>
    <col min="12" max="12" width="56" customWidth="1"/>
  </cols>
  <sheetData>
    <row r="1" ht="30" customHeight="1" spans="1:12" x14ac:dyDescent="0.25">
      <c r="A1" s="5" t="s">
        <v>1367</v>
      </c>
      <c r="B1" s="5" t="s">
        <v>42</v>
      </c>
      <c r="C1" s="5" t="s">
        <v>788</v>
      </c>
      <c r="D1" s="5" t="s">
        <v>1368</v>
      </c>
      <c r="E1" s="5" t="s">
        <v>1369</v>
      </c>
      <c r="F1" s="5" t="s">
        <v>1370</v>
      </c>
      <c r="G1" s="5" t="s">
        <v>1247</v>
      </c>
      <c r="H1" s="5" t="s">
        <v>1371</v>
      </c>
      <c r="I1" s="5" t="s">
        <v>1372</v>
      </c>
      <c r="J1" s="5" t="s">
        <v>1373</v>
      </c>
      <c r="K1" s="5" t="s">
        <v>1249</v>
      </c>
      <c r="L1" s="5" t="s">
        <v>107</v>
      </c>
    </row>
    <row r="2" ht="15" customHeight="1" spans="1:12" x14ac:dyDescent="0.25">
      <c r="A2" s="6" t="s">
        <v>1374</v>
      </c>
      <c r="B2" s="6" t="s">
        <v>61</v>
      </c>
      <c r="C2" s="6" t="s">
        <v>830</v>
      </c>
      <c r="D2" s="6" t="s">
        <v>1375</v>
      </c>
      <c r="E2" s="6" t="s">
        <v>1376</v>
      </c>
      <c r="F2" s="6" t="s">
        <v>1377</v>
      </c>
      <c r="G2" s="6" t="s">
        <v>1378</v>
      </c>
      <c r="H2" s="6" t="s">
        <v>1379</v>
      </c>
      <c r="I2" s="6">
        <v>383</v>
      </c>
      <c r="J2" s="6">
        <v>2</v>
      </c>
      <c r="K2" s="7">
        <v>18</v>
      </c>
      <c r="L2" s="6" t="s">
        <v>1380</v>
      </c>
    </row>
    <row r="3" ht="15" customHeight="1" spans="1:12" x14ac:dyDescent="0.25">
      <c r="A3" s="6" t="s">
        <v>1381</v>
      </c>
      <c r="B3" s="6" t="s">
        <v>1382</v>
      </c>
      <c r="C3" s="6" t="s">
        <v>833</v>
      </c>
      <c r="D3" s="6" t="s">
        <v>1375</v>
      </c>
      <c r="E3" s="6" t="s">
        <v>1383</v>
      </c>
      <c r="F3" s="6" t="s">
        <v>1384</v>
      </c>
      <c r="G3" s="6" t="s">
        <v>1385</v>
      </c>
      <c r="H3" s="6" t="s">
        <v>1386</v>
      </c>
      <c r="I3" s="6">
        <v>260</v>
      </c>
      <c r="J3" s="6">
        <v>1</v>
      </c>
      <c r="K3" s="7">
        <v>12.5</v>
      </c>
      <c r="L3" s="6" t="s">
        <v>1387</v>
      </c>
    </row>
    <row r="4" ht="15" customHeight="1" spans="1:12" x14ac:dyDescent="0.25">
      <c r="A4" s="6" t="s">
        <v>1388</v>
      </c>
      <c r="B4" s="6" t="s">
        <v>85</v>
      </c>
      <c r="C4" s="6" t="s">
        <v>830</v>
      </c>
      <c r="D4" s="6" t="s">
        <v>1389</v>
      </c>
      <c r="E4" s="6" t="s">
        <v>1390</v>
      </c>
      <c r="F4" s="6" t="s">
        <v>1391</v>
      </c>
      <c r="G4" s="6" t="s">
        <v>1392</v>
      </c>
      <c r="H4" s="6" t="s">
        <v>1386</v>
      </c>
      <c r="I4" s="6">
        <v>255</v>
      </c>
      <c r="J4" s="6">
        <v>2</v>
      </c>
      <c r="K4" s="7">
        <v>9.2</v>
      </c>
      <c r="L4" s="6" t="s">
        <v>1393</v>
      </c>
    </row>
    <row r="5" ht="15" customHeight="1" spans="1:12" x14ac:dyDescent="0.25">
      <c r="A5" s="6" t="s">
        <v>1394</v>
      </c>
      <c r="B5" s="6" t="s">
        <v>61</v>
      </c>
      <c r="C5" s="6" t="s">
        <v>451</v>
      </c>
      <c r="D5" s="6" t="s">
        <v>1389</v>
      </c>
      <c r="E5" s="6" t="s">
        <v>1395</v>
      </c>
      <c r="F5" s="6" t="s">
        <v>1396</v>
      </c>
      <c r="G5" s="6" t="s">
        <v>1397</v>
      </c>
      <c r="H5" s="6" t="s">
        <v>1398</v>
      </c>
      <c r="I5" s="6">
        <v>164</v>
      </c>
      <c r="J5" s="6">
        <v>0</v>
      </c>
      <c r="K5" s="7">
        <v>4.1</v>
      </c>
      <c r="L5" s="6"/>
    </row>
    <row r="6" ht="15" customHeight="1" spans="1:12" x14ac:dyDescent="0.25">
      <c r="A6" s="6" t="s">
        <v>1399</v>
      </c>
      <c r="B6" s="6" t="s">
        <v>73</v>
      </c>
      <c r="C6" s="6" t="s">
        <v>976</v>
      </c>
      <c r="D6" s="6" t="s">
        <v>1389</v>
      </c>
      <c r="E6" s="6" t="s">
        <v>1400</v>
      </c>
      <c r="F6" s="6" t="s">
        <v>1401</v>
      </c>
      <c r="G6" s="6" t="s">
        <v>1402</v>
      </c>
      <c r="H6" s="6" t="s">
        <v>1403</v>
      </c>
      <c r="I6" s="6">
        <v>400</v>
      </c>
      <c r="J6" s="6">
        <v>1</v>
      </c>
      <c r="K6" s="7">
        <v>7.8</v>
      </c>
      <c r="L6" s="6"/>
    </row>
    <row r="7" ht="15" customHeight="1" spans="1:12" x14ac:dyDescent="0.25">
      <c r="A7" s="6" t="s">
        <v>1404</v>
      </c>
      <c r="B7" s="6" t="s">
        <v>69</v>
      </c>
      <c r="C7" s="6" t="s">
        <v>850</v>
      </c>
      <c r="D7" s="6" t="s">
        <v>1405</v>
      </c>
      <c r="E7" s="6" t="s">
        <v>1406</v>
      </c>
      <c r="F7" s="6" t="s">
        <v>1407</v>
      </c>
      <c r="G7" s="6" t="s">
        <v>1408</v>
      </c>
      <c r="H7" s="6" t="s">
        <v>1409</v>
      </c>
      <c r="I7" s="6">
        <v>105</v>
      </c>
      <c r="J7" s="6">
        <v>0</v>
      </c>
      <c r="K7" s="7">
        <v>2.3</v>
      </c>
      <c r="L7" s="6"/>
    </row>
    <row r="8" ht="15" customHeight="1" spans="1:12" x14ac:dyDescent="0.25">
      <c r="A8" s="6" t="s">
        <v>1410</v>
      </c>
      <c r="B8" s="6" t="s">
        <v>85</v>
      </c>
      <c r="C8" s="6" t="s">
        <v>817</v>
      </c>
      <c r="D8" s="6" t="s">
        <v>1405</v>
      </c>
      <c r="E8" s="6" t="s">
        <v>1411</v>
      </c>
      <c r="F8" s="6" t="s">
        <v>1412</v>
      </c>
      <c r="G8" s="6" t="s">
        <v>1413</v>
      </c>
      <c r="H8" s="6" t="s">
        <v>1414</v>
      </c>
      <c r="I8" s="6">
        <v>165</v>
      </c>
      <c r="J8" s="6">
        <v>0</v>
      </c>
      <c r="K8" s="7">
        <v>3.4</v>
      </c>
      <c r="L8" s="6"/>
    </row>
    <row r="9" ht="15" customHeight="1" spans="1:12" x14ac:dyDescent="0.25">
      <c r="A9" s="6" t="s">
        <v>1415</v>
      </c>
      <c r="B9" s="6" t="s">
        <v>73</v>
      </c>
      <c r="C9" s="6" t="s">
        <v>974</v>
      </c>
      <c r="D9" s="6" t="s">
        <v>1405</v>
      </c>
      <c r="E9" s="6" t="s">
        <v>1416</v>
      </c>
      <c r="F9" s="6" t="s">
        <v>1417</v>
      </c>
      <c r="G9" s="6" t="s">
        <v>1418</v>
      </c>
      <c r="H9" s="6" t="s">
        <v>1419</v>
      </c>
      <c r="I9" s="6">
        <v>153</v>
      </c>
      <c r="J9" s="6">
        <v>0</v>
      </c>
      <c r="K9" s="7">
        <v>2.9</v>
      </c>
      <c r="L9" s="6" t="s">
        <v>1420</v>
      </c>
    </row>
    <row r="10" spans="1:12" x14ac:dyDescent="0.25">
      <c r="A10" s="6" t="s">
        <v>1421</v>
      </c>
      <c r="B10" s="6" t="s">
        <v>69</v>
      </c>
      <c r="C10" s="6" t="s">
        <v>1422</v>
      </c>
      <c r="D10" s="6" t="s">
        <v>1375</v>
      </c>
      <c r="E10" s="6" t="s">
        <v>1423</v>
      </c>
      <c r="F10" s="6" t="s">
        <v>1424</v>
      </c>
      <c r="G10" s="6" t="s">
        <v>1425</v>
      </c>
      <c r="H10" s="6" t="s">
        <v>1426</v>
      </c>
      <c r="I10" s="8">
        <v>412</v>
      </c>
      <c r="J10" s="8">
        <v>3</v>
      </c>
      <c r="K10" s="10">
        <v>41.5</v>
      </c>
      <c r="L10" s="6" t="s">
        <v>1427</v>
      </c>
    </row>
    <row r="12" ht="15" customHeight="1" spans="1:2" x14ac:dyDescent="0.25">
      <c r="A12" s="9" t="s">
        <v>1428</v>
      </c>
    </row>
    <row r="13" ht="15" customHeight="1" spans="1:2" x14ac:dyDescent="0.25">
      <c r="A13" s="9" t="s">
        <v>1429</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2"/>
  <sheetViews>
    <sheetView workbookViewId="0" zoomScale="100" zoomScaleNormal="100" view="normal">
      <pane ySplit="1" topLeftCell="A2" activePane="bottomLeft" state="frozen"/>
      <selection pane="bottomLeft" activeCell="A1" sqref="A1"/>
    </sheetView>
  </sheetViews>
  <sheetFormatPr defaultRowHeight="15" outlineLevelRow="0" outlineLevelCol="0" x14ac:dyDescent="0" defaultColWidth="8.6796875"/>
  <cols>
    <col min="1" max="1" width="18" customWidth="1"/>
    <col min="2" max="2" width="11" customWidth="1"/>
    <col min="3" max="3" width="14" customWidth="1"/>
    <col min="4" max="5" width="17" customWidth="1"/>
    <col min="6" max="6" width="13" customWidth="1"/>
    <col min="7" max="7" width="24" customWidth="1"/>
    <col min="8" max="8" width="21" customWidth="1"/>
    <col min="9" max="9" width="12" customWidth="1"/>
    <col min="10" max="10" width="34" customWidth="1"/>
  </cols>
  <sheetData>
    <row r="1" ht="30" customHeight="1" spans="1:10" x14ac:dyDescent="0.25">
      <c r="A1" s="5" t="s">
        <v>1430</v>
      </c>
      <c r="B1" s="5" t="s">
        <v>42</v>
      </c>
      <c r="C1" s="5" t="s">
        <v>788</v>
      </c>
      <c r="D1" s="5" t="s">
        <v>1431</v>
      </c>
      <c r="E1" s="5" t="s">
        <v>1432</v>
      </c>
      <c r="F1" s="5" t="s">
        <v>1433</v>
      </c>
      <c r="G1" s="5" t="s">
        <v>1434</v>
      </c>
      <c r="H1" s="5" t="s">
        <v>1435</v>
      </c>
      <c r="I1" s="5" t="s">
        <v>45</v>
      </c>
      <c r="J1" s="5" t="s">
        <v>1436</v>
      </c>
    </row>
    <row r="2" ht="15" customHeight="1" spans="1:10" x14ac:dyDescent="0.25">
      <c r="A2" s="6" t="s">
        <v>1437</v>
      </c>
      <c r="B2" s="6" t="s">
        <v>61</v>
      </c>
      <c r="C2" s="6" t="s">
        <v>830</v>
      </c>
      <c r="D2" s="6" t="s">
        <v>1438</v>
      </c>
      <c r="E2" s="7">
        <v>437</v>
      </c>
      <c r="F2" s="7">
        <v>24.6</v>
      </c>
      <c r="G2" s="7">
        <v>4.117</v>
      </c>
      <c r="H2" s="7">
        <v>94</v>
      </c>
      <c r="I2" s="6" t="s">
        <v>1439</v>
      </c>
      <c r="J2" s="6"/>
    </row>
    <row r="3" ht="15" customHeight="1" spans="1:10" x14ac:dyDescent="0.25">
      <c r="A3" s="6" t="s">
        <v>1440</v>
      </c>
      <c r="B3" s="6" t="s">
        <v>61</v>
      </c>
      <c r="C3" s="6" t="s">
        <v>830</v>
      </c>
      <c r="D3" s="6" t="s">
        <v>1438</v>
      </c>
      <c r="E3" s="7">
        <v>437</v>
      </c>
      <c r="F3" s="7">
        <v>24.67</v>
      </c>
      <c r="G3" s="7">
        <v>4.089</v>
      </c>
      <c r="H3" s="7">
        <v>94</v>
      </c>
      <c r="I3" s="6" t="s">
        <v>1439</v>
      </c>
      <c r="J3" s="6"/>
    </row>
    <row r="4" ht="15" customHeight="1" spans="1:10" x14ac:dyDescent="0.25">
      <c r="A4" s="6" t="s">
        <v>1441</v>
      </c>
      <c r="B4" s="6" t="s">
        <v>61</v>
      </c>
      <c r="C4" s="6" t="s">
        <v>830</v>
      </c>
      <c r="D4" s="6" t="s">
        <v>1438</v>
      </c>
      <c r="E4" s="7">
        <v>437.06</v>
      </c>
      <c r="F4" s="7">
        <v>24.63</v>
      </c>
      <c r="G4" s="7">
        <v>4.114</v>
      </c>
      <c r="H4" s="7">
        <v>94</v>
      </c>
      <c r="I4" s="6" t="s">
        <v>1439</v>
      </c>
      <c r="J4" s="6"/>
    </row>
    <row r="5" ht="15" customHeight="1" spans="1:10" x14ac:dyDescent="0.25">
      <c r="A5" s="6" t="s">
        <v>1442</v>
      </c>
      <c r="B5" s="6" t="s">
        <v>61</v>
      </c>
      <c r="C5" s="6" t="s">
        <v>830</v>
      </c>
      <c r="D5" s="6" t="s">
        <v>1438</v>
      </c>
      <c r="E5" s="7">
        <v>437.13</v>
      </c>
      <c r="F5" s="7">
        <v>24.26</v>
      </c>
      <c r="G5" s="7">
        <v>4.089</v>
      </c>
      <c r="H5" s="7">
        <v>94</v>
      </c>
      <c r="I5" s="6" t="s">
        <v>1439</v>
      </c>
      <c r="J5" s="6"/>
    </row>
    <row r="6" ht="15" customHeight="1" spans="1:10" x14ac:dyDescent="0.25">
      <c r="A6" s="6" t="s">
        <v>1443</v>
      </c>
      <c r="B6" s="6" t="s">
        <v>61</v>
      </c>
      <c r="C6" s="6" t="s">
        <v>830</v>
      </c>
      <c r="D6" s="6" t="s">
        <v>1438</v>
      </c>
      <c r="E6" s="7">
        <v>436.79</v>
      </c>
      <c r="F6" s="7">
        <v>24.35</v>
      </c>
      <c r="G6" s="7">
        <v>4.103</v>
      </c>
      <c r="H6" s="7">
        <v>94</v>
      </c>
      <c r="I6" s="6" t="s">
        <v>1439</v>
      </c>
      <c r="J6" s="6"/>
    </row>
    <row r="7" ht="15" customHeight="1" spans="1:10" x14ac:dyDescent="0.25">
      <c r="A7" s="6" t="s">
        <v>1444</v>
      </c>
      <c r="B7" s="6" t="s">
        <v>61</v>
      </c>
      <c r="C7" s="6" t="s">
        <v>830</v>
      </c>
      <c r="D7" s="6" t="s">
        <v>1438</v>
      </c>
      <c r="E7" s="7">
        <v>436.93</v>
      </c>
      <c r="F7" s="7">
        <v>24.33</v>
      </c>
      <c r="G7" s="7">
        <v>4.083</v>
      </c>
      <c r="H7" s="7">
        <v>94</v>
      </c>
      <c r="I7" s="6" t="s">
        <v>1439</v>
      </c>
      <c r="J7" s="6"/>
    </row>
    <row r="8" ht="15" customHeight="1" spans="1:10" x14ac:dyDescent="0.25">
      <c r="A8" s="6" t="s">
        <v>1445</v>
      </c>
      <c r="B8" s="6" t="s">
        <v>61</v>
      </c>
      <c r="C8" s="6" t="s">
        <v>830</v>
      </c>
      <c r="D8" s="6" t="s">
        <v>1438</v>
      </c>
      <c r="E8" s="7">
        <v>437</v>
      </c>
      <c r="F8" s="7">
        <v>24.33</v>
      </c>
      <c r="G8" s="7">
        <v>4.087</v>
      </c>
      <c r="H8" s="7">
        <v>94</v>
      </c>
      <c r="I8" s="6" t="s">
        <v>1439</v>
      </c>
      <c r="J8" s="6"/>
    </row>
    <row r="9" ht="15" customHeight="1" spans="1:10" x14ac:dyDescent="0.25">
      <c r="A9" s="6" t="s">
        <v>1446</v>
      </c>
      <c r="B9" s="6" t="s">
        <v>61</v>
      </c>
      <c r="C9" s="6" t="s">
        <v>830</v>
      </c>
      <c r="D9" s="6" t="s">
        <v>1438</v>
      </c>
      <c r="E9" s="7">
        <v>437.12</v>
      </c>
      <c r="F9" s="7">
        <v>24.47</v>
      </c>
      <c r="G9" s="7">
        <v>4.081</v>
      </c>
      <c r="H9" s="7">
        <v>94</v>
      </c>
      <c r="I9" s="6" t="s">
        <v>1439</v>
      </c>
      <c r="J9" s="6"/>
    </row>
    <row r="10" ht="15" customHeight="1" spans="1:10" x14ac:dyDescent="0.25">
      <c r="A10" s="6" t="s">
        <v>1447</v>
      </c>
      <c r="B10" s="6" t="s">
        <v>61</v>
      </c>
      <c r="C10" s="6" t="s">
        <v>830</v>
      </c>
      <c r="D10" s="6" t="s">
        <v>1438</v>
      </c>
      <c r="E10" s="7">
        <v>436.8</v>
      </c>
      <c r="F10" s="7">
        <v>24.46</v>
      </c>
      <c r="G10" s="7">
        <v>4.087</v>
      </c>
      <c r="H10" s="7">
        <v>94</v>
      </c>
      <c r="I10" s="6" t="s">
        <v>1439</v>
      </c>
      <c r="J10" s="6"/>
    </row>
    <row r="11" ht="15" customHeight="1" spans="1:10" x14ac:dyDescent="0.25">
      <c r="A11" s="6" t="s">
        <v>1448</v>
      </c>
      <c r="B11" s="6" t="s">
        <v>61</v>
      </c>
      <c r="C11" s="6" t="s">
        <v>830</v>
      </c>
      <c r="D11" s="6" t="s">
        <v>1438</v>
      </c>
      <c r="E11" s="7">
        <v>436.89</v>
      </c>
      <c r="F11" s="7">
        <v>24.43</v>
      </c>
      <c r="G11" s="7">
        <v>4.089</v>
      </c>
      <c r="H11" s="7">
        <v>94</v>
      </c>
      <c r="I11" s="6" t="s">
        <v>1439</v>
      </c>
      <c r="J11" s="6"/>
    </row>
    <row r="12" ht="15" customHeight="1" spans="1:10" x14ac:dyDescent="0.25">
      <c r="A12" s="6" t="s">
        <v>1449</v>
      </c>
      <c r="B12" s="6" t="s">
        <v>61</v>
      </c>
      <c r="C12" s="6" t="s">
        <v>830</v>
      </c>
      <c r="D12" s="6" t="s">
        <v>1438</v>
      </c>
      <c r="E12" s="7">
        <v>437.21</v>
      </c>
      <c r="F12" s="7">
        <v>24.34</v>
      </c>
      <c r="G12" s="7">
        <v>4.1</v>
      </c>
      <c r="H12" s="7">
        <v>94</v>
      </c>
      <c r="I12" s="6" t="s">
        <v>1439</v>
      </c>
      <c r="J12" s="6"/>
    </row>
    <row r="13" ht="15" customHeight="1" spans="1:10" x14ac:dyDescent="0.25">
      <c r="A13" s="6" t="s">
        <v>1450</v>
      </c>
      <c r="B13" s="6" t="s">
        <v>61</v>
      </c>
      <c r="C13" s="6" t="s">
        <v>830</v>
      </c>
      <c r="D13" s="6" t="s">
        <v>1438</v>
      </c>
      <c r="E13" s="7">
        <v>437</v>
      </c>
      <c r="F13" s="7">
        <v>24.58</v>
      </c>
      <c r="G13" s="7">
        <v>4.09</v>
      </c>
      <c r="H13" s="7">
        <v>94</v>
      </c>
      <c r="I13" s="6" t="s">
        <v>1439</v>
      </c>
      <c r="J13" s="6"/>
    </row>
    <row r="14" ht="15" customHeight="1" spans="1:10" x14ac:dyDescent="0.25">
      <c r="A14" s="6" t="s">
        <v>1451</v>
      </c>
      <c r="B14" s="6" t="s">
        <v>61</v>
      </c>
      <c r="C14" s="6" t="s">
        <v>830</v>
      </c>
      <c r="D14" s="6" t="s">
        <v>1438</v>
      </c>
      <c r="E14" s="7">
        <v>436.85</v>
      </c>
      <c r="F14" s="7">
        <v>24.26</v>
      </c>
      <c r="G14" s="7">
        <v>4.117</v>
      </c>
      <c r="H14" s="7">
        <v>94</v>
      </c>
      <c r="I14" s="6" t="s">
        <v>1439</v>
      </c>
      <c r="J14" s="6"/>
    </row>
    <row r="15" ht="15" customHeight="1" spans="1:10" x14ac:dyDescent="0.25">
      <c r="A15" s="6" t="s">
        <v>1452</v>
      </c>
      <c r="B15" s="6" t="s">
        <v>61</v>
      </c>
      <c r="C15" s="6" t="s">
        <v>830</v>
      </c>
      <c r="D15" s="6" t="s">
        <v>1438</v>
      </c>
      <c r="E15" s="7">
        <v>437.22</v>
      </c>
      <c r="F15" s="7">
        <v>24.5</v>
      </c>
      <c r="G15" s="7">
        <v>4.111</v>
      </c>
      <c r="H15" s="7">
        <v>94</v>
      </c>
      <c r="I15" s="6" t="s">
        <v>1439</v>
      </c>
      <c r="J15" s="6"/>
    </row>
    <row r="16" ht="15" customHeight="1" spans="1:10" x14ac:dyDescent="0.25">
      <c r="A16" s="6" t="s">
        <v>1453</v>
      </c>
      <c r="B16" s="6" t="s">
        <v>61</v>
      </c>
      <c r="C16" s="6" t="s">
        <v>830</v>
      </c>
      <c r="D16" s="6" t="s">
        <v>1438</v>
      </c>
      <c r="E16" s="7">
        <v>437.22</v>
      </c>
      <c r="F16" s="7">
        <v>24.22</v>
      </c>
      <c r="G16" s="7">
        <v>4.109</v>
      </c>
      <c r="H16" s="7">
        <v>94</v>
      </c>
      <c r="I16" s="6" t="s">
        <v>1439</v>
      </c>
      <c r="J16" s="6"/>
    </row>
    <row r="17" ht="15" customHeight="1" spans="1:10" x14ac:dyDescent="0.25">
      <c r="A17" s="6" t="s">
        <v>1454</v>
      </c>
      <c r="B17" s="6" t="s">
        <v>61</v>
      </c>
      <c r="C17" s="6" t="s">
        <v>830</v>
      </c>
      <c r="D17" s="6" t="s">
        <v>1438</v>
      </c>
      <c r="E17" s="7">
        <v>437.05</v>
      </c>
      <c r="F17" s="7">
        <v>24.41</v>
      </c>
      <c r="G17" s="7">
        <v>4.085</v>
      </c>
      <c r="H17" s="7">
        <v>94</v>
      </c>
      <c r="I17" s="6" t="s">
        <v>1439</v>
      </c>
      <c r="J17" s="6"/>
    </row>
    <row r="18" ht="15" customHeight="1" spans="1:10" x14ac:dyDescent="0.25">
      <c r="A18" s="6" t="s">
        <v>1455</v>
      </c>
      <c r="B18" s="6" t="s">
        <v>61</v>
      </c>
      <c r="C18" s="6" t="s">
        <v>830</v>
      </c>
      <c r="D18" s="6" t="s">
        <v>1438</v>
      </c>
      <c r="E18" s="7">
        <v>437.1</v>
      </c>
      <c r="F18" s="7">
        <v>24.4</v>
      </c>
      <c r="G18" s="7">
        <v>4.082</v>
      </c>
      <c r="H18" s="7">
        <v>94</v>
      </c>
      <c r="I18" s="6" t="s">
        <v>1439</v>
      </c>
      <c r="J18" s="6"/>
    </row>
    <row r="19" ht="15" customHeight="1" spans="1:10" x14ac:dyDescent="0.25">
      <c r="A19" s="6" t="s">
        <v>1456</v>
      </c>
      <c r="B19" s="6" t="s">
        <v>61</v>
      </c>
      <c r="C19" s="6" t="s">
        <v>830</v>
      </c>
      <c r="D19" s="6" t="s">
        <v>1438</v>
      </c>
      <c r="E19" s="7">
        <v>436.9</v>
      </c>
      <c r="F19" s="7">
        <v>24.31</v>
      </c>
      <c r="G19" s="7">
        <v>4.1</v>
      </c>
      <c r="H19" s="7">
        <v>94</v>
      </c>
      <c r="I19" s="6" t="s">
        <v>1439</v>
      </c>
      <c r="J19" s="6"/>
    </row>
    <row r="20" ht="15" customHeight="1" spans="1:10" x14ac:dyDescent="0.25">
      <c r="A20" s="6" t="s">
        <v>1457</v>
      </c>
      <c r="B20" s="6" t="s">
        <v>61</v>
      </c>
      <c r="C20" s="6" t="s">
        <v>830</v>
      </c>
      <c r="D20" s="6" t="s">
        <v>1438</v>
      </c>
      <c r="E20" s="7">
        <v>436.83</v>
      </c>
      <c r="F20" s="7">
        <v>24.74</v>
      </c>
      <c r="G20" s="7">
        <v>4.085</v>
      </c>
      <c r="H20" s="7">
        <v>94</v>
      </c>
      <c r="I20" s="6" t="s">
        <v>1439</v>
      </c>
      <c r="J20" s="6"/>
    </row>
    <row r="21" ht="15" customHeight="1" spans="1:10" x14ac:dyDescent="0.25">
      <c r="A21" s="6" t="s">
        <v>1458</v>
      </c>
      <c r="B21" s="6" t="s">
        <v>61</v>
      </c>
      <c r="C21" s="6" t="s">
        <v>830</v>
      </c>
      <c r="D21" s="6" t="s">
        <v>1438</v>
      </c>
      <c r="E21" s="7">
        <v>436.81</v>
      </c>
      <c r="F21" s="7">
        <v>24.22</v>
      </c>
      <c r="G21" s="7">
        <v>4.084</v>
      </c>
      <c r="H21" s="7">
        <v>94</v>
      </c>
      <c r="I21" s="6" t="s">
        <v>1439</v>
      </c>
      <c r="J21" s="6"/>
    </row>
    <row r="22" ht="15" customHeight="1" spans="1:10" x14ac:dyDescent="0.25">
      <c r="A22" s="6" t="s">
        <v>1459</v>
      </c>
      <c r="B22" s="6" t="s">
        <v>61</v>
      </c>
      <c r="C22" s="6" t="s">
        <v>830</v>
      </c>
      <c r="D22" s="6" t="s">
        <v>1438</v>
      </c>
      <c r="E22" s="7">
        <v>437.07</v>
      </c>
      <c r="F22" s="7">
        <v>24.49</v>
      </c>
      <c r="G22" s="7">
        <v>4.086</v>
      </c>
      <c r="H22" s="7">
        <v>94</v>
      </c>
      <c r="I22" s="6" t="s">
        <v>1460</v>
      </c>
      <c r="J22" s="6" t="s">
        <v>1461</v>
      </c>
    </row>
    <row r="23" ht="15" customHeight="1" spans="1:10" x14ac:dyDescent="0.25">
      <c r="A23" s="6" t="s">
        <v>1462</v>
      </c>
      <c r="B23" s="6" t="s">
        <v>61</v>
      </c>
      <c r="C23" s="6" t="s">
        <v>830</v>
      </c>
      <c r="D23" s="6" t="s">
        <v>1438</v>
      </c>
      <c r="E23" s="7">
        <v>436.69</v>
      </c>
      <c r="F23" s="7">
        <v>24.49</v>
      </c>
      <c r="G23" s="7">
        <v>4.133</v>
      </c>
      <c r="H23" s="7">
        <v>93.8</v>
      </c>
      <c r="I23" s="6" t="s">
        <v>1460</v>
      </c>
      <c r="J23" s="6"/>
    </row>
    <row r="24" ht="15" customHeight="1" spans="1:10" x14ac:dyDescent="0.25">
      <c r="A24" s="6" t="s">
        <v>1463</v>
      </c>
      <c r="B24" s="6" t="s">
        <v>61</v>
      </c>
      <c r="C24" s="6" t="s">
        <v>830</v>
      </c>
      <c r="D24" s="6" t="s">
        <v>1438</v>
      </c>
      <c r="E24" s="7">
        <v>436.46</v>
      </c>
      <c r="F24" s="7">
        <v>25.21</v>
      </c>
      <c r="G24" s="7">
        <v>4.138</v>
      </c>
      <c r="H24" s="7">
        <v>93.61</v>
      </c>
      <c r="I24" s="6" t="s">
        <v>1460</v>
      </c>
      <c r="J24" s="6"/>
    </row>
    <row r="25" ht="15" customHeight="1" spans="1:10" x14ac:dyDescent="0.25">
      <c r="A25" s="6" t="s">
        <v>1464</v>
      </c>
      <c r="B25" s="6" t="s">
        <v>61</v>
      </c>
      <c r="C25" s="6" t="s">
        <v>830</v>
      </c>
      <c r="D25" s="6" t="s">
        <v>1438</v>
      </c>
      <c r="E25" s="7">
        <v>436.22</v>
      </c>
      <c r="F25" s="7">
        <v>25.21</v>
      </c>
      <c r="G25" s="7">
        <v>4.163</v>
      </c>
      <c r="H25" s="7">
        <v>93.41</v>
      </c>
      <c r="I25" s="6" t="s">
        <v>1460</v>
      </c>
      <c r="J25" s="6"/>
    </row>
    <row r="26" ht="15" customHeight="1" spans="1:10" x14ac:dyDescent="0.25">
      <c r="A26" s="6" t="s">
        <v>1465</v>
      </c>
      <c r="B26" s="6" t="s">
        <v>61</v>
      </c>
      <c r="C26" s="6" t="s">
        <v>830</v>
      </c>
      <c r="D26" s="6" t="s">
        <v>1438</v>
      </c>
      <c r="E26" s="7">
        <v>435.9</v>
      </c>
      <c r="F26" s="7">
        <v>25.54</v>
      </c>
      <c r="G26" s="7">
        <v>4.152</v>
      </c>
      <c r="H26" s="7">
        <v>93.22</v>
      </c>
      <c r="I26" s="6" t="s">
        <v>1460</v>
      </c>
      <c r="J26" s="6"/>
    </row>
    <row r="27" ht="15" customHeight="1" spans="1:10" x14ac:dyDescent="0.25">
      <c r="A27" s="6" t="s">
        <v>1466</v>
      </c>
      <c r="B27" s="6" t="s">
        <v>61</v>
      </c>
      <c r="C27" s="6" t="s">
        <v>830</v>
      </c>
      <c r="D27" s="6" t="s">
        <v>1438</v>
      </c>
      <c r="E27" s="7">
        <v>435.55</v>
      </c>
      <c r="F27" s="7">
        <v>25.77</v>
      </c>
      <c r="G27" s="7">
        <v>4.168</v>
      </c>
      <c r="H27" s="7">
        <v>93.02</v>
      </c>
      <c r="I27" s="6" t="s">
        <v>1460</v>
      </c>
      <c r="J27" s="6"/>
    </row>
    <row r="28" ht="15" customHeight="1" spans="1:10" x14ac:dyDescent="0.25">
      <c r="A28" s="6" t="s">
        <v>1467</v>
      </c>
      <c r="B28" s="6" t="s">
        <v>61</v>
      </c>
      <c r="C28" s="6" t="s">
        <v>830</v>
      </c>
      <c r="D28" s="6" t="s">
        <v>1438</v>
      </c>
      <c r="E28" s="7">
        <v>435.13</v>
      </c>
      <c r="F28" s="7">
        <v>25.68</v>
      </c>
      <c r="G28" s="7">
        <v>4.198</v>
      </c>
      <c r="H28" s="7">
        <v>92.82</v>
      </c>
      <c r="I28" s="6" t="s">
        <v>1460</v>
      </c>
      <c r="J28" s="6"/>
    </row>
    <row r="29" ht="15" customHeight="1" spans="1:10" x14ac:dyDescent="0.25">
      <c r="A29" s="6" t="s">
        <v>1468</v>
      </c>
      <c r="B29" s="6" t="s">
        <v>61</v>
      </c>
      <c r="C29" s="6" t="s">
        <v>830</v>
      </c>
      <c r="D29" s="6" t="s">
        <v>1438</v>
      </c>
      <c r="E29" s="7">
        <v>434.67</v>
      </c>
      <c r="F29" s="7">
        <v>26.13</v>
      </c>
      <c r="G29" s="7">
        <v>4.218</v>
      </c>
      <c r="H29" s="7">
        <v>92.63</v>
      </c>
      <c r="I29" s="6" t="s">
        <v>1460</v>
      </c>
      <c r="J29" s="6"/>
    </row>
    <row r="30" ht="15" customHeight="1" spans="1:10" x14ac:dyDescent="0.25">
      <c r="A30" s="6" t="s">
        <v>1469</v>
      </c>
      <c r="B30" s="6" t="s">
        <v>61</v>
      </c>
      <c r="C30" s="6" t="s">
        <v>830</v>
      </c>
      <c r="D30" s="6" t="s">
        <v>1438</v>
      </c>
      <c r="E30" s="7">
        <v>434.14</v>
      </c>
      <c r="F30" s="7">
        <v>26.57</v>
      </c>
      <c r="G30" s="7">
        <v>4.223</v>
      </c>
      <c r="H30" s="7">
        <v>92.43</v>
      </c>
      <c r="I30" s="6" t="s">
        <v>1460</v>
      </c>
      <c r="J30" s="6"/>
    </row>
    <row r="31" ht="15" customHeight="1" spans="1:10" x14ac:dyDescent="0.25">
      <c r="A31" s="6" t="s">
        <v>1470</v>
      </c>
      <c r="B31" s="6" t="s">
        <v>61</v>
      </c>
      <c r="C31" s="6" t="s">
        <v>830</v>
      </c>
      <c r="D31" s="6" t="s">
        <v>1438</v>
      </c>
      <c r="E31" s="7">
        <v>434.19</v>
      </c>
      <c r="F31" s="7">
        <v>26.53</v>
      </c>
      <c r="G31" s="7">
        <v>4.264</v>
      </c>
      <c r="H31" s="7">
        <v>92.24</v>
      </c>
      <c r="I31" s="6" t="s">
        <v>1460</v>
      </c>
      <c r="J31" s="6"/>
    </row>
    <row r="32" ht="15" customHeight="1" spans="1:10" x14ac:dyDescent="0.25">
      <c r="A32" s="6" t="s">
        <v>1471</v>
      </c>
      <c r="B32" s="6" t="s">
        <v>61</v>
      </c>
      <c r="C32" s="6" t="s">
        <v>830</v>
      </c>
      <c r="D32" s="6" t="s">
        <v>1438</v>
      </c>
      <c r="E32" s="7">
        <v>433.66</v>
      </c>
      <c r="F32" s="7">
        <v>27</v>
      </c>
      <c r="G32" s="7">
        <v>4.271</v>
      </c>
      <c r="H32" s="7">
        <v>92.04</v>
      </c>
      <c r="I32" s="6" t="s">
        <v>1460</v>
      </c>
      <c r="J32" s="6"/>
    </row>
    <row r="33" ht="15" customHeight="1" spans="1:10" x14ac:dyDescent="0.25">
      <c r="A33" s="6" t="s">
        <v>1472</v>
      </c>
      <c r="B33" s="6" t="s">
        <v>61</v>
      </c>
      <c r="C33" s="6" t="s">
        <v>830</v>
      </c>
      <c r="D33" s="6" t="s">
        <v>1438</v>
      </c>
      <c r="E33" s="7">
        <v>433.44</v>
      </c>
      <c r="F33" s="7">
        <v>27.1</v>
      </c>
      <c r="G33" s="7">
        <v>4.303</v>
      </c>
      <c r="H33" s="7">
        <v>91.84</v>
      </c>
      <c r="I33" s="6" t="s">
        <v>1460</v>
      </c>
      <c r="J33" s="6"/>
    </row>
    <row r="34" ht="15" customHeight="1" spans="1:10" x14ac:dyDescent="0.25">
      <c r="A34" s="6" t="s">
        <v>1473</v>
      </c>
      <c r="B34" s="6" t="s">
        <v>61</v>
      </c>
      <c r="C34" s="6" t="s">
        <v>830</v>
      </c>
      <c r="D34" s="6" t="s">
        <v>1438</v>
      </c>
      <c r="E34" s="7">
        <v>432.94</v>
      </c>
      <c r="F34" s="7">
        <v>27.38</v>
      </c>
      <c r="G34" s="7">
        <v>4.292</v>
      </c>
      <c r="H34" s="7">
        <v>91.65</v>
      </c>
      <c r="I34" s="6" t="s">
        <v>1460</v>
      </c>
      <c r="J34" s="6"/>
    </row>
    <row r="35" ht="15" customHeight="1" spans="1:10" x14ac:dyDescent="0.25">
      <c r="A35" s="6" t="s">
        <v>1474</v>
      </c>
      <c r="B35" s="6" t="s">
        <v>61</v>
      </c>
      <c r="C35" s="6" t="s">
        <v>830</v>
      </c>
      <c r="D35" s="6" t="s">
        <v>1438</v>
      </c>
      <c r="E35" s="7">
        <v>432.5</v>
      </c>
      <c r="F35" s="7">
        <v>27.7</v>
      </c>
      <c r="G35" s="7">
        <v>4.334</v>
      </c>
      <c r="H35" s="7">
        <v>91.45</v>
      </c>
      <c r="I35" s="6" t="s">
        <v>1460</v>
      </c>
      <c r="J35" s="6"/>
    </row>
    <row r="36" ht="15" customHeight="1" spans="1:10" x14ac:dyDescent="0.25">
      <c r="A36" s="6" t="s">
        <v>1475</v>
      </c>
      <c r="B36" s="6" t="s">
        <v>61</v>
      </c>
      <c r="C36" s="6" t="s">
        <v>830</v>
      </c>
      <c r="D36" s="6" t="s">
        <v>1438</v>
      </c>
      <c r="E36" s="7">
        <v>432.17</v>
      </c>
      <c r="F36" s="7">
        <v>28.01</v>
      </c>
      <c r="G36" s="7">
        <v>4.349</v>
      </c>
      <c r="H36" s="7">
        <v>91.26</v>
      </c>
      <c r="I36" s="6" t="s">
        <v>1460</v>
      </c>
      <c r="J36" s="6"/>
    </row>
    <row r="37" ht="15" customHeight="1" spans="1:10" x14ac:dyDescent="0.25">
      <c r="A37" s="6" t="s">
        <v>1476</v>
      </c>
      <c r="B37" s="6" t="s">
        <v>61</v>
      </c>
      <c r="C37" s="6" t="s">
        <v>830</v>
      </c>
      <c r="D37" s="6" t="s">
        <v>1438</v>
      </c>
      <c r="E37" s="7">
        <v>431.94</v>
      </c>
      <c r="F37" s="7">
        <v>28.38</v>
      </c>
      <c r="G37" s="7">
        <v>4.352</v>
      </c>
      <c r="H37" s="7">
        <v>91.06</v>
      </c>
      <c r="I37" s="6" t="s">
        <v>1460</v>
      </c>
      <c r="J37" s="6"/>
    </row>
    <row r="38" ht="15" customHeight="1" spans="1:10" x14ac:dyDescent="0.25">
      <c r="A38" s="6" t="s">
        <v>1477</v>
      </c>
      <c r="B38" s="6" t="s">
        <v>61</v>
      </c>
      <c r="C38" s="6" t="s">
        <v>830</v>
      </c>
      <c r="D38" s="6" t="s">
        <v>1438</v>
      </c>
      <c r="E38" s="7">
        <v>431.69</v>
      </c>
      <c r="F38" s="7">
        <v>28.18</v>
      </c>
      <c r="G38" s="7">
        <v>4.353</v>
      </c>
      <c r="H38" s="7">
        <v>90.86</v>
      </c>
      <c r="I38" s="6" t="s">
        <v>1460</v>
      </c>
      <c r="J38" s="6"/>
    </row>
    <row r="40" ht="15" customHeight="1" spans="1:1" x14ac:dyDescent="0.25">
      <c r="A40" s="9" t="s">
        <v>1478</v>
      </c>
    </row>
    <row r="41" ht="15" customHeight="1" spans="1:1" x14ac:dyDescent="0.25">
      <c r="A41" s="9" t="s">
        <v>1479</v>
      </c>
    </row>
    <row r="42" ht="15" customHeight="1" spans="1:1" x14ac:dyDescent="0.25">
      <c r="A42" s="9" t="s">
        <v>1480</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1"/>
  <sheetViews>
    <sheetView workbookViewId="0" zoomScale="100" zoomScaleNormal="100" view="normal">
      <pane ySplit="1" topLeftCell="A2" activePane="bottomLeft" state="frozen"/>
      <selection pane="bottomLeft" activeCell="A1" sqref="A1"/>
    </sheetView>
  </sheetViews>
  <sheetFormatPr defaultRowHeight="15" outlineLevelRow="0" outlineLevelCol="0" x14ac:dyDescent="0" defaultColWidth="8.6796875"/>
  <cols>
    <col min="1" max="1" width="11" customWidth="1"/>
    <col min="2" max="2" width="10" customWidth="1"/>
    <col min="3" max="3" width="14" customWidth="1"/>
    <col min="4" max="4" width="16" customWidth="1"/>
    <col min="5" max="5" width="13" customWidth="1"/>
    <col min="6" max="6" width="16" customWidth="1"/>
    <col min="7" max="7" width="15" customWidth="1"/>
    <col min="8" max="8" width="14" customWidth="1"/>
    <col min="9" max="9" width="22" customWidth="1"/>
    <col min="10" max="10" width="15" customWidth="1"/>
    <col min="11" max="11" width="17" customWidth="1"/>
  </cols>
  <sheetData>
    <row r="1" ht="30" customHeight="1" spans="1:11" x14ac:dyDescent="0.25">
      <c r="A1" s="5" t="s">
        <v>42</v>
      </c>
      <c r="B1" s="5" t="s">
        <v>1481</v>
      </c>
      <c r="C1" s="5" t="s">
        <v>1482</v>
      </c>
      <c r="D1" s="5" t="s">
        <v>1483</v>
      </c>
      <c r="E1" s="5" t="s">
        <v>1484</v>
      </c>
      <c r="F1" s="5" t="s">
        <v>58</v>
      </c>
      <c r="G1" s="5" t="s">
        <v>1249</v>
      </c>
      <c r="H1" s="5" t="s">
        <v>1485</v>
      </c>
      <c r="I1" s="5" t="s">
        <v>1486</v>
      </c>
      <c r="J1" s="5" t="s">
        <v>1487</v>
      </c>
      <c r="K1" s="5" t="s">
        <v>1488</v>
      </c>
    </row>
    <row r="2" ht="15" customHeight="1" spans="1:11" x14ac:dyDescent="0.25">
      <c r="A2" s="6" t="s">
        <v>61</v>
      </c>
      <c r="B2" s="6" t="s">
        <v>1489</v>
      </c>
      <c r="C2" s="8">
        <v>7591014</v>
      </c>
      <c r="D2" s="8">
        <v>1670023</v>
      </c>
      <c r="E2" s="8">
        <v>5920991</v>
      </c>
      <c r="F2" s="7">
        <v>8.5</v>
      </c>
      <c r="G2" s="7">
        <v>645.2</v>
      </c>
      <c r="H2" s="7">
        <v>1.568</v>
      </c>
      <c r="I2" s="7">
        <v>0.71</v>
      </c>
      <c r="J2" s="7">
        <v>4203.9</v>
      </c>
      <c r="K2" s="8">
        <v>0</v>
      </c>
    </row>
    <row r="3" ht="15" customHeight="1" spans="1:11" x14ac:dyDescent="0.25">
      <c r="A3" s="6" t="s">
        <v>61</v>
      </c>
      <c r="B3" s="6" t="s">
        <v>1490</v>
      </c>
      <c r="C3" s="8">
        <v>6911192</v>
      </c>
      <c r="D3" s="8">
        <v>1520462</v>
      </c>
      <c r="E3" s="8">
        <v>5390730</v>
      </c>
      <c r="F3" s="7">
        <v>8.5</v>
      </c>
      <c r="G3" s="7">
        <v>587.5</v>
      </c>
      <c r="H3" s="7">
        <v>1.568</v>
      </c>
      <c r="I3" s="7">
        <v>0.71</v>
      </c>
      <c r="J3" s="7">
        <v>3827.4</v>
      </c>
      <c r="K3" s="8">
        <v>0</v>
      </c>
    </row>
    <row r="4" ht="15" customHeight="1" spans="1:11" x14ac:dyDescent="0.25">
      <c r="A4" s="6" t="s">
        <v>61</v>
      </c>
      <c r="B4" s="6" t="s">
        <v>1491</v>
      </c>
      <c r="C4" s="8">
        <v>7650677</v>
      </c>
      <c r="D4" s="8">
        <v>1683149</v>
      </c>
      <c r="E4" s="8">
        <v>5967528</v>
      </c>
      <c r="F4" s="7">
        <v>8.5</v>
      </c>
      <c r="G4" s="7">
        <v>650.3</v>
      </c>
      <c r="H4" s="7">
        <v>1.583</v>
      </c>
      <c r="I4" s="7">
        <v>0.71</v>
      </c>
      <c r="J4" s="7">
        <v>4236.9</v>
      </c>
      <c r="K4" s="8">
        <v>0</v>
      </c>
    </row>
    <row r="5" ht="15" customHeight="1" spans="1:11" x14ac:dyDescent="0.25">
      <c r="A5" s="6" t="s">
        <v>61</v>
      </c>
      <c r="B5" s="6" t="s">
        <v>1492</v>
      </c>
      <c r="C5" s="8">
        <v>7664786</v>
      </c>
      <c r="D5" s="8">
        <v>1686253</v>
      </c>
      <c r="E5" s="8">
        <v>5978533</v>
      </c>
      <c r="F5" s="7">
        <v>8.5</v>
      </c>
      <c r="G5" s="7">
        <v>651.5</v>
      </c>
      <c r="H5" s="7">
        <v>1.632</v>
      </c>
      <c r="I5" s="7">
        <v>0.71</v>
      </c>
      <c r="J5" s="7">
        <v>4244.8</v>
      </c>
      <c r="K5" s="8">
        <v>0</v>
      </c>
    </row>
    <row r="6" ht="15" customHeight="1" spans="1:11" x14ac:dyDescent="0.25">
      <c r="A6" s="6" t="s">
        <v>61</v>
      </c>
      <c r="B6" s="6" t="s">
        <v>1493</v>
      </c>
      <c r="C6" s="8">
        <v>8065369</v>
      </c>
      <c r="D6" s="8">
        <v>1774381</v>
      </c>
      <c r="E6" s="8">
        <v>6290988</v>
      </c>
      <c r="F6" s="7">
        <v>8.5</v>
      </c>
      <c r="G6" s="7">
        <v>685.6</v>
      </c>
      <c r="H6" s="7">
        <v>1.645</v>
      </c>
      <c r="I6" s="7">
        <v>0.71</v>
      </c>
      <c r="J6" s="7">
        <v>4466.6</v>
      </c>
      <c r="K6" s="8">
        <v>0</v>
      </c>
    </row>
    <row r="7" ht="15" customHeight="1" spans="1:11" x14ac:dyDescent="0.25">
      <c r="A7" s="6" t="s">
        <v>61</v>
      </c>
      <c r="B7" s="6" t="s">
        <v>1494</v>
      </c>
      <c r="C7" s="8">
        <v>7937321</v>
      </c>
      <c r="D7" s="8">
        <v>1746211</v>
      </c>
      <c r="E7" s="8">
        <v>6191110</v>
      </c>
      <c r="F7" s="7">
        <v>8.5</v>
      </c>
      <c r="G7" s="7">
        <v>674.7</v>
      </c>
      <c r="H7" s="7">
        <v>1.661</v>
      </c>
      <c r="I7" s="7">
        <v>0.71</v>
      </c>
      <c r="J7" s="7">
        <v>4395.7</v>
      </c>
      <c r="K7" s="8">
        <v>0</v>
      </c>
    </row>
    <row r="8" ht="15" customHeight="1" spans="1:11" x14ac:dyDescent="0.25">
      <c r="A8" s="6" t="s">
        <v>61</v>
      </c>
      <c r="B8" s="6" t="s">
        <v>1495</v>
      </c>
      <c r="C8" s="8">
        <v>8251833</v>
      </c>
      <c r="D8" s="8">
        <v>1815403</v>
      </c>
      <c r="E8" s="8">
        <v>6436430</v>
      </c>
      <c r="F8" s="7">
        <v>8.5</v>
      </c>
      <c r="G8" s="7">
        <v>701.4</v>
      </c>
      <c r="H8" s="7">
        <v>1.649</v>
      </c>
      <c r="I8" s="7">
        <v>0.71</v>
      </c>
      <c r="J8" s="7">
        <v>4569.9</v>
      </c>
      <c r="K8" s="8">
        <v>0</v>
      </c>
    </row>
    <row r="9" ht="15" customHeight="1" spans="1:11" x14ac:dyDescent="0.25">
      <c r="A9" s="6" t="s">
        <v>61</v>
      </c>
      <c r="B9" s="6" t="s">
        <v>1496</v>
      </c>
      <c r="C9" s="8">
        <v>8512742</v>
      </c>
      <c r="D9" s="8">
        <v>1872803</v>
      </c>
      <c r="E9" s="8">
        <v>6639939</v>
      </c>
      <c r="F9" s="7">
        <v>8.5</v>
      </c>
      <c r="G9" s="7">
        <v>723.6</v>
      </c>
      <c r="H9" s="7">
        <v>1.658</v>
      </c>
      <c r="I9" s="7">
        <v>0.71</v>
      </c>
      <c r="J9" s="7">
        <v>4714.4</v>
      </c>
      <c r="K9" s="8">
        <v>0</v>
      </c>
    </row>
    <row r="10" ht="15" customHeight="1" spans="1:11" x14ac:dyDescent="0.25">
      <c r="A10" s="6" t="s">
        <v>61</v>
      </c>
      <c r="B10" s="6" t="s">
        <v>1497</v>
      </c>
      <c r="C10" s="8">
        <v>8268005</v>
      </c>
      <c r="D10" s="8">
        <v>1818961</v>
      </c>
      <c r="E10" s="8">
        <v>6449044</v>
      </c>
      <c r="F10" s="7">
        <v>8.5</v>
      </c>
      <c r="G10" s="7">
        <v>702.8</v>
      </c>
      <c r="H10" s="7">
        <v>1.644</v>
      </c>
      <c r="I10" s="7">
        <v>0.71</v>
      </c>
      <c r="J10" s="7">
        <v>4578.8</v>
      </c>
      <c r="K10" s="8">
        <v>0</v>
      </c>
    </row>
    <row r="11" ht="15" customHeight="1" spans="1:11" x14ac:dyDescent="0.25">
      <c r="A11" s="6" t="s">
        <v>69</v>
      </c>
      <c r="B11" s="6" t="s">
        <v>1489</v>
      </c>
      <c r="C11" s="8">
        <v>6130614</v>
      </c>
      <c r="D11" s="8">
        <v>858286</v>
      </c>
      <c r="E11" s="8">
        <v>5272328</v>
      </c>
      <c r="F11" s="7">
        <v>8.5</v>
      </c>
      <c r="G11" s="7">
        <v>521.1</v>
      </c>
      <c r="H11" s="7">
        <v>1.748</v>
      </c>
      <c r="I11" s="7">
        <v>0.71</v>
      </c>
      <c r="J11" s="7">
        <v>3743.4</v>
      </c>
      <c r="K11" s="8">
        <v>0</v>
      </c>
    </row>
    <row r="12" ht="15" customHeight="1" spans="1:11" x14ac:dyDescent="0.25">
      <c r="A12" s="6" t="s">
        <v>69</v>
      </c>
      <c r="B12" s="6" t="s">
        <v>1490</v>
      </c>
      <c r="C12" s="8">
        <v>5592958</v>
      </c>
      <c r="D12" s="8">
        <v>783014</v>
      </c>
      <c r="E12" s="8">
        <v>4809944</v>
      </c>
      <c r="F12" s="7">
        <v>8.5</v>
      </c>
      <c r="G12" s="7">
        <v>475.4</v>
      </c>
      <c r="H12" s="7">
        <v>1.739</v>
      </c>
      <c r="I12" s="7">
        <v>0.71</v>
      </c>
      <c r="J12" s="7">
        <v>3415.1</v>
      </c>
      <c r="K12" s="8">
        <v>0</v>
      </c>
    </row>
    <row r="13" ht="15" customHeight="1" spans="1:11" x14ac:dyDescent="0.25">
      <c r="A13" s="6" t="s">
        <v>69</v>
      </c>
      <c r="B13" s="6" t="s">
        <v>1491</v>
      </c>
      <c r="C13" s="8">
        <v>6239851</v>
      </c>
      <c r="D13" s="8">
        <v>873579</v>
      </c>
      <c r="E13" s="8">
        <v>5366272</v>
      </c>
      <c r="F13" s="7">
        <v>8.5</v>
      </c>
      <c r="G13" s="7">
        <v>530.4</v>
      </c>
      <c r="H13" s="7">
        <v>1.744</v>
      </c>
      <c r="I13" s="7">
        <v>0.71</v>
      </c>
      <c r="J13" s="7">
        <v>3810.1</v>
      </c>
      <c r="K13" s="8">
        <v>0</v>
      </c>
    </row>
    <row r="14" ht="15" customHeight="1" spans="1:11" x14ac:dyDescent="0.25">
      <c r="A14" s="6" t="s">
        <v>69</v>
      </c>
      <c r="B14" s="6" t="s">
        <v>1492</v>
      </c>
      <c r="C14" s="8">
        <v>6210789</v>
      </c>
      <c r="D14" s="8">
        <v>869510</v>
      </c>
      <c r="E14" s="8">
        <v>5341279</v>
      </c>
      <c r="F14" s="7">
        <v>8.5</v>
      </c>
      <c r="G14" s="7">
        <v>527.9</v>
      </c>
      <c r="H14" s="7">
        <v>1.772</v>
      </c>
      <c r="I14" s="7">
        <v>0.71</v>
      </c>
      <c r="J14" s="7">
        <v>3792.3</v>
      </c>
      <c r="K14" s="8">
        <v>0</v>
      </c>
    </row>
    <row r="15" ht="15" customHeight="1" spans="1:11" x14ac:dyDescent="0.25">
      <c r="A15" s="6" t="s">
        <v>69</v>
      </c>
      <c r="B15" s="6" t="s">
        <v>1493</v>
      </c>
      <c r="C15" s="8">
        <v>6401184</v>
      </c>
      <c r="D15" s="8">
        <v>896166</v>
      </c>
      <c r="E15" s="8">
        <v>5505018</v>
      </c>
      <c r="F15" s="7">
        <v>8.5</v>
      </c>
      <c r="G15" s="7">
        <v>544.1</v>
      </c>
      <c r="H15" s="7">
        <v>1.778</v>
      </c>
      <c r="I15" s="7">
        <v>0.71</v>
      </c>
      <c r="J15" s="7">
        <v>3908.6</v>
      </c>
      <c r="K15" s="8">
        <v>0</v>
      </c>
    </row>
    <row r="16" ht="15" customHeight="1" spans="1:11" x14ac:dyDescent="0.25">
      <c r="A16" s="6" t="s">
        <v>69</v>
      </c>
      <c r="B16" s="6" t="s">
        <v>1494</v>
      </c>
      <c r="C16" s="8">
        <v>6282063</v>
      </c>
      <c r="D16" s="8">
        <v>879489</v>
      </c>
      <c r="E16" s="8">
        <v>5402574</v>
      </c>
      <c r="F16" s="7">
        <v>8.5</v>
      </c>
      <c r="G16" s="7">
        <v>534</v>
      </c>
      <c r="H16" s="7">
        <v>1.763</v>
      </c>
      <c r="I16" s="7">
        <v>0.71</v>
      </c>
      <c r="J16" s="7">
        <v>3835.8</v>
      </c>
      <c r="K16" s="8">
        <v>0</v>
      </c>
    </row>
    <row r="17" ht="15" customHeight="1" spans="1:11" x14ac:dyDescent="0.25">
      <c r="A17" s="6" t="s">
        <v>69</v>
      </c>
      <c r="B17" s="6" t="s">
        <v>1495</v>
      </c>
      <c r="C17" s="8">
        <v>6466821</v>
      </c>
      <c r="D17" s="8">
        <v>905355</v>
      </c>
      <c r="E17" s="8">
        <v>5561466</v>
      </c>
      <c r="F17" s="7">
        <v>8.5</v>
      </c>
      <c r="G17" s="7">
        <v>549.7</v>
      </c>
      <c r="H17" s="7">
        <v>1.751</v>
      </c>
      <c r="I17" s="7">
        <v>0.71</v>
      </c>
      <c r="J17" s="7">
        <v>3948.6</v>
      </c>
      <c r="K17" s="8">
        <v>0</v>
      </c>
    </row>
    <row r="18" ht="15" customHeight="1" spans="1:11" x14ac:dyDescent="0.25">
      <c r="A18" s="6" t="s">
        <v>69</v>
      </c>
      <c r="B18" s="6" t="s">
        <v>1496</v>
      </c>
      <c r="C18" s="8">
        <v>6498282</v>
      </c>
      <c r="D18" s="8">
        <v>909759</v>
      </c>
      <c r="E18" s="8">
        <v>5588523</v>
      </c>
      <c r="F18" s="7">
        <v>8.5</v>
      </c>
      <c r="G18" s="7">
        <v>552.4</v>
      </c>
      <c r="H18" s="7">
        <v>1.75</v>
      </c>
      <c r="I18" s="7">
        <v>0.71</v>
      </c>
      <c r="J18" s="7">
        <v>3967.9</v>
      </c>
      <c r="K18" s="8">
        <v>0</v>
      </c>
    </row>
    <row r="19" ht="15" customHeight="1" spans="1:11" x14ac:dyDescent="0.25">
      <c r="A19" s="6" t="s">
        <v>69</v>
      </c>
      <c r="B19" s="6" t="s">
        <v>1497</v>
      </c>
      <c r="C19" s="8">
        <v>6280978</v>
      </c>
      <c r="D19" s="8">
        <v>879337</v>
      </c>
      <c r="E19" s="8">
        <v>5401641</v>
      </c>
      <c r="F19" s="7">
        <v>8.5</v>
      </c>
      <c r="G19" s="7">
        <v>533.9</v>
      </c>
      <c r="H19" s="7">
        <v>1.735</v>
      </c>
      <c r="I19" s="7">
        <v>0.71</v>
      </c>
      <c r="J19" s="7">
        <v>3835.2</v>
      </c>
      <c r="K19" s="8">
        <v>0</v>
      </c>
    </row>
    <row r="20" ht="15" customHeight="1" spans="1:11" x14ac:dyDescent="0.25">
      <c r="A20" s="6" t="s">
        <v>73</v>
      </c>
      <c r="B20" s="6" t="s">
        <v>1489</v>
      </c>
      <c r="C20" s="8">
        <v>6259615</v>
      </c>
      <c r="D20" s="8">
        <v>1940481</v>
      </c>
      <c r="E20" s="8">
        <v>4319134</v>
      </c>
      <c r="F20" s="7">
        <v>7.9</v>
      </c>
      <c r="G20" s="7">
        <v>494.5</v>
      </c>
      <c r="H20" s="7">
        <v>1.609</v>
      </c>
      <c r="I20" s="7">
        <v>0.71</v>
      </c>
      <c r="J20" s="7">
        <v>3066.6</v>
      </c>
      <c r="K20" s="8">
        <v>0</v>
      </c>
    </row>
    <row r="21" ht="15" customHeight="1" spans="1:11" x14ac:dyDescent="0.25">
      <c r="A21" s="6" t="s">
        <v>73</v>
      </c>
      <c r="B21" s="6" t="s">
        <v>1490</v>
      </c>
      <c r="C21" s="8">
        <v>5577935</v>
      </c>
      <c r="D21" s="8">
        <v>1729160</v>
      </c>
      <c r="E21" s="8">
        <v>3848775</v>
      </c>
      <c r="F21" s="7">
        <v>7.9</v>
      </c>
      <c r="G21" s="7">
        <v>440.7</v>
      </c>
      <c r="H21" s="7">
        <v>1.613</v>
      </c>
      <c r="I21" s="7">
        <v>0.71</v>
      </c>
      <c r="J21" s="7">
        <v>2732.6</v>
      </c>
      <c r="K21" s="8">
        <v>0</v>
      </c>
    </row>
    <row r="22" ht="15" customHeight="1" spans="1:11" x14ac:dyDescent="0.25">
      <c r="A22" s="6" t="s">
        <v>73</v>
      </c>
      <c r="B22" s="6" t="s">
        <v>1491</v>
      </c>
      <c r="C22" s="8">
        <v>6400037</v>
      </c>
      <c r="D22" s="8">
        <v>1984011</v>
      </c>
      <c r="E22" s="8">
        <v>4416026</v>
      </c>
      <c r="F22" s="7">
        <v>7.9</v>
      </c>
      <c r="G22" s="7">
        <v>505.6</v>
      </c>
      <c r="H22" s="7">
        <v>1.62</v>
      </c>
      <c r="I22" s="7">
        <v>0.71</v>
      </c>
      <c r="J22" s="7">
        <v>3135.4</v>
      </c>
      <c r="K22" s="8">
        <v>0</v>
      </c>
    </row>
    <row r="23" ht="15" customHeight="1" spans="1:11" x14ac:dyDescent="0.25">
      <c r="A23" s="6" t="s">
        <v>73</v>
      </c>
      <c r="B23" s="6" t="s">
        <v>1492</v>
      </c>
      <c r="C23" s="8">
        <v>6358108</v>
      </c>
      <c r="D23" s="8">
        <v>1971013</v>
      </c>
      <c r="E23" s="8">
        <v>4387095</v>
      </c>
      <c r="F23" s="7">
        <v>7.9</v>
      </c>
      <c r="G23" s="7">
        <v>502.3</v>
      </c>
      <c r="H23" s="7">
        <v>1.654</v>
      </c>
      <c r="I23" s="7">
        <v>0.71</v>
      </c>
      <c r="J23" s="7">
        <v>3114.8</v>
      </c>
      <c r="K23" s="8">
        <v>0</v>
      </c>
    </row>
    <row r="24" ht="15" customHeight="1" spans="1:11" x14ac:dyDescent="0.25">
      <c r="A24" s="6" t="s">
        <v>73</v>
      </c>
      <c r="B24" s="6" t="s">
        <v>1493</v>
      </c>
      <c r="C24" s="8">
        <v>6483960</v>
      </c>
      <c r="D24" s="8">
        <v>2010028</v>
      </c>
      <c r="E24" s="8">
        <v>4473932</v>
      </c>
      <c r="F24" s="7">
        <v>7.9</v>
      </c>
      <c r="G24" s="7">
        <v>512.2</v>
      </c>
      <c r="H24" s="7">
        <v>1.66</v>
      </c>
      <c r="I24" s="7">
        <v>0.71</v>
      </c>
      <c r="J24" s="7">
        <v>3176.5</v>
      </c>
      <c r="K24" s="8">
        <v>0</v>
      </c>
    </row>
    <row r="25" ht="15" customHeight="1" spans="1:11" x14ac:dyDescent="0.25">
      <c r="A25" s="6" t="s">
        <v>73</v>
      </c>
      <c r="B25" s="6" t="s">
        <v>1494</v>
      </c>
      <c r="C25" s="8">
        <v>6366578</v>
      </c>
      <c r="D25" s="8">
        <v>1973639</v>
      </c>
      <c r="E25" s="8">
        <v>4392939</v>
      </c>
      <c r="F25" s="7">
        <v>7.9</v>
      </c>
      <c r="G25" s="7">
        <v>503</v>
      </c>
      <c r="H25" s="7">
        <v>1.659</v>
      </c>
      <c r="I25" s="7">
        <v>0.71</v>
      </c>
      <c r="J25" s="7">
        <v>3119</v>
      </c>
      <c r="K25" s="8">
        <v>0</v>
      </c>
    </row>
    <row r="26" ht="15" customHeight="1" spans="1:11" x14ac:dyDescent="0.25">
      <c r="A26" s="6" t="s">
        <v>73</v>
      </c>
      <c r="B26" s="6" t="s">
        <v>1495</v>
      </c>
      <c r="C26" s="8">
        <v>6607506</v>
      </c>
      <c r="D26" s="8">
        <v>2048327</v>
      </c>
      <c r="E26" s="8">
        <v>4559179</v>
      </c>
      <c r="F26" s="7">
        <v>7.9</v>
      </c>
      <c r="G26" s="7">
        <v>522</v>
      </c>
      <c r="H26" s="7">
        <v>1.623</v>
      </c>
      <c r="I26" s="7">
        <v>0.71</v>
      </c>
      <c r="J26" s="7">
        <v>3237</v>
      </c>
      <c r="K26" s="8">
        <v>0</v>
      </c>
    </row>
    <row r="27" ht="15" customHeight="1" spans="1:11" x14ac:dyDescent="0.25">
      <c r="A27" s="6" t="s">
        <v>73</v>
      </c>
      <c r="B27" s="6" t="s">
        <v>1496</v>
      </c>
      <c r="C27" s="8">
        <v>6589476</v>
      </c>
      <c r="D27" s="8">
        <v>2042738</v>
      </c>
      <c r="E27" s="8">
        <v>4546738</v>
      </c>
      <c r="F27" s="7">
        <v>7.9</v>
      </c>
      <c r="G27" s="7">
        <v>520.6</v>
      </c>
      <c r="H27" s="7">
        <v>1.626</v>
      </c>
      <c r="I27" s="7">
        <v>0.71</v>
      </c>
      <c r="J27" s="7">
        <v>3228.2</v>
      </c>
      <c r="K27" s="8">
        <v>0</v>
      </c>
    </row>
    <row r="28" ht="15" customHeight="1" spans="1:11" x14ac:dyDescent="0.25">
      <c r="A28" s="6" t="s">
        <v>73</v>
      </c>
      <c r="B28" s="6" t="s">
        <v>1497</v>
      </c>
      <c r="C28" s="8">
        <v>6382098</v>
      </c>
      <c r="D28" s="8">
        <v>1978450</v>
      </c>
      <c r="E28" s="8">
        <v>4403648</v>
      </c>
      <c r="F28" s="7">
        <v>7.9</v>
      </c>
      <c r="G28" s="7">
        <v>504.2</v>
      </c>
      <c r="H28" s="7">
        <v>1.619</v>
      </c>
      <c r="I28" s="7">
        <v>0.71</v>
      </c>
      <c r="J28" s="7">
        <v>3126.6</v>
      </c>
      <c r="K28" s="8">
        <v>0</v>
      </c>
    </row>
    <row r="29" ht="15" customHeight="1" spans="1:11" x14ac:dyDescent="0.25">
      <c r="A29" s="6" t="s">
        <v>79</v>
      </c>
      <c r="B29" s="6" t="s">
        <v>1489</v>
      </c>
      <c r="C29" s="8">
        <v>7132285</v>
      </c>
      <c r="D29" s="8">
        <v>4849954</v>
      </c>
      <c r="E29" s="8">
        <v>2282331</v>
      </c>
      <c r="F29" s="7">
        <v>7.2</v>
      </c>
      <c r="G29" s="7">
        <v>513.5</v>
      </c>
      <c r="H29" s="7">
        <v>1.332</v>
      </c>
      <c r="I29" s="7">
        <v>0.71</v>
      </c>
      <c r="J29" s="7">
        <v>1620.5</v>
      </c>
      <c r="K29" s="8">
        <v>0</v>
      </c>
    </row>
    <row r="30" ht="15" customHeight="1" spans="1:11" x14ac:dyDescent="0.25">
      <c r="A30" s="6" t="s">
        <v>79</v>
      </c>
      <c r="B30" s="6" t="s">
        <v>1490</v>
      </c>
      <c r="C30" s="8">
        <v>6591927</v>
      </c>
      <c r="D30" s="8">
        <v>4482510</v>
      </c>
      <c r="E30" s="8">
        <v>2109417</v>
      </c>
      <c r="F30" s="7">
        <v>7.2</v>
      </c>
      <c r="G30" s="7">
        <v>474.6</v>
      </c>
      <c r="H30" s="7">
        <v>1.341</v>
      </c>
      <c r="I30" s="7">
        <v>0.71</v>
      </c>
      <c r="J30" s="7">
        <v>1497.7</v>
      </c>
      <c r="K30" s="8">
        <v>0</v>
      </c>
    </row>
    <row r="31" ht="15" customHeight="1" spans="1:11" x14ac:dyDescent="0.25">
      <c r="A31" s="6" t="s">
        <v>79</v>
      </c>
      <c r="B31" s="6" t="s">
        <v>1491</v>
      </c>
      <c r="C31" s="8">
        <v>7298774</v>
      </c>
      <c r="D31" s="8">
        <v>4963166</v>
      </c>
      <c r="E31" s="8">
        <v>2335608</v>
      </c>
      <c r="F31" s="7">
        <v>7.2</v>
      </c>
      <c r="G31" s="7">
        <v>525.5</v>
      </c>
      <c r="H31" s="7">
        <v>1.332</v>
      </c>
      <c r="I31" s="7">
        <v>0.71</v>
      </c>
      <c r="J31" s="7">
        <v>1658.3</v>
      </c>
      <c r="K31" s="8">
        <v>0</v>
      </c>
    </row>
    <row r="32" ht="15" customHeight="1" spans="1:11" x14ac:dyDescent="0.25">
      <c r="A32" s="6" t="s">
        <v>79</v>
      </c>
      <c r="B32" s="6" t="s">
        <v>1492</v>
      </c>
      <c r="C32" s="8">
        <v>7360001</v>
      </c>
      <c r="D32" s="8">
        <v>5004801</v>
      </c>
      <c r="E32" s="8">
        <v>2355200</v>
      </c>
      <c r="F32" s="7">
        <v>7.2</v>
      </c>
      <c r="G32" s="7">
        <v>529.9</v>
      </c>
      <c r="H32" s="7">
        <v>1.384</v>
      </c>
      <c r="I32" s="7">
        <v>0.71</v>
      </c>
      <c r="J32" s="7">
        <v>1672.2</v>
      </c>
      <c r="K32" s="8">
        <v>0</v>
      </c>
    </row>
    <row r="33" ht="15" customHeight="1" spans="1:11" x14ac:dyDescent="0.25">
      <c r="A33" s="6" t="s">
        <v>79</v>
      </c>
      <c r="B33" s="6" t="s">
        <v>1493</v>
      </c>
      <c r="C33" s="8">
        <v>7764982</v>
      </c>
      <c r="D33" s="8">
        <v>5280188</v>
      </c>
      <c r="E33" s="8">
        <v>2484794</v>
      </c>
      <c r="F33" s="7">
        <v>7.2</v>
      </c>
      <c r="G33" s="7">
        <v>559.1</v>
      </c>
      <c r="H33" s="7">
        <v>1.372</v>
      </c>
      <c r="I33" s="7">
        <v>0.71</v>
      </c>
      <c r="J33" s="7">
        <v>1764.2</v>
      </c>
      <c r="K33" s="8">
        <v>0</v>
      </c>
    </row>
    <row r="34" ht="15" customHeight="1" spans="1:11" x14ac:dyDescent="0.25">
      <c r="A34" s="6" t="s">
        <v>79</v>
      </c>
      <c r="B34" s="6" t="s">
        <v>1494</v>
      </c>
      <c r="C34" s="8">
        <v>7522286</v>
      </c>
      <c r="D34" s="8">
        <v>5115154</v>
      </c>
      <c r="E34" s="8">
        <v>2407132</v>
      </c>
      <c r="F34" s="7">
        <v>7.2</v>
      </c>
      <c r="G34" s="7">
        <v>541.6</v>
      </c>
      <c r="H34" s="7">
        <v>1.37</v>
      </c>
      <c r="I34" s="7">
        <v>0.71</v>
      </c>
      <c r="J34" s="7">
        <v>1709.1</v>
      </c>
      <c r="K34" s="8">
        <v>0</v>
      </c>
    </row>
    <row r="35" ht="15" customHeight="1" spans="1:11" x14ac:dyDescent="0.25">
      <c r="A35" s="6" t="s">
        <v>79</v>
      </c>
      <c r="B35" s="6" t="s">
        <v>1495</v>
      </c>
      <c r="C35" s="8">
        <v>7582110</v>
      </c>
      <c r="D35" s="8">
        <v>5155835</v>
      </c>
      <c r="E35" s="8">
        <v>2426275</v>
      </c>
      <c r="F35" s="7">
        <v>7.2</v>
      </c>
      <c r="G35" s="7">
        <v>545.9</v>
      </c>
      <c r="H35" s="7">
        <v>1.336</v>
      </c>
      <c r="I35" s="7">
        <v>0.71</v>
      </c>
      <c r="J35" s="7">
        <v>1722.7</v>
      </c>
      <c r="K35" s="8">
        <v>0</v>
      </c>
    </row>
    <row r="36" ht="15" customHeight="1" spans="1:11" x14ac:dyDescent="0.25">
      <c r="A36" s="6" t="s">
        <v>79</v>
      </c>
      <c r="B36" s="6" t="s">
        <v>1496</v>
      </c>
      <c r="C36" s="8">
        <v>7587488</v>
      </c>
      <c r="D36" s="8">
        <v>5159492</v>
      </c>
      <c r="E36" s="8">
        <v>2427996</v>
      </c>
      <c r="F36" s="7">
        <v>7.2</v>
      </c>
      <c r="G36" s="7">
        <v>546.3</v>
      </c>
      <c r="H36" s="7">
        <v>1.338</v>
      </c>
      <c r="I36" s="7">
        <v>0.71</v>
      </c>
      <c r="J36" s="7">
        <v>1723.9</v>
      </c>
      <c r="K36" s="8">
        <v>0</v>
      </c>
    </row>
    <row r="37" ht="15" customHeight="1" spans="1:11" x14ac:dyDescent="0.25">
      <c r="A37" s="6" t="s">
        <v>79</v>
      </c>
      <c r="B37" s="6" t="s">
        <v>1497</v>
      </c>
      <c r="C37" s="8">
        <v>7354148</v>
      </c>
      <c r="D37" s="8">
        <v>5000821</v>
      </c>
      <c r="E37" s="8">
        <v>2353327</v>
      </c>
      <c r="F37" s="7">
        <v>7.2</v>
      </c>
      <c r="G37" s="7">
        <v>529.5</v>
      </c>
      <c r="H37" s="7">
        <v>1.331</v>
      </c>
      <c r="I37" s="7">
        <v>0.71</v>
      </c>
      <c r="J37" s="7">
        <v>1670.9</v>
      </c>
      <c r="K37" s="8">
        <v>0</v>
      </c>
    </row>
    <row r="38" ht="15" customHeight="1" spans="1:11" x14ac:dyDescent="0.25">
      <c r="A38" s="6" t="s">
        <v>85</v>
      </c>
      <c r="B38" s="6" t="s">
        <v>1489</v>
      </c>
      <c r="C38" s="8">
        <v>8919712</v>
      </c>
      <c r="D38" s="8">
        <v>1694745</v>
      </c>
      <c r="E38" s="8">
        <v>7224967</v>
      </c>
      <c r="F38" s="7">
        <v>8.15</v>
      </c>
      <c r="G38" s="7">
        <v>727</v>
      </c>
      <c r="H38" s="7">
        <v>1.69</v>
      </c>
      <c r="I38" s="7">
        <v>0.71</v>
      </c>
      <c r="J38" s="7">
        <v>5129.7</v>
      </c>
      <c r="K38" s="8">
        <v>0</v>
      </c>
    </row>
    <row r="39" ht="15" customHeight="1" spans="1:11" x14ac:dyDescent="0.25">
      <c r="A39" s="6" t="s">
        <v>85</v>
      </c>
      <c r="B39" s="6" t="s">
        <v>1490</v>
      </c>
      <c r="C39" s="8">
        <v>7959841</v>
      </c>
      <c r="D39" s="8">
        <v>1512370</v>
      </c>
      <c r="E39" s="8">
        <v>6447471</v>
      </c>
      <c r="F39" s="7">
        <v>8.15</v>
      </c>
      <c r="G39" s="7">
        <v>648.7</v>
      </c>
      <c r="H39" s="7">
        <v>1.678</v>
      </c>
      <c r="I39" s="7">
        <v>0.71</v>
      </c>
      <c r="J39" s="7">
        <v>4577.7</v>
      </c>
      <c r="K39" s="8">
        <v>0</v>
      </c>
    </row>
    <row r="40" ht="15" customHeight="1" spans="1:11" x14ac:dyDescent="0.25">
      <c r="A40" s="6" t="s">
        <v>85</v>
      </c>
      <c r="B40" s="6" t="s">
        <v>1491</v>
      </c>
      <c r="C40" s="8">
        <v>8870682</v>
      </c>
      <c r="D40" s="8">
        <v>1685430</v>
      </c>
      <c r="E40" s="8">
        <v>7185252</v>
      </c>
      <c r="F40" s="7">
        <v>8.15</v>
      </c>
      <c r="G40" s="7">
        <v>723</v>
      </c>
      <c r="H40" s="7">
        <v>1.68</v>
      </c>
      <c r="I40" s="7">
        <v>0.71</v>
      </c>
      <c r="J40" s="7">
        <v>5101.5</v>
      </c>
      <c r="K40" s="8">
        <v>0</v>
      </c>
    </row>
    <row r="41" ht="15" customHeight="1" spans="1:11" x14ac:dyDescent="0.25">
      <c r="A41" s="6" t="s">
        <v>85</v>
      </c>
      <c r="B41" s="6" t="s">
        <v>1492</v>
      </c>
      <c r="C41" s="8">
        <v>8948827</v>
      </c>
      <c r="D41" s="8">
        <v>1700277</v>
      </c>
      <c r="E41" s="8">
        <v>7248550</v>
      </c>
      <c r="F41" s="7">
        <v>8.15</v>
      </c>
      <c r="G41" s="7">
        <v>729.3</v>
      </c>
      <c r="H41" s="7">
        <v>1.726</v>
      </c>
      <c r="I41" s="7">
        <v>0.71</v>
      </c>
      <c r="J41" s="7">
        <v>5146.5</v>
      </c>
      <c r="K41" s="8">
        <v>0</v>
      </c>
    </row>
    <row r="42" ht="15" customHeight="1" spans="1:11" x14ac:dyDescent="0.25">
      <c r="A42" s="6" t="s">
        <v>85</v>
      </c>
      <c r="B42" s="6" t="s">
        <v>1493</v>
      </c>
      <c r="C42" s="8">
        <v>9285147</v>
      </c>
      <c r="D42" s="8">
        <v>1764178</v>
      </c>
      <c r="E42" s="8">
        <v>7520969</v>
      </c>
      <c r="F42" s="7">
        <v>8.15</v>
      </c>
      <c r="G42" s="7">
        <v>756.7</v>
      </c>
      <c r="H42" s="7">
        <v>1.724</v>
      </c>
      <c r="I42" s="7">
        <v>0.71</v>
      </c>
      <c r="J42" s="7">
        <v>5339.9</v>
      </c>
      <c r="K42" s="8">
        <v>0</v>
      </c>
    </row>
    <row r="43" ht="15" customHeight="1" spans="1:11" x14ac:dyDescent="0.25">
      <c r="A43" s="6" t="s">
        <v>85</v>
      </c>
      <c r="B43" s="6" t="s">
        <v>1494</v>
      </c>
      <c r="C43" s="8">
        <v>8980606</v>
      </c>
      <c r="D43" s="8">
        <v>1706315</v>
      </c>
      <c r="E43" s="8">
        <v>7274291</v>
      </c>
      <c r="F43" s="7">
        <v>8.15</v>
      </c>
      <c r="G43" s="7">
        <v>731.9</v>
      </c>
      <c r="H43" s="7">
        <v>1.719</v>
      </c>
      <c r="I43" s="7">
        <v>0.71</v>
      </c>
      <c r="J43" s="7">
        <v>5164.7</v>
      </c>
      <c r="K43" s="8">
        <v>0</v>
      </c>
    </row>
    <row r="44" ht="15" customHeight="1" spans="1:11" x14ac:dyDescent="0.25">
      <c r="A44" s="6" t="s">
        <v>85</v>
      </c>
      <c r="B44" s="6" t="s">
        <v>1495</v>
      </c>
      <c r="C44" s="8">
        <v>9173946</v>
      </c>
      <c r="D44" s="8">
        <v>1743050</v>
      </c>
      <c r="E44" s="8">
        <v>7430896</v>
      </c>
      <c r="F44" s="7">
        <v>8.15</v>
      </c>
      <c r="G44" s="7">
        <v>747.7</v>
      </c>
      <c r="H44" s="7">
        <v>1.669</v>
      </c>
      <c r="I44" s="7">
        <v>0.71</v>
      </c>
      <c r="J44" s="7">
        <v>5275.9</v>
      </c>
      <c r="K44" s="8">
        <v>0</v>
      </c>
    </row>
    <row r="45" ht="15" customHeight="1" spans="1:11" x14ac:dyDescent="0.25">
      <c r="A45" s="6" t="s">
        <v>85</v>
      </c>
      <c r="B45" s="6" t="s">
        <v>1496</v>
      </c>
      <c r="C45" s="8">
        <v>9309261</v>
      </c>
      <c r="D45" s="8">
        <v>1768760</v>
      </c>
      <c r="E45" s="8">
        <v>7540501</v>
      </c>
      <c r="F45" s="7">
        <v>8.15</v>
      </c>
      <c r="G45" s="7">
        <v>758.7</v>
      </c>
      <c r="H45" s="7">
        <v>1.671</v>
      </c>
      <c r="I45" s="7">
        <v>0.71</v>
      </c>
      <c r="J45" s="7">
        <v>5353.8</v>
      </c>
      <c r="K45" s="8">
        <v>0</v>
      </c>
    </row>
    <row r="46" ht="15" customHeight="1" spans="1:11" x14ac:dyDescent="0.25">
      <c r="A46" s="6" t="s">
        <v>85</v>
      </c>
      <c r="B46" s="6" t="s">
        <v>1497</v>
      </c>
      <c r="C46" s="8">
        <v>9155462</v>
      </c>
      <c r="D46" s="8">
        <v>1739538</v>
      </c>
      <c r="E46" s="8">
        <v>7415924</v>
      </c>
      <c r="F46" s="7">
        <v>8.15</v>
      </c>
      <c r="G46" s="7">
        <v>746.2</v>
      </c>
      <c r="H46" s="7">
        <v>1.68</v>
      </c>
      <c r="I46" s="7">
        <v>0.71</v>
      </c>
      <c r="J46" s="7">
        <v>5265.3</v>
      </c>
      <c r="K46" s="8">
        <v>0</v>
      </c>
    </row>
    <row r="48" ht="15" customHeight="1" spans="1:2" x14ac:dyDescent="0.25">
      <c r="A48" s="9" t="s">
        <v>1498</v>
      </c>
    </row>
    <row r="49" ht="15" customHeight="1" spans="1:2" x14ac:dyDescent="0.25">
      <c r="A49" s="9" t="s">
        <v>1499</v>
      </c>
    </row>
    <row r="50" spans="1:2" x14ac:dyDescent="0.25">
      <c r="A50" s="9" t="s">
        <v>1500</v>
      </c>
    </row>
    <row r="51" spans="1:2" x14ac:dyDescent="0.25">
      <c r="A51" s="9" t="s">
        <v>1501</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1"/>
  <sheetViews>
    <sheetView workbookViewId="0" zoomScale="100" zoomScaleNormal="100" view="normal">
      <pane ySplit="1" topLeftCell="A2" activePane="bottomLeft" state="frozen"/>
      <selection pane="bottomLeft" activeCell="A1" sqref="A1"/>
    </sheetView>
  </sheetViews>
  <sheetFormatPr defaultRowHeight="15" outlineLevelRow="0" outlineLevelCol="0" x14ac:dyDescent="0" defaultColWidth="8.6796875"/>
  <cols>
    <col min="1" max="1" width="11" customWidth="1"/>
    <col min="2" max="2" width="10" customWidth="1"/>
    <col min="3" max="3" width="14" customWidth="1"/>
    <col min="4" max="4" width="24" customWidth="1"/>
    <col min="5" max="5" width="15" customWidth="1"/>
    <col min="6" max="6" width="18" customWidth="1"/>
    <col min="7" max="7" width="26" customWidth="1"/>
    <col min="8" max="8" width="20" customWidth="1"/>
    <col min="9" max="9" width="13" customWidth="1"/>
    <col min="10" max="10" width="17" customWidth="1"/>
  </cols>
  <sheetData>
    <row r="1" ht="30" customHeight="1" spans="1:10" x14ac:dyDescent="0.25">
      <c r="A1" s="5" t="s">
        <v>42</v>
      </c>
      <c r="B1" s="5" t="s">
        <v>1481</v>
      </c>
      <c r="C1" s="5" t="s">
        <v>1502</v>
      </c>
      <c r="D1" s="5" t="s">
        <v>1503</v>
      </c>
      <c r="E1" s="5" t="s">
        <v>1504</v>
      </c>
      <c r="F1" s="5" t="s">
        <v>1505</v>
      </c>
      <c r="G1" s="5" t="s">
        <v>1506</v>
      </c>
      <c r="H1" s="5" t="s">
        <v>1507</v>
      </c>
      <c r="I1" s="5" t="s">
        <v>1508</v>
      </c>
      <c r="J1" s="5" t="s">
        <v>1509</v>
      </c>
    </row>
    <row r="2" ht="15" customHeight="1" spans="1:10" x14ac:dyDescent="0.25">
      <c r="A2" s="6" t="s">
        <v>61</v>
      </c>
      <c r="B2" s="6" t="s">
        <v>1489</v>
      </c>
      <c r="C2" s="8">
        <v>8849728</v>
      </c>
      <c r="D2" s="7">
        <v>1.828</v>
      </c>
      <c r="E2" s="8">
        <v>1592951</v>
      </c>
      <c r="F2" s="8">
        <v>7256777</v>
      </c>
      <c r="G2" s="6" t="s">
        <v>1510</v>
      </c>
      <c r="H2" s="6" t="s">
        <v>1511</v>
      </c>
      <c r="I2" s="6">
        <v>62</v>
      </c>
      <c r="J2" s="7">
        <v>226</v>
      </c>
    </row>
    <row r="3" ht="15" customHeight="1" spans="1:10" x14ac:dyDescent="0.25">
      <c r="A3" s="6" t="s">
        <v>61</v>
      </c>
      <c r="B3" s="6" t="s">
        <v>1490</v>
      </c>
      <c r="C3" s="8">
        <v>8105665</v>
      </c>
      <c r="D3" s="7">
        <v>1.839</v>
      </c>
      <c r="E3" s="8">
        <v>1459019</v>
      </c>
      <c r="F3" s="8">
        <v>6646646</v>
      </c>
      <c r="G3" s="6" t="s">
        <v>1510</v>
      </c>
      <c r="H3" s="6" t="s">
        <v>1511</v>
      </c>
      <c r="I3" s="6">
        <v>62</v>
      </c>
      <c r="J3" s="7">
        <v>229.2</v>
      </c>
    </row>
    <row r="4" ht="15" customHeight="1" spans="1:10" x14ac:dyDescent="0.25">
      <c r="A4" s="6" t="s">
        <v>61</v>
      </c>
      <c r="B4" s="6" t="s">
        <v>1491</v>
      </c>
      <c r="C4" s="8">
        <v>8568952</v>
      </c>
      <c r="D4" s="7">
        <v>1.773</v>
      </c>
      <c r="E4" s="8">
        <v>1542411</v>
      </c>
      <c r="F4" s="8">
        <v>7026541</v>
      </c>
      <c r="G4" s="6" t="s">
        <v>1510</v>
      </c>
      <c r="H4" s="6" t="s">
        <v>1511</v>
      </c>
      <c r="I4" s="6">
        <v>62</v>
      </c>
      <c r="J4" s="7">
        <v>218.8</v>
      </c>
    </row>
    <row r="5" ht="15" customHeight="1" spans="1:10" x14ac:dyDescent="0.25">
      <c r="A5" s="6" t="s">
        <v>61</v>
      </c>
      <c r="B5" s="6" t="s">
        <v>1492</v>
      </c>
      <c r="C5" s="8">
        <v>8435022</v>
      </c>
      <c r="D5" s="7">
        <v>1.796</v>
      </c>
      <c r="E5" s="8">
        <v>1518304</v>
      </c>
      <c r="F5" s="8">
        <v>6916718</v>
      </c>
      <c r="G5" s="6" t="s">
        <v>1510</v>
      </c>
      <c r="H5" s="6" t="s">
        <v>1511</v>
      </c>
      <c r="I5" s="6">
        <v>62</v>
      </c>
      <c r="J5" s="7">
        <v>248</v>
      </c>
    </row>
    <row r="6" ht="15" customHeight="1" spans="1:10" x14ac:dyDescent="0.25">
      <c r="A6" s="6" t="s">
        <v>61</v>
      </c>
      <c r="B6" s="6" t="s">
        <v>1493</v>
      </c>
      <c r="C6" s="8">
        <v>9026349</v>
      </c>
      <c r="D6" s="7">
        <v>1.841</v>
      </c>
      <c r="E6" s="8">
        <v>1624743</v>
      </c>
      <c r="F6" s="8">
        <v>7401606</v>
      </c>
      <c r="G6" s="6" t="s">
        <v>1510</v>
      </c>
      <c r="H6" s="6" t="s">
        <v>1511</v>
      </c>
      <c r="I6" s="6">
        <v>62</v>
      </c>
      <c r="J6" s="7">
        <v>260.8</v>
      </c>
    </row>
    <row r="7" ht="15" customHeight="1" spans="1:10" x14ac:dyDescent="0.25">
      <c r="A7" s="6" t="s">
        <v>61</v>
      </c>
      <c r="B7" s="6" t="s">
        <v>1494</v>
      </c>
      <c r="C7" s="8">
        <v>8787919</v>
      </c>
      <c r="D7" s="7">
        <v>1.839</v>
      </c>
      <c r="E7" s="8">
        <v>1581826</v>
      </c>
      <c r="F7" s="8">
        <v>7206093</v>
      </c>
      <c r="G7" s="6" t="s">
        <v>1510</v>
      </c>
      <c r="H7" s="6" t="s">
        <v>1511</v>
      </c>
      <c r="I7" s="6">
        <v>62</v>
      </c>
      <c r="J7" s="7">
        <v>252.2</v>
      </c>
    </row>
    <row r="8" ht="15" customHeight="1" spans="1:10" x14ac:dyDescent="0.25">
      <c r="A8" s="6" t="s">
        <v>61</v>
      </c>
      <c r="B8" s="6" t="s">
        <v>1495</v>
      </c>
      <c r="C8" s="8">
        <v>9387774</v>
      </c>
      <c r="D8" s="7">
        <v>1.876</v>
      </c>
      <c r="E8" s="8">
        <v>1689799</v>
      </c>
      <c r="F8" s="8">
        <v>7697975</v>
      </c>
      <c r="G8" s="6" t="s">
        <v>1510</v>
      </c>
      <c r="H8" s="6" t="s">
        <v>1511</v>
      </c>
      <c r="I8" s="6">
        <v>62</v>
      </c>
      <c r="J8" s="7">
        <v>248.2</v>
      </c>
    </row>
    <row r="9" ht="15" customHeight="1" spans="1:10" x14ac:dyDescent="0.25">
      <c r="A9" s="6" t="s">
        <v>61</v>
      </c>
      <c r="B9" s="6" t="s">
        <v>1496</v>
      </c>
      <c r="C9" s="8">
        <v>9323969</v>
      </c>
      <c r="D9" s="7">
        <v>1.816</v>
      </c>
      <c r="E9" s="8">
        <v>1678314</v>
      </c>
      <c r="F9" s="8">
        <v>7645655</v>
      </c>
      <c r="G9" s="6" t="s">
        <v>1510</v>
      </c>
      <c r="H9" s="6" t="s">
        <v>1511</v>
      </c>
      <c r="I9" s="6">
        <v>62</v>
      </c>
      <c r="J9" s="7">
        <v>244.4</v>
      </c>
    </row>
    <row r="10" ht="15" customHeight="1" spans="1:10" x14ac:dyDescent="0.25">
      <c r="A10" s="6" t="s">
        <v>61</v>
      </c>
      <c r="B10" s="6" t="s">
        <v>1497</v>
      </c>
      <c r="C10" s="8">
        <v>9379458</v>
      </c>
      <c r="D10" s="7">
        <v>1.865</v>
      </c>
      <c r="E10" s="8">
        <v>1688302</v>
      </c>
      <c r="F10" s="8">
        <v>7691156</v>
      </c>
      <c r="G10" s="6" t="s">
        <v>1510</v>
      </c>
      <c r="H10" s="6" t="s">
        <v>1511</v>
      </c>
      <c r="I10" s="6">
        <v>62</v>
      </c>
      <c r="J10" s="7">
        <v>258.4</v>
      </c>
    </row>
    <row r="11" ht="15" customHeight="1" spans="1:10" x14ac:dyDescent="0.25">
      <c r="A11" s="6" t="s">
        <v>69</v>
      </c>
      <c r="B11" s="6" t="s">
        <v>1489</v>
      </c>
      <c r="C11" s="8">
        <v>7421269</v>
      </c>
      <c r="D11" s="7">
        <v>2.116</v>
      </c>
      <c r="E11" s="8">
        <v>890552</v>
      </c>
      <c r="F11" s="8">
        <v>6530717</v>
      </c>
      <c r="G11" s="6" t="s">
        <v>1510</v>
      </c>
      <c r="H11" s="6" t="s">
        <v>1511</v>
      </c>
      <c r="I11" s="6">
        <v>62</v>
      </c>
      <c r="J11" s="7">
        <v>189.5</v>
      </c>
    </row>
    <row r="12" ht="15" customHeight="1" spans="1:10" x14ac:dyDescent="0.25">
      <c r="A12" s="6" t="s">
        <v>69</v>
      </c>
      <c r="B12" s="6" t="s">
        <v>1490</v>
      </c>
      <c r="C12" s="8">
        <v>6725057</v>
      </c>
      <c r="D12" s="7">
        <v>2.091</v>
      </c>
      <c r="E12" s="8">
        <v>807007</v>
      </c>
      <c r="F12" s="8">
        <v>5918050</v>
      </c>
      <c r="G12" s="6" t="s">
        <v>1510</v>
      </c>
      <c r="H12" s="6" t="s">
        <v>1511</v>
      </c>
      <c r="I12" s="6">
        <v>62</v>
      </c>
      <c r="J12" s="7">
        <v>190.1</v>
      </c>
    </row>
    <row r="13" ht="15" customHeight="1" spans="1:10" x14ac:dyDescent="0.25">
      <c r="A13" s="6" t="s">
        <v>69</v>
      </c>
      <c r="B13" s="6" t="s">
        <v>1491</v>
      </c>
      <c r="C13" s="8">
        <v>7420556</v>
      </c>
      <c r="D13" s="7">
        <v>2.074</v>
      </c>
      <c r="E13" s="8">
        <v>890467</v>
      </c>
      <c r="F13" s="8">
        <v>6530089</v>
      </c>
      <c r="G13" s="6" t="s">
        <v>1510</v>
      </c>
      <c r="H13" s="6" t="s">
        <v>1511</v>
      </c>
      <c r="I13" s="6">
        <v>62</v>
      </c>
      <c r="J13" s="7">
        <v>189.5</v>
      </c>
    </row>
    <row r="14" ht="15" customHeight="1" spans="1:10" x14ac:dyDescent="0.25">
      <c r="A14" s="6" t="s">
        <v>69</v>
      </c>
      <c r="B14" s="6" t="s">
        <v>1492</v>
      </c>
      <c r="C14" s="8">
        <v>7342891</v>
      </c>
      <c r="D14" s="7">
        <v>2.095</v>
      </c>
      <c r="E14" s="8">
        <v>881147</v>
      </c>
      <c r="F14" s="8">
        <v>6461744</v>
      </c>
      <c r="G14" s="6" t="s">
        <v>1510</v>
      </c>
      <c r="H14" s="6" t="s">
        <v>1511</v>
      </c>
      <c r="I14" s="6">
        <v>62</v>
      </c>
      <c r="J14" s="7">
        <v>215.9</v>
      </c>
    </row>
    <row r="15" ht="15" customHeight="1" spans="1:10" x14ac:dyDescent="0.25">
      <c r="A15" s="6" t="s">
        <v>69</v>
      </c>
      <c r="B15" s="6" t="s">
        <v>1493</v>
      </c>
      <c r="C15" s="8">
        <v>7639658</v>
      </c>
      <c r="D15" s="7">
        <v>2.122</v>
      </c>
      <c r="E15" s="8">
        <v>916759</v>
      </c>
      <c r="F15" s="8">
        <v>6722899</v>
      </c>
      <c r="G15" s="6" t="s">
        <v>1510</v>
      </c>
      <c r="H15" s="6" t="s">
        <v>1511</v>
      </c>
      <c r="I15" s="6">
        <v>62</v>
      </c>
      <c r="J15" s="7">
        <v>220.8</v>
      </c>
    </row>
    <row r="16" ht="15" customHeight="1" spans="1:10" x14ac:dyDescent="0.25">
      <c r="A16" s="6" t="s">
        <v>69</v>
      </c>
      <c r="B16" s="6" t="s">
        <v>1494</v>
      </c>
      <c r="C16" s="8">
        <v>7429439</v>
      </c>
      <c r="D16" s="7">
        <v>2.085</v>
      </c>
      <c r="E16" s="8">
        <v>891533</v>
      </c>
      <c r="F16" s="8">
        <v>6537906</v>
      </c>
      <c r="G16" s="6" t="s">
        <v>1510</v>
      </c>
      <c r="H16" s="6" t="s">
        <v>1511</v>
      </c>
      <c r="I16" s="6">
        <v>62</v>
      </c>
      <c r="J16" s="7">
        <v>213.3</v>
      </c>
    </row>
    <row r="17" ht="15" customHeight="1" spans="1:10" x14ac:dyDescent="0.25">
      <c r="A17" s="6" t="s">
        <v>69</v>
      </c>
      <c r="B17" s="6" t="s">
        <v>1495</v>
      </c>
      <c r="C17" s="8">
        <v>7848084</v>
      </c>
      <c r="D17" s="7">
        <v>2.125</v>
      </c>
      <c r="E17" s="8">
        <v>941771</v>
      </c>
      <c r="F17" s="8">
        <v>6906313</v>
      </c>
      <c r="G17" s="6" t="s">
        <v>1510</v>
      </c>
      <c r="H17" s="6" t="s">
        <v>1511</v>
      </c>
      <c r="I17" s="6">
        <v>62</v>
      </c>
      <c r="J17" s="7">
        <v>207.5</v>
      </c>
    </row>
    <row r="18" ht="15" customHeight="1" spans="1:10" x14ac:dyDescent="0.25">
      <c r="A18" s="6" t="s">
        <v>69</v>
      </c>
      <c r="B18" s="6" t="s">
        <v>1496</v>
      </c>
      <c r="C18" s="8">
        <v>7875918</v>
      </c>
      <c r="D18" s="7">
        <v>2.121</v>
      </c>
      <c r="E18" s="8">
        <v>945110</v>
      </c>
      <c r="F18" s="8">
        <v>6930808</v>
      </c>
      <c r="G18" s="6" t="s">
        <v>1510</v>
      </c>
      <c r="H18" s="6" t="s">
        <v>1511</v>
      </c>
      <c r="I18" s="6">
        <v>62</v>
      </c>
      <c r="J18" s="7">
        <v>206.4</v>
      </c>
    </row>
    <row r="19" ht="15" customHeight="1" spans="1:10" x14ac:dyDescent="0.25">
      <c r="A19" s="6" t="s">
        <v>69</v>
      </c>
      <c r="B19" s="6" t="s">
        <v>1497</v>
      </c>
      <c r="C19" s="8">
        <v>7587855</v>
      </c>
      <c r="D19" s="7">
        <v>2.096</v>
      </c>
      <c r="E19" s="8">
        <v>910543</v>
      </c>
      <c r="F19" s="8">
        <v>6677312</v>
      </c>
      <c r="G19" s="6" t="s">
        <v>1510</v>
      </c>
      <c r="H19" s="6" t="s">
        <v>1511</v>
      </c>
      <c r="I19" s="6">
        <v>62</v>
      </c>
      <c r="J19" s="7">
        <v>209</v>
      </c>
    </row>
    <row r="20" ht="15" customHeight="1" spans="1:10" x14ac:dyDescent="0.25">
      <c r="A20" s="6" t="s">
        <v>73</v>
      </c>
      <c r="B20" s="6" t="s">
        <v>1489</v>
      </c>
      <c r="C20" s="8">
        <v>9543092</v>
      </c>
      <c r="D20" s="7">
        <v>2.453</v>
      </c>
      <c r="E20" s="8">
        <v>858878</v>
      </c>
      <c r="F20" s="8">
        <v>8684214</v>
      </c>
      <c r="G20" s="6" t="s">
        <v>1510</v>
      </c>
      <c r="H20" s="6" t="s">
        <v>1512</v>
      </c>
      <c r="I20" s="6">
        <v>84</v>
      </c>
      <c r="J20" s="7">
        <v>243.7</v>
      </c>
    </row>
    <row r="21" ht="15" customHeight="1" spans="1:10" x14ac:dyDescent="0.25">
      <c r="A21" s="6" t="s">
        <v>73</v>
      </c>
      <c r="B21" s="6" t="s">
        <v>1490</v>
      </c>
      <c r="C21" s="8">
        <v>8610699</v>
      </c>
      <c r="D21" s="7">
        <v>2.49</v>
      </c>
      <c r="E21" s="8">
        <v>774963</v>
      </c>
      <c r="F21" s="8">
        <v>7835736</v>
      </c>
      <c r="G21" s="6" t="s">
        <v>1510</v>
      </c>
      <c r="H21" s="6" t="s">
        <v>1512</v>
      </c>
      <c r="I21" s="6">
        <v>84</v>
      </c>
      <c r="J21" s="7">
        <v>243.5</v>
      </c>
    </row>
    <row r="22" ht="15" customHeight="1" spans="1:10" x14ac:dyDescent="0.25">
      <c r="A22" s="6" t="s">
        <v>73</v>
      </c>
      <c r="B22" s="6" t="s">
        <v>1491</v>
      </c>
      <c r="C22" s="8">
        <v>9821291</v>
      </c>
      <c r="D22" s="7">
        <v>2.486</v>
      </c>
      <c r="E22" s="8">
        <v>883917</v>
      </c>
      <c r="F22" s="8">
        <v>8937374</v>
      </c>
      <c r="G22" s="6" t="s">
        <v>1510</v>
      </c>
      <c r="H22" s="6" t="s">
        <v>1512</v>
      </c>
      <c r="I22" s="6">
        <v>84</v>
      </c>
      <c r="J22" s="7">
        <v>250.8</v>
      </c>
    </row>
    <row r="23" ht="15" customHeight="1" spans="1:10" x14ac:dyDescent="0.25">
      <c r="A23" s="6" t="s">
        <v>73</v>
      </c>
      <c r="B23" s="6" t="s">
        <v>1492</v>
      </c>
      <c r="C23" s="8">
        <v>9552539</v>
      </c>
      <c r="D23" s="7">
        <v>2.485</v>
      </c>
      <c r="E23" s="8">
        <v>859729</v>
      </c>
      <c r="F23" s="8">
        <v>8692810</v>
      </c>
      <c r="G23" s="6" t="s">
        <v>1510</v>
      </c>
      <c r="H23" s="6" t="s">
        <v>1512</v>
      </c>
      <c r="I23" s="6">
        <v>84</v>
      </c>
      <c r="J23" s="7">
        <v>280.8</v>
      </c>
    </row>
    <row r="24" ht="15" customHeight="1" spans="1:10" x14ac:dyDescent="0.25">
      <c r="A24" s="6" t="s">
        <v>73</v>
      </c>
      <c r="B24" s="6" t="s">
        <v>1493</v>
      </c>
      <c r="C24" s="8">
        <v>9569700</v>
      </c>
      <c r="D24" s="7">
        <v>2.45</v>
      </c>
      <c r="E24" s="8">
        <v>861273</v>
      </c>
      <c r="F24" s="8">
        <v>8708427</v>
      </c>
      <c r="G24" s="6" t="s">
        <v>1510</v>
      </c>
      <c r="H24" s="6" t="s">
        <v>1512</v>
      </c>
      <c r="I24" s="6">
        <v>84</v>
      </c>
      <c r="J24" s="7">
        <v>276.5</v>
      </c>
    </row>
    <row r="25" ht="15" customHeight="1" spans="1:10" x14ac:dyDescent="0.25">
      <c r="A25" s="6" t="s">
        <v>73</v>
      </c>
      <c r="B25" s="6" t="s">
        <v>1494</v>
      </c>
      <c r="C25" s="8">
        <v>9547949</v>
      </c>
      <c r="D25" s="7">
        <v>2.488</v>
      </c>
      <c r="E25" s="8">
        <v>859315</v>
      </c>
      <c r="F25" s="8">
        <v>8688634</v>
      </c>
      <c r="G25" s="6" t="s">
        <v>1510</v>
      </c>
      <c r="H25" s="6" t="s">
        <v>1512</v>
      </c>
      <c r="I25" s="6">
        <v>84</v>
      </c>
      <c r="J25" s="7">
        <v>274.1</v>
      </c>
    </row>
    <row r="26" ht="15" customHeight="1" spans="1:10" x14ac:dyDescent="0.25">
      <c r="A26" s="6" t="s">
        <v>73</v>
      </c>
      <c r="B26" s="6" t="s">
        <v>1495</v>
      </c>
      <c r="C26" s="8">
        <v>10100568</v>
      </c>
      <c r="D26" s="7">
        <v>2.481</v>
      </c>
      <c r="E26" s="8">
        <v>909051</v>
      </c>
      <c r="F26" s="8">
        <v>9191517</v>
      </c>
      <c r="G26" s="6" t="s">
        <v>1510</v>
      </c>
      <c r="H26" s="6" t="s">
        <v>1512</v>
      </c>
      <c r="I26" s="6">
        <v>84</v>
      </c>
      <c r="J26" s="7">
        <v>267</v>
      </c>
    </row>
    <row r="27" ht="15" customHeight="1" spans="1:10" x14ac:dyDescent="0.25">
      <c r="A27" s="6" t="s">
        <v>73</v>
      </c>
      <c r="B27" s="6" t="s">
        <v>1496</v>
      </c>
      <c r="C27" s="8">
        <v>9827477</v>
      </c>
      <c r="D27" s="7">
        <v>2.425</v>
      </c>
      <c r="E27" s="8">
        <v>884473</v>
      </c>
      <c r="F27" s="8">
        <v>8943004</v>
      </c>
      <c r="G27" s="6" t="s">
        <v>1510</v>
      </c>
      <c r="H27" s="6" t="s">
        <v>1512</v>
      </c>
      <c r="I27" s="6">
        <v>84</v>
      </c>
      <c r="J27" s="7">
        <v>257.6</v>
      </c>
    </row>
    <row r="28" ht="15" customHeight="1" spans="1:10" x14ac:dyDescent="0.25">
      <c r="A28" s="6" t="s">
        <v>73</v>
      </c>
      <c r="B28" s="6" t="s">
        <v>1497</v>
      </c>
      <c r="C28" s="8">
        <v>9898362</v>
      </c>
      <c r="D28" s="7">
        <v>2.511</v>
      </c>
      <c r="E28" s="8">
        <v>890852</v>
      </c>
      <c r="F28" s="8">
        <v>9007510</v>
      </c>
      <c r="G28" s="6" t="s">
        <v>1510</v>
      </c>
      <c r="H28" s="6" t="s">
        <v>1512</v>
      </c>
      <c r="I28" s="6">
        <v>84</v>
      </c>
      <c r="J28" s="7">
        <v>272.7</v>
      </c>
    </row>
    <row r="29" ht="15" customHeight="1" spans="1:10" x14ac:dyDescent="0.25">
      <c r="A29" s="6" t="s">
        <v>79</v>
      </c>
      <c r="B29" s="6" t="s">
        <v>1489</v>
      </c>
      <c r="C29" s="8">
        <v>5151094</v>
      </c>
      <c r="D29" s="7">
        <v>0.962</v>
      </c>
      <c r="E29" s="8">
        <v>2369503</v>
      </c>
      <c r="F29" s="8">
        <v>2781591</v>
      </c>
      <c r="G29" s="6" t="s">
        <v>1510</v>
      </c>
      <c r="H29" s="6" t="s">
        <v>1511</v>
      </c>
      <c r="I29" s="6">
        <v>68</v>
      </c>
      <c r="J29" s="7">
        <v>131.5</v>
      </c>
    </row>
    <row r="30" ht="15" customHeight="1" spans="1:10" x14ac:dyDescent="0.25">
      <c r="A30" s="6" t="s">
        <v>79</v>
      </c>
      <c r="B30" s="6" t="s">
        <v>1490</v>
      </c>
      <c r="C30" s="8">
        <v>4571582</v>
      </c>
      <c r="D30" s="7">
        <v>0.93</v>
      </c>
      <c r="E30" s="8">
        <v>2102927</v>
      </c>
      <c r="F30" s="8">
        <v>2468655</v>
      </c>
      <c r="G30" s="6" t="s">
        <v>1510</v>
      </c>
      <c r="H30" s="6" t="s">
        <v>1511</v>
      </c>
      <c r="I30" s="6">
        <v>68</v>
      </c>
      <c r="J30" s="7">
        <v>129.3</v>
      </c>
    </row>
    <row r="31" ht="15" customHeight="1" spans="1:10" x14ac:dyDescent="0.25">
      <c r="A31" s="6" t="s">
        <v>79</v>
      </c>
      <c r="B31" s="6" t="s">
        <v>1491</v>
      </c>
      <c r="C31" s="8">
        <v>5298735</v>
      </c>
      <c r="D31" s="7">
        <v>0.967</v>
      </c>
      <c r="E31" s="8">
        <v>2437418</v>
      </c>
      <c r="F31" s="8">
        <v>2861317</v>
      </c>
      <c r="G31" s="6" t="s">
        <v>1510</v>
      </c>
      <c r="H31" s="6" t="s">
        <v>1511</v>
      </c>
      <c r="I31" s="6">
        <v>68</v>
      </c>
      <c r="J31" s="7">
        <v>135.3</v>
      </c>
    </row>
    <row r="32" ht="15" customHeight="1" spans="1:10" x14ac:dyDescent="0.25">
      <c r="A32" s="6" t="s">
        <v>79</v>
      </c>
      <c r="B32" s="6" t="s">
        <v>1492</v>
      </c>
      <c r="C32" s="8">
        <v>4913758</v>
      </c>
      <c r="D32" s="7">
        <v>0.924</v>
      </c>
      <c r="E32" s="8">
        <v>2260329</v>
      </c>
      <c r="F32" s="8">
        <v>2653429</v>
      </c>
      <c r="G32" s="6" t="s">
        <v>1510</v>
      </c>
      <c r="H32" s="6" t="s">
        <v>1511</v>
      </c>
      <c r="I32" s="6">
        <v>68</v>
      </c>
      <c r="J32" s="7">
        <v>144.5</v>
      </c>
    </row>
    <row r="33" ht="15" customHeight="1" spans="1:10" x14ac:dyDescent="0.25">
      <c r="A33" s="6" t="s">
        <v>79</v>
      </c>
      <c r="B33" s="6" t="s">
        <v>1493</v>
      </c>
      <c r="C33" s="8">
        <v>5286074</v>
      </c>
      <c r="D33" s="7">
        <v>0.934</v>
      </c>
      <c r="E33" s="8">
        <v>2431594</v>
      </c>
      <c r="F33" s="8">
        <v>2854480</v>
      </c>
      <c r="G33" s="6" t="s">
        <v>1510</v>
      </c>
      <c r="H33" s="6" t="s">
        <v>1511</v>
      </c>
      <c r="I33" s="6">
        <v>68</v>
      </c>
      <c r="J33" s="7">
        <v>152.8</v>
      </c>
    </row>
    <row r="34" ht="15" customHeight="1" spans="1:10" x14ac:dyDescent="0.25">
      <c r="A34" s="6" t="s">
        <v>79</v>
      </c>
      <c r="B34" s="6" t="s">
        <v>1494</v>
      </c>
      <c r="C34" s="8">
        <v>5007537</v>
      </c>
      <c r="D34" s="7">
        <v>0.912</v>
      </c>
      <c r="E34" s="8">
        <v>2303467</v>
      </c>
      <c r="F34" s="8">
        <v>2704070</v>
      </c>
      <c r="G34" s="6" t="s">
        <v>1510</v>
      </c>
      <c r="H34" s="6" t="s">
        <v>1511</v>
      </c>
      <c r="I34" s="6">
        <v>68</v>
      </c>
      <c r="J34" s="7">
        <v>143.7</v>
      </c>
    </row>
    <row r="35" ht="15" customHeight="1" spans="1:10" x14ac:dyDescent="0.25">
      <c r="A35" s="6" t="s">
        <v>79</v>
      </c>
      <c r="B35" s="6" t="s">
        <v>1495</v>
      </c>
      <c r="C35" s="8">
        <v>5170136</v>
      </c>
      <c r="D35" s="7">
        <v>0.911</v>
      </c>
      <c r="E35" s="8">
        <v>2378263</v>
      </c>
      <c r="F35" s="8">
        <v>2791873</v>
      </c>
      <c r="G35" s="6" t="s">
        <v>1510</v>
      </c>
      <c r="H35" s="6" t="s">
        <v>1511</v>
      </c>
      <c r="I35" s="6">
        <v>68</v>
      </c>
      <c r="J35" s="7">
        <v>136.7</v>
      </c>
    </row>
    <row r="36" ht="15" customHeight="1" spans="1:10" x14ac:dyDescent="0.25">
      <c r="A36" s="6" t="s">
        <v>79</v>
      </c>
      <c r="B36" s="6" t="s">
        <v>1496</v>
      </c>
      <c r="C36" s="8">
        <v>5568694</v>
      </c>
      <c r="D36" s="7">
        <v>0.982</v>
      </c>
      <c r="E36" s="8">
        <v>2561600</v>
      </c>
      <c r="F36" s="8">
        <v>3007094</v>
      </c>
      <c r="G36" s="6" t="s">
        <v>1510</v>
      </c>
      <c r="H36" s="6" t="s">
        <v>1511</v>
      </c>
      <c r="I36" s="6">
        <v>68</v>
      </c>
      <c r="J36" s="7">
        <v>146</v>
      </c>
    </row>
    <row r="37" ht="15" customHeight="1" spans="1:10" x14ac:dyDescent="0.25">
      <c r="A37" s="6" t="s">
        <v>79</v>
      </c>
      <c r="B37" s="6" t="s">
        <v>1497</v>
      </c>
      <c r="C37" s="8">
        <v>5121935</v>
      </c>
      <c r="D37" s="7">
        <v>0.927</v>
      </c>
      <c r="E37" s="8">
        <v>2356090</v>
      </c>
      <c r="F37" s="8">
        <v>2765845</v>
      </c>
      <c r="G37" s="6" t="s">
        <v>1510</v>
      </c>
      <c r="H37" s="6" t="s">
        <v>1511</v>
      </c>
      <c r="I37" s="6">
        <v>68</v>
      </c>
      <c r="J37" s="7">
        <v>141.1</v>
      </c>
    </row>
    <row r="38" ht="15" customHeight="1" spans="1:10" x14ac:dyDescent="0.25">
      <c r="A38" s="6" t="s">
        <v>85</v>
      </c>
      <c r="B38" s="6" t="s">
        <v>1489</v>
      </c>
      <c r="C38" s="8">
        <v>10360588</v>
      </c>
      <c r="D38" s="7">
        <v>1.963</v>
      </c>
      <c r="E38" s="8">
        <v>2175724</v>
      </c>
      <c r="F38" s="8">
        <v>8184864</v>
      </c>
      <c r="G38" s="6" t="s">
        <v>1510</v>
      </c>
      <c r="H38" s="6" t="s">
        <v>1512</v>
      </c>
      <c r="I38" s="6">
        <v>86</v>
      </c>
      <c r="J38" s="7">
        <v>264.6</v>
      </c>
    </row>
    <row r="39" ht="15" customHeight="1" spans="1:10" x14ac:dyDescent="0.25">
      <c r="A39" s="6" t="s">
        <v>85</v>
      </c>
      <c r="B39" s="6" t="s">
        <v>1490</v>
      </c>
      <c r="C39" s="8">
        <v>9425629</v>
      </c>
      <c r="D39" s="7">
        <v>1.987</v>
      </c>
      <c r="E39" s="8">
        <v>1979382</v>
      </c>
      <c r="F39" s="8">
        <v>7446247</v>
      </c>
      <c r="G39" s="6" t="s">
        <v>1510</v>
      </c>
      <c r="H39" s="6" t="s">
        <v>1512</v>
      </c>
      <c r="I39" s="6">
        <v>86</v>
      </c>
      <c r="J39" s="7">
        <v>266.5</v>
      </c>
    </row>
    <row r="40" ht="15" customHeight="1" spans="1:10" x14ac:dyDescent="0.25">
      <c r="A40" s="6" t="s">
        <v>85</v>
      </c>
      <c r="B40" s="6" t="s">
        <v>1491</v>
      </c>
      <c r="C40" s="8">
        <v>10211845</v>
      </c>
      <c r="D40" s="7">
        <v>1.934</v>
      </c>
      <c r="E40" s="8">
        <v>2144488</v>
      </c>
      <c r="F40" s="8">
        <v>8067357</v>
      </c>
      <c r="G40" s="6" t="s">
        <v>1510</v>
      </c>
      <c r="H40" s="6" t="s">
        <v>1512</v>
      </c>
      <c r="I40" s="6">
        <v>86</v>
      </c>
      <c r="J40" s="7">
        <v>260.8</v>
      </c>
    </row>
    <row r="41" ht="15" customHeight="1" spans="1:10" x14ac:dyDescent="0.25">
      <c r="A41" s="6" t="s">
        <v>85</v>
      </c>
      <c r="B41" s="6" t="s">
        <v>1492</v>
      </c>
      <c r="C41" s="8">
        <v>10255376</v>
      </c>
      <c r="D41" s="7">
        <v>1.978</v>
      </c>
      <c r="E41" s="8">
        <v>2153629</v>
      </c>
      <c r="F41" s="8">
        <v>8101747</v>
      </c>
      <c r="G41" s="6" t="s">
        <v>1510</v>
      </c>
      <c r="H41" s="6" t="s">
        <v>1512</v>
      </c>
      <c r="I41" s="6">
        <v>86</v>
      </c>
      <c r="J41" s="7">
        <v>301.5</v>
      </c>
    </row>
    <row r="42" ht="15" customHeight="1" spans="1:10" x14ac:dyDescent="0.25">
      <c r="A42" s="6" t="s">
        <v>85</v>
      </c>
      <c r="B42" s="6" t="s">
        <v>1493</v>
      </c>
      <c r="C42" s="8">
        <v>10426940</v>
      </c>
      <c r="D42" s="7">
        <v>1.936</v>
      </c>
      <c r="E42" s="8">
        <v>2189658</v>
      </c>
      <c r="F42" s="8">
        <v>8237282</v>
      </c>
      <c r="G42" s="6" t="s">
        <v>1510</v>
      </c>
      <c r="H42" s="6" t="s">
        <v>1512</v>
      </c>
      <c r="I42" s="6">
        <v>86</v>
      </c>
      <c r="J42" s="7">
        <v>301.3</v>
      </c>
    </row>
    <row r="43" ht="15" customHeight="1" spans="1:10" x14ac:dyDescent="0.25">
      <c r="A43" s="6" t="s">
        <v>85</v>
      </c>
      <c r="B43" s="6" t="s">
        <v>1494</v>
      </c>
      <c r="C43" s="8">
        <v>10145629</v>
      </c>
      <c r="D43" s="7">
        <v>1.942</v>
      </c>
      <c r="E43" s="8">
        <v>2130582</v>
      </c>
      <c r="F43" s="8">
        <v>8015047</v>
      </c>
      <c r="G43" s="6" t="s">
        <v>1510</v>
      </c>
      <c r="H43" s="6" t="s">
        <v>1512</v>
      </c>
      <c r="I43" s="6">
        <v>86</v>
      </c>
      <c r="J43" s="7">
        <v>291.2</v>
      </c>
    </row>
    <row r="44" ht="15" customHeight="1" spans="1:10" x14ac:dyDescent="0.25">
      <c r="A44" s="6" t="s">
        <v>85</v>
      </c>
      <c r="B44" s="6" t="s">
        <v>1495</v>
      </c>
      <c r="C44" s="8">
        <v>10773477</v>
      </c>
      <c r="D44" s="7">
        <v>1.96</v>
      </c>
      <c r="E44" s="8">
        <v>2262431</v>
      </c>
      <c r="F44" s="8">
        <v>8511046</v>
      </c>
      <c r="G44" s="6" t="s">
        <v>1510</v>
      </c>
      <c r="H44" s="6" t="s">
        <v>1512</v>
      </c>
      <c r="I44" s="6">
        <v>86</v>
      </c>
      <c r="J44" s="7">
        <v>284.8</v>
      </c>
    </row>
    <row r="45" ht="15" customHeight="1" spans="1:10" x14ac:dyDescent="0.25">
      <c r="A45" s="6" t="s">
        <v>85</v>
      </c>
      <c r="B45" s="6" t="s">
        <v>1496</v>
      </c>
      <c r="C45" s="8">
        <v>10902588</v>
      </c>
      <c r="D45" s="7">
        <v>1.957</v>
      </c>
      <c r="E45" s="8">
        <v>2289543</v>
      </c>
      <c r="F45" s="8">
        <v>8613045</v>
      </c>
      <c r="G45" s="6" t="s">
        <v>1510</v>
      </c>
      <c r="H45" s="6" t="s">
        <v>1512</v>
      </c>
      <c r="I45" s="6">
        <v>86</v>
      </c>
      <c r="J45" s="7">
        <v>285.8</v>
      </c>
    </row>
    <row r="46" ht="15" customHeight="1" spans="1:10" x14ac:dyDescent="0.25">
      <c r="A46" s="6" t="s">
        <v>85</v>
      </c>
      <c r="B46" s="6" t="s">
        <v>1497</v>
      </c>
      <c r="C46" s="8">
        <v>10648675</v>
      </c>
      <c r="D46" s="7">
        <v>1.954</v>
      </c>
      <c r="E46" s="8">
        <v>2236221</v>
      </c>
      <c r="F46" s="8">
        <v>8412454</v>
      </c>
      <c r="G46" s="6" t="s">
        <v>1510</v>
      </c>
      <c r="H46" s="6" t="s">
        <v>1512</v>
      </c>
      <c r="I46" s="6">
        <v>86</v>
      </c>
      <c r="J46" s="7">
        <v>293.3</v>
      </c>
    </row>
    <row r="48" ht="15" customHeight="1" spans="1:2" x14ac:dyDescent="0.25">
      <c r="A48" s="9" t="s">
        <v>1513</v>
      </c>
    </row>
    <row r="49" ht="15" customHeight="1" spans="1:2" x14ac:dyDescent="0.25">
      <c r="A49" s="9" t="s">
        <v>1514</v>
      </c>
    </row>
    <row r="50" ht="15" customHeight="1" spans="1:2" x14ac:dyDescent="0.25">
      <c r="A50" s="9" t="s">
        <v>1515</v>
      </c>
    </row>
    <row r="51" spans="1:2" x14ac:dyDescent="0.25">
      <c r="A51" s="9" t="s">
        <v>1516</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zoomScale="100" zoomScaleNormal="100" view="normal">
      <pane ySplit="1" topLeftCell="A2" activePane="bottomLeft" state="frozen"/>
      <selection pane="bottomLeft" activeCell="A1" sqref="A1"/>
    </sheetView>
  </sheetViews>
  <sheetFormatPr defaultRowHeight="15" outlineLevelRow="0" outlineLevelCol="0" x14ac:dyDescent="0" defaultColWidth="8.6796875"/>
  <cols>
    <col min="1" max="1" width="11" customWidth="1"/>
    <col min="2" max="2" width="12" customWidth="1"/>
    <col min="3" max="3" width="13" customWidth="1"/>
    <col min="4" max="4" width="20" customWidth="1"/>
    <col min="5" max="5" width="18" customWidth="1"/>
    <col min="6" max="6" width="13" customWidth="1"/>
    <col min="7" max="7" width="12" customWidth="1"/>
    <col min="8" max="8" width="19" customWidth="1"/>
    <col min="9" max="9" width="15" customWidth="1"/>
    <col min="10" max="10" width="50" customWidth="1"/>
  </cols>
  <sheetData>
    <row r="1" ht="30" customHeight="1" spans="1:10" x14ac:dyDescent="0.25">
      <c r="A1" s="5" t="s">
        <v>42</v>
      </c>
      <c r="B1" s="5" t="s">
        <v>1517</v>
      </c>
      <c r="C1" s="5" t="s">
        <v>1518</v>
      </c>
      <c r="D1" s="5" t="s">
        <v>1519</v>
      </c>
      <c r="E1" s="5" t="s">
        <v>1520</v>
      </c>
      <c r="F1" s="5" t="s">
        <v>145</v>
      </c>
      <c r="G1" s="5" t="s">
        <v>1521</v>
      </c>
      <c r="H1" s="5" t="s">
        <v>1522</v>
      </c>
      <c r="I1" s="5" t="s">
        <v>1523</v>
      </c>
      <c r="J1" s="5" t="s">
        <v>107</v>
      </c>
    </row>
    <row r="2" ht="15" customHeight="1" spans="1:10" x14ac:dyDescent="0.25">
      <c r="A2" s="6" t="s">
        <v>61</v>
      </c>
      <c r="B2" s="6" t="s">
        <v>1524</v>
      </c>
      <c r="C2" s="6">
        <v>33</v>
      </c>
      <c r="D2" s="8">
        <v>12000</v>
      </c>
      <c r="E2" s="8">
        <v>10744</v>
      </c>
      <c r="F2" s="8">
        <v>1256</v>
      </c>
      <c r="G2" s="6">
        <v>2</v>
      </c>
      <c r="H2" s="6" t="s">
        <v>1525</v>
      </c>
      <c r="I2" s="6">
        <v>0</v>
      </c>
      <c r="J2" s="6" t="s">
        <v>1526</v>
      </c>
    </row>
    <row r="3" ht="15" customHeight="1" spans="1:10" x14ac:dyDescent="0.25">
      <c r="A3" s="6" t="s">
        <v>69</v>
      </c>
      <c r="B3" s="6" t="s">
        <v>1524</v>
      </c>
      <c r="C3" s="6">
        <v>33</v>
      </c>
      <c r="D3" s="8">
        <v>9000</v>
      </c>
      <c r="E3" s="8">
        <v>8613</v>
      </c>
      <c r="F3" s="6">
        <v>387</v>
      </c>
      <c r="G3" s="6">
        <v>2</v>
      </c>
      <c r="H3" s="6" t="s">
        <v>1525</v>
      </c>
      <c r="I3" s="6">
        <v>0</v>
      </c>
      <c r="J3" s="6" t="s">
        <v>1527</v>
      </c>
    </row>
    <row r="4" ht="15" customHeight="1" spans="1:10" x14ac:dyDescent="0.25">
      <c r="A4" s="6" t="s">
        <v>73</v>
      </c>
      <c r="B4" s="6" t="s">
        <v>1528</v>
      </c>
      <c r="C4" s="6">
        <v>33</v>
      </c>
      <c r="D4" s="8">
        <v>10000</v>
      </c>
      <c r="E4" s="8">
        <v>8813</v>
      </c>
      <c r="F4" s="8">
        <v>1187</v>
      </c>
      <c r="G4" s="6">
        <v>2</v>
      </c>
      <c r="H4" s="6" t="s">
        <v>1525</v>
      </c>
      <c r="I4" s="6">
        <v>0</v>
      </c>
      <c r="J4" s="6" t="s">
        <v>1529</v>
      </c>
    </row>
    <row r="5" ht="15" customHeight="1" spans="1:10" x14ac:dyDescent="0.25">
      <c r="A5" s="6" t="s">
        <v>79</v>
      </c>
      <c r="B5" s="6" t="s">
        <v>1530</v>
      </c>
      <c r="C5" s="6">
        <v>132</v>
      </c>
      <c r="D5" s="8">
        <v>22000</v>
      </c>
      <c r="E5" s="8">
        <v>10318</v>
      </c>
      <c r="F5" s="8">
        <v>11682</v>
      </c>
      <c r="G5" s="6">
        <v>2</v>
      </c>
      <c r="H5" s="6" t="s">
        <v>1525</v>
      </c>
      <c r="I5" s="6">
        <v>0</v>
      </c>
      <c r="J5" s="6" t="s">
        <v>1531</v>
      </c>
    </row>
    <row r="6" ht="15" customHeight="1" spans="1:10" x14ac:dyDescent="0.25">
      <c r="A6" s="6" t="s">
        <v>85</v>
      </c>
      <c r="B6" s="6" t="s">
        <v>1532</v>
      </c>
      <c r="C6" s="6">
        <v>33</v>
      </c>
      <c r="D6" s="8">
        <v>13000</v>
      </c>
      <c r="E6" s="8">
        <v>12550</v>
      </c>
      <c r="F6" s="6">
        <v>450</v>
      </c>
      <c r="G6" s="6">
        <v>2</v>
      </c>
      <c r="H6" s="6" t="s">
        <v>1525</v>
      </c>
      <c r="I6" s="6">
        <v>0</v>
      </c>
      <c r="J6" s="6" t="s">
        <v>1533</v>
      </c>
    </row>
    <row r="7" ht="15" customHeight="1" spans="1:10" x14ac:dyDescent="0.25">
      <c r="A7" s="6" t="s">
        <v>91</v>
      </c>
      <c r="B7" s="6" t="s">
        <v>1534</v>
      </c>
      <c r="C7" s="6">
        <v>220</v>
      </c>
      <c r="D7" s="8">
        <v>30000</v>
      </c>
      <c r="E7" s="6">
        <v>0</v>
      </c>
      <c r="F7" s="8">
        <v>30000</v>
      </c>
      <c r="G7" s="6">
        <v>2</v>
      </c>
      <c r="H7" s="6" t="s">
        <v>1535</v>
      </c>
      <c r="I7" s="6">
        <v>31</v>
      </c>
      <c r="J7" s="6" t="s">
        <v>1536</v>
      </c>
    </row>
    <row r="9" ht="15" customHeight="1" spans="1:1" x14ac:dyDescent="0.25">
      <c r="A9" s="9" t="s">
        <v>1537</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
  <sheetViews>
    <sheetView workbookViewId="0" zoomScale="100" zoomScaleNormal="100" view="normal">
      <pane ySplit="1" topLeftCell="A2" activePane="bottomLeft" state="frozen"/>
      <selection pane="bottomLeft" activeCell="A1" sqref="A1"/>
    </sheetView>
  </sheetViews>
  <sheetFormatPr defaultRowHeight="15" outlineLevelRow="0" outlineLevelCol="0" x14ac:dyDescent="0" defaultColWidth="8.6796875"/>
  <cols>
    <col min="1" max="1" width="15" customWidth="1"/>
    <col min="2" max="2" width="36" customWidth="1"/>
    <col min="3" max="3" width="15" customWidth="1"/>
    <col min="4" max="4" width="44" customWidth="1"/>
    <col min="5" max="5" width="42" customWidth="1"/>
    <col min="6" max="6" width="60" customWidth="1"/>
    <col min="7" max="7" width="16" customWidth="1"/>
    <col min="8" max="8" width="10" customWidth="1"/>
  </cols>
  <sheetData>
    <row r="1" ht="30" customHeight="1" spans="1:8" x14ac:dyDescent="0.25">
      <c r="A1" s="5" t="s">
        <v>1538</v>
      </c>
      <c r="B1" s="5" t="s">
        <v>1539</v>
      </c>
      <c r="C1" s="5" t="s">
        <v>1540</v>
      </c>
      <c r="D1" s="5" t="s">
        <v>1541</v>
      </c>
      <c r="E1" s="5" t="s">
        <v>1542</v>
      </c>
      <c r="F1" s="5" t="s">
        <v>1543</v>
      </c>
      <c r="G1" s="5" t="s">
        <v>1544</v>
      </c>
      <c r="H1" s="5" t="s">
        <v>50</v>
      </c>
    </row>
    <row r="2" ht="15" customHeight="1" spans="1:8" x14ac:dyDescent="0.25">
      <c r="A2" s="6" t="s">
        <v>94</v>
      </c>
      <c r="B2" s="6" t="s">
        <v>1545</v>
      </c>
      <c r="C2" s="6" t="s">
        <v>1546</v>
      </c>
      <c r="D2" s="6" t="s">
        <v>1547</v>
      </c>
      <c r="E2" s="6" t="s">
        <v>1548</v>
      </c>
      <c r="F2" s="6" t="s">
        <v>1549</v>
      </c>
      <c r="G2" s="6" t="s">
        <v>91</v>
      </c>
      <c r="H2" s="6" t="s">
        <v>1550</v>
      </c>
    </row>
    <row r="3" ht="15" customHeight="1" spans="1:8" x14ac:dyDescent="0.25">
      <c r="A3" s="6" t="s">
        <v>64</v>
      </c>
      <c r="B3" s="6" t="s">
        <v>1551</v>
      </c>
      <c r="C3" s="6" t="s">
        <v>1552</v>
      </c>
      <c r="D3" s="6" t="s">
        <v>1553</v>
      </c>
      <c r="E3" s="6" t="s">
        <v>1554</v>
      </c>
      <c r="F3" s="6" t="s">
        <v>1555</v>
      </c>
      <c r="G3" s="6" t="s">
        <v>1556</v>
      </c>
      <c r="H3" s="6" t="s">
        <v>1550</v>
      </c>
    </row>
    <row r="4" ht="15" customHeight="1" spans="1:8" x14ac:dyDescent="0.25">
      <c r="A4" s="6" t="s">
        <v>76</v>
      </c>
      <c r="B4" s="6" t="s">
        <v>1557</v>
      </c>
      <c r="C4" s="6" t="s">
        <v>1558</v>
      </c>
      <c r="D4" s="6" t="s">
        <v>1559</v>
      </c>
      <c r="E4" s="6" t="s">
        <v>1560</v>
      </c>
      <c r="F4" s="6" t="s">
        <v>1561</v>
      </c>
      <c r="G4" s="6" t="s">
        <v>73</v>
      </c>
      <c r="H4" s="6" t="s">
        <v>1550</v>
      </c>
    </row>
    <row r="5" ht="15" customHeight="1" spans="1:8" x14ac:dyDescent="0.25">
      <c r="A5" s="6" t="s">
        <v>82</v>
      </c>
      <c r="B5" s="6" t="s">
        <v>1562</v>
      </c>
      <c r="C5" s="6" t="s">
        <v>1563</v>
      </c>
      <c r="D5" s="6" t="s">
        <v>1564</v>
      </c>
      <c r="E5" s="6" t="s">
        <v>1565</v>
      </c>
      <c r="F5" s="6" t="s">
        <v>1566</v>
      </c>
      <c r="G5" s="6" t="s">
        <v>79</v>
      </c>
      <c r="H5" s="6" t="s">
        <v>1550</v>
      </c>
    </row>
    <row r="6" ht="15" customHeight="1" spans="1:8" x14ac:dyDescent="0.25">
      <c r="A6" s="6" t="s">
        <v>88</v>
      </c>
      <c r="B6" s="6" t="s">
        <v>1557</v>
      </c>
      <c r="C6" s="6" t="s">
        <v>1567</v>
      </c>
      <c r="D6" s="6" t="s">
        <v>1553</v>
      </c>
      <c r="E6" s="6" t="s">
        <v>1568</v>
      </c>
      <c r="F6" s="6" t="s">
        <v>1569</v>
      </c>
      <c r="G6" s="6" t="s">
        <v>85</v>
      </c>
      <c r="H6" s="6" t="s">
        <v>1550</v>
      </c>
    </row>
    <row r="7" ht="15" customHeight="1" spans="1:8" x14ac:dyDescent="0.25">
      <c r="A7" s="6" t="s">
        <v>1570</v>
      </c>
      <c r="B7" s="6" t="s">
        <v>1571</v>
      </c>
      <c r="C7" s="6" t="s">
        <v>1552</v>
      </c>
      <c r="D7" s="6" t="s">
        <v>1572</v>
      </c>
      <c r="E7" s="6" t="s">
        <v>1573</v>
      </c>
      <c r="F7" s="6" t="s">
        <v>1574</v>
      </c>
      <c r="G7" s="6" t="s">
        <v>1575</v>
      </c>
      <c r="H7" s="6" t="s">
        <v>1550</v>
      </c>
    </row>
    <row r="8" ht="15" customHeight="1" spans="1:8" x14ac:dyDescent="0.25">
      <c r="A8" s="6" t="s">
        <v>1576</v>
      </c>
      <c r="B8" s="6" t="s">
        <v>1577</v>
      </c>
      <c r="C8" s="6" t="s">
        <v>1578</v>
      </c>
      <c r="D8" s="6" t="s">
        <v>1579</v>
      </c>
      <c r="E8" s="6" t="s">
        <v>1573</v>
      </c>
      <c r="F8" s="6" t="s">
        <v>1580</v>
      </c>
      <c r="G8" s="6" t="s">
        <v>1581</v>
      </c>
      <c r="H8" s="6" t="s">
        <v>1550</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zoomScale="100" zoomScaleNormal="100" view="normal">
      <pane ySplit="1" topLeftCell="A2" activePane="bottomLeft" state="frozen"/>
      <selection pane="bottomLeft" activeCell="A1" sqref="A1"/>
    </sheetView>
  </sheetViews>
  <sheetFormatPr defaultRowHeight="15" outlineLevelRow="0" outlineLevelCol="0" x14ac:dyDescent="0" defaultColWidth="8.6796875"/>
  <cols>
    <col min="2" max="2" width="24" customWidth="1"/>
    <col min="3" max="3" width="16" customWidth="1"/>
    <col min="4" max="4" width="36" customWidth="1"/>
    <col min="5" max="5" width="62" customWidth="1"/>
    <col min="6" max="6" width="34" customWidth="1"/>
    <col min="7" max="7" width="70" customWidth="1"/>
  </cols>
  <sheetData>
    <row r="1" ht="30" customHeight="1" spans="1:7" x14ac:dyDescent="0.25">
      <c r="A1" s="5" t="s">
        <v>1582</v>
      </c>
      <c r="B1" s="5" t="s">
        <v>43</v>
      </c>
      <c r="C1" s="5" t="s">
        <v>1583</v>
      </c>
      <c r="D1" s="5" t="s">
        <v>1584</v>
      </c>
      <c r="E1" s="5" t="s">
        <v>1585</v>
      </c>
      <c r="F1" s="5" t="s">
        <v>1586</v>
      </c>
      <c r="G1" s="5" t="s">
        <v>1587</v>
      </c>
    </row>
    <row r="2" ht="15" customHeight="1" spans="1:7" x14ac:dyDescent="0.25">
      <c r="A2" s="6" t="s">
        <v>1588</v>
      </c>
      <c r="B2" s="6" t="s">
        <v>1589</v>
      </c>
      <c r="C2" s="6" t="s">
        <v>61</v>
      </c>
      <c r="D2" s="6" t="s">
        <v>1590</v>
      </c>
      <c r="E2" s="6" t="s">
        <v>1591</v>
      </c>
      <c r="F2" s="6" t="s">
        <v>1592</v>
      </c>
      <c r="G2" s="6" t="s">
        <v>1593</v>
      </c>
    </row>
    <row r="3" ht="15" customHeight="1" spans="1:7" x14ac:dyDescent="0.25">
      <c r="A3" s="6" t="s">
        <v>1594</v>
      </c>
      <c r="B3" s="6" t="s">
        <v>1595</v>
      </c>
      <c r="C3" s="6" t="s">
        <v>1596</v>
      </c>
      <c r="D3" s="6" t="s">
        <v>1597</v>
      </c>
      <c r="E3" s="6" t="s">
        <v>1598</v>
      </c>
      <c r="F3" s="6" t="s">
        <v>1592</v>
      </c>
      <c r="G3" s="6" t="s">
        <v>1599</v>
      </c>
    </row>
    <row r="4" ht="15" customHeight="1" spans="1:7" x14ac:dyDescent="0.25">
      <c r="A4" s="6" t="s">
        <v>1600</v>
      </c>
      <c r="B4" s="6" t="s">
        <v>1601</v>
      </c>
      <c r="C4" s="6" t="s">
        <v>1602</v>
      </c>
      <c r="D4" s="6" t="s">
        <v>1603</v>
      </c>
      <c r="E4" s="6" t="s">
        <v>1604</v>
      </c>
      <c r="F4" s="6" t="s">
        <v>1605</v>
      </c>
      <c r="G4" s="6" t="s">
        <v>1606</v>
      </c>
    </row>
    <row r="5" ht="15" customHeight="1" spans="1:7" x14ac:dyDescent="0.25">
      <c r="A5" s="6" t="s">
        <v>1607</v>
      </c>
      <c r="B5" s="6" t="s">
        <v>1608</v>
      </c>
      <c r="C5" s="6" t="s">
        <v>1609</v>
      </c>
      <c r="D5" s="6" t="s">
        <v>1610</v>
      </c>
      <c r="E5" s="6" t="s">
        <v>1611</v>
      </c>
      <c r="F5" s="6" t="s">
        <v>1612</v>
      </c>
      <c r="G5" s="6" t="s">
        <v>1613</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1"/>
  <sheetViews>
    <sheetView workbookViewId="0" zoomScale="100" zoomScaleNormal="100" view="normal">
      <pane ySplit="1" topLeftCell="A2" activePane="bottomLeft" state="frozen"/>
      <selection pane="bottomLeft" activeCell="A1" sqref="A1"/>
    </sheetView>
  </sheetViews>
  <sheetFormatPr defaultRowHeight="15" outlineLevelRow="0" outlineLevelCol="0" x14ac:dyDescent="0" defaultColWidth="8.6796875"/>
  <cols>
    <col min="1" max="1" width="16" customWidth="1"/>
    <col min="2" max="2" width="15" customWidth="1"/>
    <col min="3" max="3" width="11" customWidth="1"/>
    <col min="4" max="4" width="14" customWidth="1"/>
    <col min="5" max="5" width="13" customWidth="1"/>
    <col min="6" max="6" width="24" customWidth="1"/>
    <col min="7" max="7" width="22" customWidth="1"/>
    <col min="8" max="8" width="62" customWidth="1"/>
    <col min="9" max="9" width="17" customWidth="1"/>
    <col min="10" max="10" width="15" customWidth="1"/>
  </cols>
  <sheetData>
    <row r="1" ht="30" customHeight="1" spans="1:10" x14ac:dyDescent="0.25">
      <c r="A1" s="5" t="s">
        <v>1614</v>
      </c>
      <c r="B1" s="5" t="s">
        <v>788</v>
      </c>
      <c r="C1" s="5" t="s">
        <v>42</v>
      </c>
      <c r="D1" s="5" t="s">
        <v>1615</v>
      </c>
      <c r="E1" s="5" t="s">
        <v>1616</v>
      </c>
      <c r="F1" s="5" t="s">
        <v>1617</v>
      </c>
      <c r="G1" s="5" t="s">
        <v>1618</v>
      </c>
      <c r="H1" s="5" t="s">
        <v>1619</v>
      </c>
      <c r="I1" s="5" t="s">
        <v>1620</v>
      </c>
      <c r="J1" s="5" t="s">
        <v>1249</v>
      </c>
    </row>
    <row r="2" ht="15" customHeight="1" spans="1:10" x14ac:dyDescent="0.25">
      <c r="A2" s="6" t="s">
        <v>1621</v>
      </c>
      <c r="B2" s="6" t="s">
        <v>254</v>
      </c>
      <c r="C2" s="6" t="s">
        <v>61</v>
      </c>
      <c r="D2" s="6" t="s">
        <v>1622</v>
      </c>
      <c r="E2" s="6" t="s">
        <v>1623</v>
      </c>
      <c r="F2" s="6" t="s">
        <v>1624</v>
      </c>
      <c r="G2" s="6" t="s">
        <v>1625</v>
      </c>
      <c r="H2" s="6" t="s">
        <v>1626</v>
      </c>
      <c r="I2" s="6" t="s">
        <v>1627</v>
      </c>
      <c r="J2" s="7">
        <v>3.4</v>
      </c>
    </row>
    <row r="3" ht="15" customHeight="1" spans="1:10" x14ac:dyDescent="0.25">
      <c r="A3" s="6" t="s">
        <v>1628</v>
      </c>
      <c r="B3" s="6" t="s">
        <v>850</v>
      </c>
      <c r="C3" s="6" t="s">
        <v>61</v>
      </c>
      <c r="D3" s="6" t="s">
        <v>1629</v>
      </c>
      <c r="E3" s="6" t="s">
        <v>1630</v>
      </c>
      <c r="F3" s="6" t="s">
        <v>1631</v>
      </c>
      <c r="G3" s="6" t="s">
        <v>1632</v>
      </c>
      <c r="H3" s="6" t="s">
        <v>1633</v>
      </c>
      <c r="I3" s="6" t="s">
        <v>1627</v>
      </c>
      <c r="J3" s="7">
        <v>1.4</v>
      </c>
    </row>
    <row r="4" ht="15" customHeight="1" spans="1:10" x14ac:dyDescent="0.25">
      <c r="A4" s="6" t="s">
        <v>1634</v>
      </c>
      <c r="B4" s="6" t="s">
        <v>825</v>
      </c>
      <c r="C4" s="6" t="s">
        <v>61</v>
      </c>
      <c r="D4" s="6" t="s">
        <v>1635</v>
      </c>
      <c r="E4" s="6" t="s">
        <v>1636</v>
      </c>
      <c r="F4" s="6" t="s">
        <v>1637</v>
      </c>
      <c r="G4" s="6" t="s">
        <v>1632</v>
      </c>
      <c r="H4" s="6" t="s">
        <v>1626</v>
      </c>
      <c r="I4" s="6" t="s">
        <v>1627</v>
      </c>
      <c r="J4" s="7">
        <v>3.4</v>
      </c>
    </row>
    <row r="5" ht="15" customHeight="1" spans="1:10" x14ac:dyDescent="0.25">
      <c r="A5" s="6" t="s">
        <v>1638</v>
      </c>
      <c r="B5" s="6" t="s">
        <v>366</v>
      </c>
      <c r="C5" s="6" t="s">
        <v>61</v>
      </c>
      <c r="D5" s="6" t="s">
        <v>1635</v>
      </c>
      <c r="E5" s="6" t="s">
        <v>1636</v>
      </c>
      <c r="F5" s="6" t="s">
        <v>1639</v>
      </c>
      <c r="G5" s="6" t="s">
        <v>1640</v>
      </c>
      <c r="H5" s="6" t="s">
        <v>1626</v>
      </c>
      <c r="I5" s="6" t="s">
        <v>1627</v>
      </c>
      <c r="J5" s="7">
        <v>1.5</v>
      </c>
    </row>
    <row r="6" ht="15" customHeight="1" spans="1:10" x14ac:dyDescent="0.25">
      <c r="A6" s="6" t="s">
        <v>1641</v>
      </c>
      <c r="B6" s="6" t="s">
        <v>451</v>
      </c>
      <c r="C6" s="6" t="s">
        <v>61</v>
      </c>
      <c r="D6" s="6" t="s">
        <v>1635</v>
      </c>
      <c r="E6" s="6" t="s">
        <v>1636</v>
      </c>
      <c r="F6" s="6" t="s">
        <v>1642</v>
      </c>
      <c r="G6" s="6" t="s">
        <v>1632</v>
      </c>
      <c r="H6" s="6" t="s">
        <v>1643</v>
      </c>
      <c r="I6" s="6" t="s">
        <v>1644</v>
      </c>
      <c r="J6" s="7">
        <v>2.8</v>
      </c>
    </row>
    <row r="7" ht="15" customHeight="1" spans="1:10" x14ac:dyDescent="0.25">
      <c r="A7" s="6" t="s">
        <v>1645</v>
      </c>
      <c r="B7" s="6" t="s">
        <v>836</v>
      </c>
      <c r="C7" s="6" t="s">
        <v>61</v>
      </c>
      <c r="D7" s="6" t="s">
        <v>1646</v>
      </c>
      <c r="E7" s="6" t="s">
        <v>1647</v>
      </c>
      <c r="F7" s="6" t="s">
        <v>1624</v>
      </c>
      <c r="G7" s="6" t="s">
        <v>1625</v>
      </c>
      <c r="H7" s="6" t="s">
        <v>1648</v>
      </c>
      <c r="I7" s="6" t="s">
        <v>1627</v>
      </c>
      <c r="J7" s="7">
        <v>1.9</v>
      </c>
    </row>
    <row r="8" ht="15" customHeight="1" spans="1:10" x14ac:dyDescent="0.25">
      <c r="A8" s="6" t="s">
        <v>1649</v>
      </c>
      <c r="B8" s="6" t="s">
        <v>817</v>
      </c>
      <c r="C8" s="6" t="s">
        <v>61</v>
      </c>
      <c r="D8" s="6" t="s">
        <v>1650</v>
      </c>
      <c r="E8" s="6" t="s">
        <v>1651</v>
      </c>
      <c r="F8" s="6" t="s">
        <v>1624</v>
      </c>
      <c r="G8" s="6" t="s">
        <v>1632</v>
      </c>
      <c r="H8" s="6" t="s">
        <v>1626</v>
      </c>
      <c r="I8" s="6" t="s">
        <v>1627</v>
      </c>
      <c r="J8" s="7">
        <v>3.2</v>
      </c>
    </row>
    <row r="9" ht="15" customHeight="1" spans="1:10" x14ac:dyDescent="0.25">
      <c r="A9" s="6" t="s">
        <v>1652</v>
      </c>
      <c r="B9" s="6" t="s">
        <v>838</v>
      </c>
      <c r="C9" s="6" t="s">
        <v>61</v>
      </c>
      <c r="D9" s="6" t="s">
        <v>1653</v>
      </c>
      <c r="E9" s="6" t="s">
        <v>1654</v>
      </c>
      <c r="F9" s="6" t="s">
        <v>1639</v>
      </c>
      <c r="G9" s="6" t="s">
        <v>1640</v>
      </c>
      <c r="H9" s="6" t="s">
        <v>1655</v>
      </c>
      <c r="I9" s="6" t="s">
        <v>1627</v>
      </c>
      <c r="J9" s="7">
        <v>3.6</v>
      </c>
    </row>
    <row r="10" ht="15" customHeight="1" spans="1:10" x14ac:dyDescent="0.25">
      <c r="A10" s="6" t="s">
        <v>1656</v>
      </c>
      <c r="B10" s="6" t="s">
        <v>986</v>
      </c>
      <c r="C10" s="6" t="s">
        <v>61</v>
      </c>
      <c r="D10" s="6" t="s">
        <v>1657</v>
      </c>
      <c r="E10" s="6" t="s">
        <v>1658</v>
      </c>
      <c r="F10" s="6" t="s">
        <v>1624</v>
      </c>
      <c r="G10" s="6" t="s">
        <v>1632</v>
      </c>
      <c r="H10" s="6" t="s">
        <v>1633</v>
      </c>
      <c r="I10" s="6" t="s">
        <v>1627</v>
      </c>
      <c r="J10" s="7">
        <v>2.8</v>
      </c>
    </row>
    <row r="11" ht="15" customHeight="1" spans="1:10" x14ac:dyDescent="0.25">
      <c r="A11" s="6" t="s">
        <v>1659</v>
      </c>
      <c r="B11" s="6" t="s">
        <v>450</v>
      </c>
      <c r="C11" s="6" t="s">
        <v>61</v>
      </c>
      <c r="D11" s="6" t="s">
        <v>1660</v>
      </c>
      <c r="E11" s="6" t="s">
        <v>1661</v>
      </c>
      <c r="F11" s="6" t="s">
        <v>1631</v>
      </c>
      <c r="G11" s="6" t="s">
        <v>1640</v>
      </c>
      <c r="H11" s="6" t="s">
        <v>1633</v>
      </c>
      <c r="I11" s="6" t="s">
        <v>1627</v>
      </c>
      <c r="J11" s="7">
        <v>2.4</v>
      </c>
    </row>
    <row r="12" ht="15" customHeight="1" spans="1:10" x14ac:dyDescent="0.25">
      <c r="A12" s="6" t="s">
        <v>1662</v>
      </c>
      <c r="B12" s="6" t="s">
        <v>265</v>
      </c>
      <c r="C12" s="6" t="s">
        <v>61</v>
      </c>
      <c r="D12" s="6" t="s">
        <v>1663</v>
      </c>
      <c r="E12" s="6" t="s">
        <v>1664</v>
      </c>
      <c r="F12" s="6" t="s">
        <v>1624</v>
      </c>
      <c r="G12" s="6" t="s">
        <v>1640</v>
      </c>
      <c r="H12" s="6" t="s">
        <v>1648</v>
      </c>
      <c r="I12" s="6" t="s">
        <v>1627</v>
      </c>
      <c r="J12" s="7">
        <v>3.1</v>
      </c>
    </row>
    <row r="13" ht="15" customHeight="1" spans="1:10" x14ac:dyDescent="0.25">
      <c r="A13" s="6" t="s">
        <v>1665</v>
      </c>
      <c r="B13" s="6" t="s">
        <v>909</v>
      </c>
      <c r="C13" s="6" t="s">
        <v>61</v>
      </c>
      <c r="D13" s="6" t="s">
        <v>1666</v>
      </c>
      <c r="E13" s="6" t="s">
        <v>1667</v>
      </c>
      <c r="F13" s="6" t="s">
        <v>1668</v>
      </c>
      <c r="G13" s="6" t="s">
        <v>1640</v>
      </c>
      <c r="H13" s="6" t="s">
        <v>1655</v>
      </c>
      <c r="I13" s="6" t="s">
        <v>1627</v>
      </c>
      <c r="J13" s="7">
        <v>3.8</v>
      </c>
    </row>
    <row r="14" ht="15" customHeight="1" spans="1:10" x14ac:dyDescent="0.25">
      <c r="A14" s="6" t="s">
        <v>1669</v>
      </c>
      <c r="B14" s="6" t="s">
        <v>981</v>
      </c>
      <c r="C14" s="6" t="s">
        <v>61</v>
      </c>
      <c r="D14" s="6" t="s">
        <v>1670</v>
      </c>
      <c r="E14" s="6" t="s">
        <v>1671</v>
      </c>
      <c r="F14" s="6" t="s">
        <v>1624</v>
      </c>
      <c r="G14" s="6" t="s">
        <v>1640</v>
      </c>
      <c r="H14" s="6" t="s">
        <v>1633</v>
      </c>
      <c r="I14" s="6" t="s">
        <v>1627</v>
      </c>
      <c r="J14" s="7">
        <v>1.9</v>
      </c>
    </row>
    <row r="15" ht="15" customHeight="1" spans="1:10" x14ac:dyDescent="0.25">
      <c r="A15" s="6" t="s">
        <v>1672</v>
      </c>
      <c r="B15" s="6" t="s">
        <v>843</v>
      </c>
      <c r="C15" s="6" t="s">
        <v>61</v>
      </c>
      <c r="D15" s="6" t="s">
        <v>1673</v>
      </c>
      <c r="E15" s="6" t="s">
        <v>1674</v>
      </c>
      <c r="F15" s="6" t="s">
        <v>1631</v>
      </c>
      <c r="G15" s="6" t="s">
        <v>1625</v>
      </c>
      <c r="H15" s="6" t="s">
        <v>1655</v>
      </c>
      <c r="I15" s="6" t="s">
        <v>1627</v>
      </c>
      <c r="J15" s="7">
        <v>3.4</v>
      </c>
    </row>
    <row r="16" ht="15" customHeight="1" spans="1:10" x14ac:dyDescent="0.25">
      <c r="A16" s="6" t="s">
        <v>1675</v>
      </c>
      <c r="B16" s="6" t="s">
        <v>979</v>
      </c>
      <c r="C16" s="6" t="s">
        <v>61</v>
      </c>
      <c r="D16" s="6" t="s">
        <v>1676</v>
      </c>
      <c r="E16" s="6" t="s">
        <v>1677</v>
      </c>
      <c r="F16" s="6" t="s">
        <v>1678</v>
      </c>
      <c r="G16" s="6" t="s">
        <v>1632</v>
      </c>
      <c r="H16" s="6" t="s">
        <v>1655</v>
      </c>
      <c r="I16" s="6" t="s">
        <v>1627</v>
      </c>
      <c r="J16" s="7">
        <v>1.2</v>
      </c>
    </row>
    <row r="17" ht="15" customHeight="1" spans="1:10" x14ac:dyDescent="0.25">
      <c r="A17" s="6" t="s">
        <v>1679</v>
      </c>
      <c r="B17" s="6" t="s">
        <v>879</v>
      </c>
      <c r="C17" s="6" t="s">
        <v>61</v>
      </c>
      <c r="D17" s="6" t="s">
        <v>1676</v>
      </c>
      <c r="E17" s="6" t="s">
        <v>1677</v>
      </c>
      <c r="F17" s="6" t="s">
        <v>1642</v>
      </c>
      <c r="G17" s="6" t="s">
        <v>1640</v>
      </c>
      <c r="H17" s="6" t="s">
        <v>1648</v>
      </c>
      <c r="I17" s="6" t="s">
        <v>1627</v>
      </c>
      <c r="J17" s="7">
        <v>1.8</v>
      </c>
    </row>
    <row r="18" ht="15" customHeight="1" spans="1:10" x14ac:dyDescent="0.25">
      <c r="A18" s="6" t="s">
        <v>1680</v>
      </c>
      <c r="B18" s="6" t="s">
        <v>462</v>
      </c>
      <c r="C18" s="6" t="s">
        <v>61</v>
      </c>
      <c r="D18" s="6" t="s">
        <v>1676</v>
      </c>
      <c r="E18" s="6" t="s">
        <v>1677</v>
      </c>
      <c r="F18" s="6" t="s">
        <v>1639</v>
      </c>
      <c r="G18" s="6" t="s">
        <v>1625</v>
      </c>
      <c r="H18" s="6" t="s">
        <v>1655</v>
      </c>
      <c r="I18" s="6" t="s">
        <v>1627</v>
      </c>
      <c r="J18" s="7">
        <v>0.8</v>
      </c>
    </row>
    <row r="19" ht="15" customHeight="1" spans="1:10" x14ac:dyDescent="0.25">
      <c r="A19" s="6" t="s">
        <v>1681</v>
      </c>
      <c r="B19" s="6" t="s">
        <v>974</v>
      </c>
      <c r="C19" s="6" t="s">
        <v>61</v>
      </c>
      <c r="D19" s="6" t="s">
        <v>1682</v>
      </c>
      <c r="E19" s="6" t="s">
        <v>1683</v>
      </c>
      <c r="F19" s="6" t="s">
        <v>1668</v>
      </c>
      <c r="G19" s="6" t="s">
        <v>1625</v>
      </c>
      <c r="H19" s="6" t="s">
        <v>1626</v>
      </c>
      <c r="I19" s="6" t="s">
        <v>1627</v>
      </c>
      <c r="J19" s="7">
        <v>2.1</v>
      </c>
    </row>
    <row r="20" ht="15" customHeight="1" spans="1:10" x14ac:dyDescent="0.25">
      <c r="A20" s="6" t="s">
        <v>1684</v>
      </c>
      <c r="B20" s="6" t="s">
        <v>811</v>
      </c>
      <c r="C20" s="6" t="s">
        <v>61</v>
      </c>
      <c r="D20" s="6" t="s">
        <v>1685</v>
      </c>
      <c r="E20" s="6" t="s">
        <v>1686</v>
      </c>
      <c r="F20" s="6" t="s">
        <v>1668</v>
      </c>
      <c r="G20" s="6" t="s">
        <v>1632</v>
      </c>
      <c r="H20" s="6" t="s">
        <v>1655</v>
      </c>
      <c r="I20" s="6" t="s">
        <v>1627</v>
      </c>
      <c r="J20" s="7">
        <v>3.7</v>
      </c>
    </row>
    <row r="21" ht="15" customHeight="1" spans="1:10" x14ac:dyDescent="0.25">
      <c r="A21" s="6" t="s">
        <v>1687</v>
      </c>
      <c r="B21" s="6" t="s">
        <v>939</v>
      </c>
      <c r="C21" s="6" t="s">
        <v>61</v>
      </c>
      <c r="D21" s="6" t="s">
        <v>1685</v>
      </c>
      <c r="E21" s="6" t="s">
        <v>1686</v>
      </c>
      <c r="F21" s="6" t="s">
        <v>1668</v>
      </c>
      <c r="G21" s="6" t="s">
        <v>1640</v>
      </c>
      <c r="H21" s="6" t="s">
        <v>1655</v>
      </c>
      <c r="I21" s="6" t="s">
        <v>1627</v>
      </c>
      <c r="J21" s="7">
        <v>1.9</v>
      </c>
    </row>
    <row r="22" ht="15" customHeight="1" spans="1:10" x14ac:dyDescent="0.25">
      <c r="A22" s="6" t="s">
        <v>1688</v>
      </c>
      <c r="B22" s="6" t="s">
        <v>830</v>
      </c>
      <c r="C22" s="6" t="s">
        <v>61</v>
      </c>
      <c r="D22" s="6" t="s">
        <v>1689</v>
      </c>
      <c r="E22" s="6" t="s">
        <v>1690</v>
      </c>
      <c r="F22" s="6" t="s">
        <v>1631</v>
      </c>
      <c r="G22" s="6" t="s">
        <v>1625</v>
      </c>
      <c r="H22" s="6" t="s">
        <v>1691</v>
      </c>
      <c r="I22" s="6" t="s">
        <v>1644</v>
      </c>
      <c r="J22" s="7">
        <v>1.4</v>
      </c>
    </row>
    <row r="23" ht="15" customHeight="1" spans="1:10" x14ac:dyDescent="0.25">
      <c r="A23" s="6" t="s">
        <v>1692</v>
      </c>
      <c r="B23" s="6" t="s">
        <v>815</v>
      </c>
      <c r="C23" s="6" t="s">
        <v>61</v>
      </c>
      <c r="D23" s="6" t="s">
        <v>1693</v>
      </c>
      <c r="E23" s="6" t="s">
        <v>1694</v>
      </c>
      <c r="F23" s="6" t="s">
        <v>1624</v>
      </c>
      <c r="G23" s="6" t="s">
        <v>1625</v>
      </c>
      <c r="H23" s="6" t="s">
        <v>1626</v>
      </c>
      <c r="I23" s="6" t="s">
        <v>1627</v>
      </c>
      <c r="J23" s="7">
        <v>1.2</v>
      </c>
    </row>
    <row r="24" ht="15" customHeight="1" spans="1:10" x14ac:dyDescent="0.25">
      <c r="A24" s="6" t="s">
        <v>1695</v>
      </c>
      <c r="B24" s="6" t="s">
        <v>969</v>
      </c>
      <c r="C24" s="6" t="s">
        <v>61</v>
      </c>
      <c r="D24" s="6" t="s">
        <v>1696</v>
      </c>
      <c r="E24" s="6" t="s">
        <v>1697</v>
      </c>
      <c r="F24" s="6" t="s">
        <v>1637</v>
      </c>
      <c r="G24" s="6" t="s">
        <v>1625</v>
      </c>
      <c r="H24" s="6" t="s">
        <v>1633</v>
      </c>
      <c r="I24" s="6" t="s">
        <v>1627</v>
      </c>
      <c r="J24" s="7">
        <v>1.6</v>
      </c>
    </row>
    <row r="25" ht="15" customHeight="1" spans="1:10" x14ac:dyDescent="0.25">
      <c r="A25" s="6" t="s">
        <v>1698</v>
      </c>
      <c r="B25" s="6" t="s">
        <v>821</v>
      </c>
      <c r="C25" s="6" t="s">
        <v>61</v>
      </c>
      <c r="D25" s="6" t="s">
        <v>1699</v>
      </c>
      <c r="E25" s="6" t="s">
        <v>1700</v>
      </c>
      <c r="F25" s="6" t="s">
        <v>1637</v>
      </c>
      <c r="G25" s="6" t="s">
        <v>1640</v>
      </c>
      <c r="H25" s="6" t="s">
        <v>1648</v>
      </c>
      <c r="I25" s="6" t="s">
        <v>1627</v>
      </c>
      <c r="J25" s="7">
        <v>2.2</v>
      </c>
    </row>
    <row r="26" ht="15" customHeight="1" spans="1:10" x14ac:dyDescent="0.25">
      <c r="A26" s="6" t="s">
        <v>1701</v>
      </c>
      <c r="B26" s="6" t="s">
        <v>833</v>
      </c>
      <c r="C26" s="6" t="s">
        <v>61</v>
      </c>
      <c r="D26" s="6" t="s">
        <v>1702</v>
      </c>
      <c r="E26" s="6" t="s">
        <v>1703</v>
      </c>
      <c r="F26" s="6" t="s">
        <v>1668</v>
      </c>
      <c r="G26" s="6" t="s">
        <v>1625</v>
      </c>
      <c r="H26" s="6" t="s">
        <v>1691</v>
      </c>
      <c r="I26" s="6" t="s">
        <v>1644</v>
      </c>
      <c r="J26" s="7">
        <v>2.3</v>
      </c>
    </row>
    <row r="27" ht="15" customHeight="1" spans="1:10" x14ac:dyDescent="0.25">
      <c r="A27" s="6" t="s">
        <v>1704</v>
      </c>
      <c r="B27" s="6" t="s">
        <v>463</v>
      </c>
      <c r="C27" s="6" t="s">
        <v>61</v>
      </c>
      <c r="D27" s="6" t="s">
        <v>1705</v>
      </c>
      <c r="E27" s="6" t="s">
        <v>1706</v>
      </c>
      <c r="F27" s="6" t="s">
        <v>1668</v>
      </c>
      <c r="G27" s="6" t="s">
        <v>1632</v>
      </c>
      <c r="H27" s="6" t="s">
        <v>1655</v>
      </c>
      <c r="I27" s="6" t="s">
        <v>1627</v>
      </c>
      <c r="J27" s="7">
        <v>0.8</v>
      </c>
    </row>
    <row r="28" ht="15" customHeight="1" spans="1:10" x14ac:dyDescent="0.25">
      <c r="A28" s="6" t="s">
        <v>1707</v>
      </c>
      <c r="B28" s="6" t="s">
        <v>882</v>
      </c>
      <c r="C28" s="6" t="s">
        <v>61</v>
      </c>
      <c r="D28" s="6" t="s">
        <v>1708</v>
      </c>
      <c r="E28" s="6" t="s">
        <v>1709</v>
      </c>
      <c r="F28" s="6" t="s">
        <v>1668</v>
      </c>
      <c r="G28" s="6" t="s">
        <v>1640</v>
      </c>
      <c r="H28" s="6" t="s">
        <v>1626</v>
      </c>
      <c r="I28" s="6" t="s">
        <v>1627</v>
      </c>
      <c r="J28" s="7">
        <v>1.8</v>
      </c>
    </row>
    <row r="29" ht="15" customHeight="1" spans="1:10" x14ac:dyDescent="0.25">
      <c r="A29" s="6" t="s">
        <v>1710</v>
      </c>
      <c r="B29" s="6" t="s">
        <v>365</v>
      </c>
      <c r="C29" s="6" t="s">
        <v>61</v>
      </c>
      <c r="D29" s="6" t="s">
        <v>1708</v>
      </c>
      <c r="E29" s="6" t="s">
        <v>1709</v>
      </c>
      <c r="F29" s="6" t="s">
        <v>1668</v>
      </c>
      <c r="G29" s="6" t="s">
        <v>1640</v>
      </c>
      <c r="H29" s="6" t="s">
        <v>1655</v>
      </c>
      <c r="I29" s="6" t="s">
        <v>1627</v>
      </c>
      <c r="J29" s="7">
        <v>1.1</v>
      </c>
    </row>
    <row r="30" ht="15" customHeight="1" spans="1:10" x14ac:dyDescent="0.25">
      <c r="A30" s="6" t="s">
        <v>1711</v>
      </c>
      <c r="B30" s="6" t="s">
        <v>841</v>
      </c>
      <c r="C30" s="6" t="s">
        <v>61</v>
      </c>
      <c r="D30" s="6" t="s">
        <v>1712</v>
      </c>
      <c r="E30" s="6" t="s">
        <v>1713</v>
      </c>
      <c r="F30" s="6" t="s">
        <v>1631</v>
      </c>
      <c r="G30" s="6" t="s">
        <v>1640</v>
      </c>
      <c r="H30" s="6" t="s">
        <v>1633</v>
      </c>
      <c r="I30" s="6" t="s">
        <v>1627</v>
      </c>
      <c r="J30" s="7">
        <v>3.6</v>
      </c>
    </row>
    <row r="31" ht="15" customHeight="1" spans="1:10" x14ac:dyDescent="0.25">
      <c r="A31" s="6" t="s">
        <v>1714</v>
      </c>
      <c r="B31" s="6" t="s">
        <v>846</v>
      </c>
      <c r="C31" s="6" t="s">
        <v>61</v>
      </c>
      <c r="D31" s="6" t="s">
        <v>1715</v>
      </c>
      <c r="E31" s="6" t="s">
        <v>1716</v>
      </c>
      <c r="F31" s="6" t="s">
        <v>1639</v>
      </c>
      <c r="G31" s="6" t="s">
        <v>1640</v>
      </c>
      <c r="H31" s="6" t="s">
        <v>1633</v>
      </c>
      <c r="I31" s="6" t="s">
        <v>1627</v>
      </c>
      <c r="J31" s="7">
        <v>1.4</v>
      </c>
    </row>
    <row r="32" ht="15" customHeight="1" spans="1:10" x14ac:dyDescent="0.25">
      <c r="A32" s="6" t="s">
        <v>1717</v>
      </c>
      <c r="B32" s="6" t="s">
        <v>976</v>
      </c>
      <c r="C32" s="6" t="s">
        <v>61</v>
      </c>
      <c r="D32" s="6" t="s">
        <v>1718</v>
      </c>
      <c r="E32" s="6" t="s">
        <v>1719</v>
      </c>
      <c r="F32" s="6" t="s">
        <v>1631</v>
      </c>
      <c r="G32" s="6" t="s">
        <v>1632</v>
      </c>
      <c r="H32" s="6" t="s">
        <v>1633</v>
      </c>
      <c r="I32" s="6" t="s">
        <v>1627</v>
      </c>
      <c r="J32" s="7">
        <v>0.8</v>
      </c>
    </row>
    <row r="33" ht="15" customHeight="1" spans="1:10" x14ac:dyDescent="0.25">
      <c r="A33" s="6" t="s">
        <v>1720</v>
      </c>
      <c r="B33" s="6" t="s">
        <v>353</v>
      </c>
      <c r="C33" s="6" t="s">
        <v>61</v>
      </c>
      <c r="D33" s="6" t="s">
        <v>1721</v>
      </c>
      <c r="E33" s="6" t="s">
        <v>1722</v>
      </c>
      <c r="F33" s="6" t="s">
        <v>1637</v>
      </c>
      <c r="G33" s="6" t="s">
        <v>1640</v>
      </c>
      <c r="H33" s="6" t="s">
        <v>1655</v>
      </c>
      <c r="I33" s="6" t="s">
        <v>1627</v>
      </c>
      <c r="J33" s="7">
        <v>1.5</v>
      </c>
    </row>
    <row r="34" ht="15" customHeight="1" spans="1:10" x14ac:dyDescent="0.25">
      <c r="A34" s="6" t="s">
        <v>1723</v>
      </c>
      <c r="B34" s="6" t="s">
        <v>266</v>
      </c>
      <c r="C34" s="6" t="s">
        <v>61</v>
      </c>
      <c r="D34" s="6" t="s">
        <v>1724</v>
      </c>
      <c r="E34" s="6" t="s">
        <v>1725</v>
      </c>
      <c r="F34" s="6" t="s">
        <v>1642</v>
      </c>
      <c r="G34" s="6" t="s">
        <v>1632</v>
      </c>
      <c r="H34" s="6" t="s">
        <v>1626</v>
      </c>
      <c r="I34" s="6" t="s">
        <v>1627</v>
      </c>
      <c r="J34" s="7">
        <v>2.7</v>
      </c>
    </row>
    <row r="35" ht="15" customHeight="1" spans="1:10" x14ac:dyDescent="0.25">
      <c r="A35" s="6" t="s">
        <v>1726</v>
      </c>
      <c r="B35" s="6" t="s">
        <v>354</v>
      </c>
      <c r="C35" s="6" t="s">
        <v>61</v>
      </c>
      <c r="D35" s="6" t="s">
        <v>1727</v>
      </c>
      <c r="E35" s="6" t="s">
        <v>1728</v>
      </c>
      <c r="F35" s="6" t="s">
        <v>1637</v>
      </c>
      <c r="G35" s="6" t="s">
        <v>1640</v>
      </c>
      <c r="H35" s="6" t="s">
        <v>1626</v>
      </c>
      <c r="I35" s="6" t="s">
        <v>1627</v>
      </c>
      <c r="J35" s="7">
        <v>1.1</v>
      </c>
    </row>
    <row r="36" ht="15" customHeight="1" spans="1:10" x14ac:dyDescent="0.25">
      <c r="A36" s="6" t="s">
        <v>1729</v>
      </c>
      <c r="B36" s="6" t="s">
        <v>912</v>
      </c>
      <c r="C36" s="6" t="s">
        <v>61</v>
      </c>
      <c r="D36" s="6" t="s">
        <v>1730</v>
      </c>
      <c r="E36" s="6" t="s">
        <v>1731</v>
      </c>
      <c r="F36" s="6" t="s">
        <v>1678</v>
      </c>
      <c r="G36" s="6" t="s">
        <v>1640</v>
      </c>
      <c r="H36" s="6" t="s">
        <v>1633</v>
      </c>
      <c r="I36" s="6" t="s">
        <v>1627</v>
      </c>
      <c r="J36" s="7">
        <v>2.5</v>
      </c>
    </row>
    <row r="37" ht="15" customHeight="1" spans="1:10" x14ac:dyDescent="0.25">
      <c r="A37" s="6" t="s">
        <v>1732</v>
      </c>
      <c r="B37" s="6" t="s">
        <v>942</v>
      </c>
      <c r="C37" s="6" t="s">
        <v>61</v>
      </c>
      <c r="D37" s="6" t="s">
        <v>1730</v>
      </c>
      <c r="E37" s="6" t="s">
        <v>1731</v>
      </c>
      <c r="F37" s="6" t="s">
        <v>1668</v>
      </c>
      <c r="G37" s="6" t="s">
        <v>1632</v>
      </c>
      <c r="H37" s="6" t="s">
        <v>1626</v>
      </c>
      <c r="I37" s="6" t="s">
        <v>1627</v>
      </c>
      <c r="J37" s="7">
        <v>1</v>
      </c>
    </row>
    <row r="38" ht="15" customHeight="1" spans="1:10" x14ac:dyDescent="0.25">
      <c r="A38" s="6" t="s">
        <v>1733</v>
      </c>
      <c r="B38" s="6" t="s">
        <v>253</v>
      </c>
      <c r="C38" s="6" t="s">
        <v>61</v>
      </c>
      <c r="D38" s="6" t="s">
        <v>1734</v>
      </c>
      <c r="E38" s="6" t="s">
        <v>1735</v>
      </c>
      <c r="F38" s="6" t="s">
        <v>1678</v>
      </c>
      <c r="G38" s="6" t="s">
        <v>1625</v>
      </c>
      <c r="H38" s="6" t="s">
        <v>1633</v>
      </c>
      <c r="I38" s="6" t="s">
        <v>1627</v>
      </c>
      <c r="J38" s="7">
        <v>3.7</v>
      </c>
    </row>
    <row r="39" ht="15" customHeight="1" spans="1:10" x14ac:dyDescent="0.25">
      <c r="A39" s="6" t="s">
        <v>1736</v>
      </c>
      <c r="B39" s="6" t="s">
        <v>828</v>
      </c>
      <c r="C39" s="6" t="s">
        <v>61</v>
      </c>
      <c r="D39" s="6" t="s">
        <v>1737</v>
      </c>
      <c r="E39" s="6" t="s">
        <v>1738</v>
      </c>
      <c r="F39" s="6" t="s">
        <v>1668</v>
      </c>
      <c r="G39" s="6" t="s">
        <v>1632</v>
      </c>
      <c r="H39" s="6" t="s">
        <v>1655</v>
      </c>
      <c r="I39" s="6" t="s">
        <v>1627</v>
      </c>
      <c r="J39" s="7">
        <v>0.8</v>
      </c>
    </row>
    <row r="40" ht="15" customHeight="1" spans="1:10" x14ac:dyDescent="0.25">
      <c r="A40" s="6" t="s">
        <v>1739</v>
      </c>
      <c r="B40" s="6" t="s">
        <v>843</v>
      </c>
      <c r="C40" s="6" t="s">
        <v>61</v>
      </c>
      <c r="D40" s="6" t="s">
        <v>1740</v>
      </c>
      <c r="E40" s="6" t="s">
        <v>1741</v>
      </c>
      <c r="F40" s="6" t="s">
        <v>1637</v>
      </c>
      <c r="G40" s="6" t="s">
        <v>1640</v>
      </c>
      <c r="H40" s="6" t="s">
        <v>1655</v>
      </c>
      <c r="I40" s="6" t="s">
        <v>1627</v>
      </c>
      <c r="J40" s="7">
        <v>3.3</v>
      </c>
    </row>
    <row r="41" ht="15" customHeight="1" spans="1:10" x14ac:dyDescent="0.25">
      <c r="A41" s="6" t="s">
        <v>1742</v>
      </c>
      <c r="B41" s="6" t="s">
        <v>265</v>
      </c>
      <c r="C41" s="6" t="s">
        <v>61</v>
      </c>
      <c r="D41" s="6" t="s">
        <v>1743</v>
      </c>
      <c r="E41" s="6" t="s">
        <v>1744</v>
      </c>
      <c r="F41" s="6" t="s">
        <v>1631</v>
      </c>
      <c r="G41" s="6" t="s">
        <v>1640</v>
      </c>
      <c r="H41" s="6" t="s">
        <v>1648</v>
      </c>
      <c r="I41" s="6" t="s">
        <v>1627</v>
      </c>
      <c r="J41" s="7">
        <v>2.5</v>
      </c>
    </row>
    <row r="42" ht="15" customHeight="1" spans="1:10" x14ac:dyDescent="0.25">
      <c r="A42" s="6" t="s">
        <v>1745</v>
      </c>
      <c r="B42" s="6" t="s">
        <v>986</v>
      </c>
      <c r="C42" s="6" t="s">
        <v>61</v>
      </c>
      <c r="D42" s="6" t="s">
        <v>1746</v>
      </c>
      <c r="E42" s="6" t="s">
        <v>1747</v>
      </c>
      <c r="F42" s="6" t="s">
        <v>1678</v>
      </c>
      <c r="G42" s="6" t="s">
        <v>1640</v>
      </c>
      <c r="H42" s="6" t="s">
        <v>1655</v>
      </c>
      <c r="I42" s="6" t="s">
        <v>1627</v>
      </c>
      <c r="J42" s="7">
        <v>1.8</v>
      </c>
    </row>
    <row r="43" ht="15" customHeight="1" spans="1:10" x14ac:dyDescent="0.25">
      <c r="A43" s="6" t="s">
        <v>1748</v>
      </c>
      <c r="B43" s="6" t="s">
        <v>846</v>
      </c>
      <c r="C43" s="6" t="s">
        <v>61</v>
      </c>
      <c r="D43" s="6" t="s">
        <v>1746</v>
      </c>
      <c r="E43" s="6" t="s">
        <v>1747</v>
      </c>
      <c r="F43" s="6" t="s">
        <v>1637</v>
      </c>
      <c r="G43" s="6" t="s">
        <v>1625</v>
      </c>
      <c r="H43" s="6" t="s">
        <v>1648</v>
      </c>
      <c r="I43" s="6" t="s">
        <v>1627</v>
      </c>
      <c r="J43" s="7">
        <v>3.5</v>
      </c>
    </row>
    <row r="44" ht="15" customHeight="1" spans="1:10" x14ac:dyDescent="0.25">
      <c r="A44" s="6" t="s">
        <v>1749</v>
      </c>
      <c r="B44" s="6" t="s">
        <v>366</v>
      </c>
      <c r="C44" s="6" t="s">
        <v>61</v>
      </c>
      <c r="D44" s="6" t="s">
        <v>1746</v>
      </c>
      <c r="E44" s="6" t="s">
        <v>1747</v>
      </c>
      <c r="F44" s="6" t="s">
        <v>1637</v>
      </c>
      <c r="G44" s="6" t="s">
        <v>1632</v>
      </c>
      <c r="H44" s="6" t="s">
        <v>1633</v>
      </c>
      <c r="I44" s="6" t="s">
        <v>1627</v>
      </c>
      <c r="J44" s="7">
        <v>3.1</v>
      </c>
    </row>
    <row r="45" ht="15" customHeight="1" spans="1:10" x14ac:dyDescent="0.25">
      <c r="A45" s="6" t="s">
        <v>1750</v>
      </c>
      <c r="B45" s="6" t="s">
        <v>841</v>
      </c>
      <c r="C45" s="6" t="s">
        <v>61</v>
      </c>
      <c r="D45" s="6" t="s">
        <v>1751</v>
      </c>
      <c r="E45" s="6" t="s">
        <v>1752</v>
      </c>
      <c r="F45" s="6" t="s">
        <v>1624</v>
      </c>
      <c r="G45" s="6" t="s">
        <v>1640</v>
      </c>
      <c r="H45" s="6" t="s">
        <v>1633</v>
      </c>
      <c r="I45" s="6" t="s">
        <v>1627</v>
      </c>
      <c r="J45" s="7">
        <v>0.9</v>
      </c>
    </row>
    <row r="46" ht="15" customHeight="1" spans="1:10" x14ac:dyDescent="0.25">
      <c r="A46" s="6" t="s">
        <v>1753</v>
      </c>
      <c r="B46" s="6" t="s">
        <v>976</v>
      </c>
      <c r="C46" s="6" t="s">
        <v>61</v>
      </c>
      <c r="D46" s="6" t="s">
        <v>1751</v>
      </c>
      <c r="E46" s="6" t="s">
        <v>1752</v>
      </c>
      <c r="F46" s="6" t="s">
        <v>1668</v>
      </c>
      <c r="G46" s="6" t="s">
        <v>1640</v>
      </c>
      <c r="H46" s="6" t="s">
        <v>1633</v>
      </c>
      <c r="I46" s="6" t="s">
        <v>1627</v>
      </c>
      <c r="J46" s="7">
        <v>3.6</v>
      </c>
    </row>
    <row r="47" ht="15" customHeight="1" spans="1:10" x14ac:dyDescent="0.25">
      <c r="A47" s="6" t="s">
        <v>1754</v>
      </c>
      <c r="B47" s="6" t="s">
        <v>939</v>
      </c>
      <c r="C47" s="6" t="s">
        <v>61</v>
      </c>
      <c r="D47" s="6" t="s">
        <v>1751</v>
      </c>
      <c r="E47" s="6" t="s">
        <v>1752</v>
      </c>
      <c r="F47" s="6" t="s">
        <v>1624</v>
      </c>
      <c r="G47" s="6" t="s">
        <v>1640</v>
      </c>
      <c r="H47" s="6" t="s">
        <v>1626</v>
      </c>
      <c r="I47" s="6" t="s">
        <v>1627</v>
      </c>
      <c r="J47" s="7">
        <v>2.6</v>
      </c>
    </row>
    <row r="48" ht="15" customHeight="1" spans="1:10" x14ac:dyDescent="0.25">
      <c r="A48" s="6" t="s">
        <v>1755</v>
      </c>
      <c r="B48" s="6" t="s">
        <v>981</v>
      </c>
      <c r="C48" s="6" t="s">
        <v>61</v>
      </c>
      <c r="D48" s="6" t="s">
        <v>1756</v>
      </c>
      <c r="E48" s="6" t="s">
        <v>1757</v>
      </c>
      <c r="F48" s="6" t="s">
        <v>1631</v>
      </c>
      <c r="G48" s="6" t="s">
        <v>1632</v>
      </c>
      <c r="H48" s="6" t="s">
        <v>1633</v>
      </c>
      <c r="I48" s="6" t="s">
        <v>1627</v>
      </c>
      <c r="J48" s="7">
        <v>0.4</v>
      </c>
    </row>
    <row r="49" ht="15" customHeight="1" spans="1:10" x14ac:dyDescent="0.25">
      <c r="A49" s="6" t="s">
        <v>1758</v>
      </c>
      <c r="B49" s="6" t="s">
        <v>365</v>
      </c>
      <c r="C49" s="6" t="s">
        <v>61</v>
      </c>
      <c r="D49" s="6" t="s">
        <v>1759</v>
      </c>
      <c r="E49" s="6" t="s">
        <v>1760</v>
      </c>
      <c r="F49" s="6" t="s">
        <v>1624</v>
      </c>
      <c r="G49" s="6" t="s">
        <v>1625</v>
      </c>
      <c r="H49" s="6" t="s">
        <v>1648</v>
      </c>
      <c r="I49" s="6" t="s">
        <v>1627</v>
      </c>
      <c r="J49" s="7">
        <v>3.3</v>
      </c>
    </row>
    <row r="50" ht="15" customHeight="1" spans="1:10" x14ac:dyDescent="0.25">
      <c r="A50" s="6" t="s">
        <v>1761</v>
      </c>
      <c r="B50" s="6" t="s">
        <v>253</v>
      </c>
      <c r="C50" s="6" t="s">
        <v>61</v>
      </c>
      <c r="D50" s="6" t="s">
        <v>1762</v>
      </c>
      <c r="E50" s="6" t="s">
        <v>1763</v>
      </c>
      <c r="F50" s="6" t="s">
        <v>1639</v>
      </c>
      <c r="G50" s="6" t="s">
        <v>1625</v>
      </c>
      <c r="H50" s="6" t="s">
        <v>1633</v>
      </c>
      <c r="I50" s="6" t="s">
        <v>1627</v>
      </c>
      <c r="J50" s="7">
        <v>2.9</v>
      </c>
    </row>
    <row r="51" ht="15" customHeight="1" spans="1:10" x14ac:dyDescent="0.25">
      <c r="A51" s="6" t="s">
        <v>1764</v>
      </c>
      <c r="B51" s="6" t="s">
        <v>450</v>
      </c>
      <c r="C51" s="6" t="s">
        <v>61</v>
      </c>
      <c r="D51" s="6" t="s">
        <v>1765</v>
      </c>
      <c r="E51" s="6" t="s">
        <v>1766</v>
      </c>
      <c r="F51" s="6" t="s">
        <v>1631</v>
      </c>
      <c r="G51" s="6" t="s">
        <v>1632</v>
      </c>
      <c r="H51" s="6" t="s">
        <v>1626</v>
      </c>
      <c r="I51" s="6" t="s">
        <v>1627</v>
      </c>
      <c r="J51" s="7">
        <v>0.6</v>
      </c>
    </row>
    <row r="52" ht="15" customHeight="1" spans="1:10" x14ac:dyDescent="0.25">
      <c r="A52" s="6" t="s">
        <v>1767</v>
      </c>
      <c r="B52" s="6" t="s">
        <v>266</v>
      </c>
      <c r="C52" s="6" t="s">
        <v>61</v>
      </c>
      <c r="D52" s="6" t="s">
        <v>1765</v>
      </c>
      <c r="E52" s="6" t="s">
        <v>1766</v>
      </c>
      <c r="F52" s="6" t="s">
        <v>1637</v>
      </c>
      <c r="G52" s="6" t="s">
        <v>1625</v>
      </c>
      <c r="H52" s="6" t="s">
        <v>1633</v>
      </c>
      <c r="I52" s="6" t="s">
        <v>1627</v>
      </c>
      <c r="J52" s="7">
        <v>0.7</v>
      </c>
    </row>
    <row r="53" ht="15" customHeight="1" spans="1:10" x14ac:dyDescent="0.25">
      <c r="A53" s="6" t="s">
        <v>1768</v>
      </c>
      <c r="B53" s="6" t="s">
        <v>830</v>
      </c>
      <c r="C53" s="6" t="s">
        <v>61</v>
      </c>
      <c r="D53" s="6" t="s">
        <v>1769</v>
      </c>
      <c r="E53" s="6" t="s">
        <v>1770</v>
      </c>
      <c r="F53" s="6" t="s">
        <v>1642</v>
      </c>
      <c r="G53" s="6" t="s">
        <v>1625</v>
      </c>
      <c r="H53" s="6" t="s">
        <v>1655</v>
      </c>
      <c r="I53" s="6" t="s">
        <v>1627</v>
      </c>
      <c r="J53" s="7">
        <v>1.2</v>
      </c>
    </row>
    <row r="54" ht="15" customHeight="1" spans="1:10" x14ac:dyDescent="0.25">
      <c r="A54" s="6" t="s">
        <v>1771</v>
      </c>
      <c r="B54" s="6" t="s">
        <v>815</v>
      </c>
      <c r="C54" s="6" t="s">
        <v>61</v>
      </c>
      <c r="D54" s="6" t="s">
        <v>1772</v>
      </c>
      <c r="E54" s="6" t="s">
        <v>1773</v>
      </c>
      <c r="F54" s="6" t="s">
        <v>1642</v>
      </c>
      <c r="G54" s="6" t="s">
        <v>1625</v>
      </c>
      <c r="H54" s="6" t="s">
        <v>1655</v>
      </c>
      <c r="I54" s="6" t="s">
        <v>1627</v>
      </c>
      <c r="J54" s="7">
        <v>3.4</v>
      </c>
    </row>
    <row r="55" ht="15" customHeight="1" spans="1:10" x14ac:dyDescent="0.25">
      <c r="A55" s="6" t="s">
        <v>1774</v>
      </c>
      <c r="B55" s="6" t="s">
        <v>254</v>
      </c>
      <c r="C55" s="6" t="s">
        <v>61</v>
      </c>
      <c r="D55" s="6" t="s">
        <v>1772</v>
      </c>
      <c r="E55" s="6" t="s">
        <v>1773</v>
      </c>
      <c r="F55" s="6" t="s">
        <v>1668</v>
      </c>
      <c r="G55" s="6" t="s">
        <v>1640</v>
      </c>
      <c r="H55" s="6" t="s">
        <v>1655</v>
      </c>
      <c r="I55" s="6" t="s">
        <v>1627</v>
      </c>
      <c r="J55" s="7">
        <v>2.1</v>
      </c>
    </row>
    <row r="56" ht="15" customHeight="1" spans="1:10" x14ac:dyDescent="0.25">
      <c r="A56" s="6" t="s">
        <v>1775</v>
      </c>
      <c r="B56" s="6" t="s">
        <v>463</v>
      </c>
      <c r="C56" s="6" t="s">
        <v>61</v>
      </c>
      <c r="D56" s="6" t="s">
        <v>1776</v>
      </c>
      <c r="E56" s="6" t="s">
        <v>1777</v>
      </c>
      <c r="F56" s="6" t="s">
        <v>1639</v>
      </c>
      <c r="G56" s="6" t="s">
        <v>1640</v>
      </c>
      <c r="H56" s="6" t="s">
        <v>1626</v>
      </c>
      <c r="I56" s="6" t="s">
        <v>1627</v>
      </c>
      <c r="J56" s="7">
        <v>1.9</v>
      </c>
    </row>
    <row r="57" ht="15" customHeight="1" spans="1:10" x14ac:dyDescent="0.25">
      <c r="A57" s="6" t="s">
        <v>1778</v>
      </c>
      <c r="B57" s="6" t="s">
        <v>879</v>
      </c>
      <c r="C57" s="6" t="s">
        <v>61</v>
      </c>
      <c r="D57" s="6" t="s">
        <v>1779</v>
      </c>
      <c r="E57" s="6" t="s">
        <v>1780</v>
      </c>
      <c r="F57" s="6" t="s">
        <v>1668</v>
      </c>
      <c r="G57" s="6" t="s">
        <v>1625</v>
      </c>
      <c r="H57" s="6" t="s">
        <v>1626</v>
      </c>
      <c r="I57" s="6" t="s">
        <v>1627</v>
      </c>
      <c r="J57" s="7">
        <v>3.6</v>
      </c>
    </row>
    <row r="58" ht="15" customHeight="1" spans="1:10" x14ac:dyDescent="0.25">
      <c r="A58" s="6" t="s">
        <v>1781</v>
      </c>
      <c r="B58" s="6" t="s">
        <v>354</v>
      </c>
      <c r="C58" s="6" t="s">
        <v>61</v>
      </c>
      <c r="D58" s="6" t="s">
        <v>1782</v>
      </c>
      <c r="E58" s="6" t="s">
        <v>1783</v>
      </c>
      <c r="F58" s="6" t="s">
        <v>1678</v>
      </c>
      <c r="G58" s="6" t="s">
        <v>1640</v>
      </c>
      <c r="H58" s="6" t="s">
        <v>1655</v>
      </c>
      <c r="I58" s="6" t="s">
        <v>1627</v>
      </c>
      <c r="J58" s="7">
        <v>2.8</v>
      </c>
    </row>
    <row r="59" ht="15" customHeight="1" spans="1:10" x14ac:dyDescent="0.25">
      <c r="A59" s="6" t="s">
        <v>1784</v>
      </c>
      <c r="B59" s="6" t="s">
        <v>462</v>
      </c>
      <c r="C59" s="6" t="s">
        <v>61</v>
      </c>
      <c r="D59" s="6" t="s">
        <v>1785</v>
      </c>
      <c r="E59" s="6" t="s">
        <v>1786</v>
      </c>
      <c r="F59" s="6" t="s">
        <v>1678</v>
      </c>
      <c r="G59" s="6" t="s">
        <v>1625</v>
      </c>
      <c r="H59" s="6" t="s">
        <v>1655</v>
      </c>
      <c r="I59" s="6" t="s">
        <v>1627</v>
      </c>
      <c r="J59" s="7">
        <v>2.6</v>
      </c>
    </row>
    <row r="60" ht="15" customHeight="1" spans="1:10" x14ac:dyDescent="0.25">
      <c r="A60" s="6" t="s">
        <v>1787</v>
      </c>
      <c r="B60" s="6" t="s">
        <v>912</v>
      </c>
      <c r="C60" s="6" t="s">
        <v>61</v>
      </c>
      <c r="D60" s="6" t="s">
        <v>1788</v>
      </c>
      <c r="E60" s="6" t="s">
        <v>1789</v>
      </c>
      <c r="F60" s="6" t="s">
        <v>1624</v>
      </c>
      <c r="G60" s="6" t="s">
        <v>1625</v>
      </c>
      <c r="H60" s="6" t="s">
        <v>1655</v>
      </c>
      <c r="I60" s="6" t="s">
        <v>1627</v>
      </c>
      <c r="J60" s="7">
        <v>2.5</v>
      </c>
    </row>
    <row r="61" ht="15" customHeight="1" spans="1:10" x14ac:dyDescent="0.25">
      <c r="A61" s="6" t="s">
        <v>1790</v>
      </c>
      <c r="B61" s="6" t="s">
        <v>811</v>
      </c>
      <c r="C61" s="6" t="s">
        <v>61</v>
      </c>
      <c r="D61" s="6" t="s">
        <v>1791</v>
      </c>
      <c r="E61" s="6" t="s">
        <v>1792</v>
      </c>
      <c r="F61" s="6" t="s">
        <v>1639</v>
      </c>
      <c r="G61" s="6" t="s">
        <v>1640</v>
      </c>
      <c r="H61" s="6" t="s">
        <v>1626</v>
      </c>
      <c r="I61" s="6" t="s">
        <v>1627</v>
      </c>
      <c r="J61" s="7">
        <v>2</v>
      </c>
    </row>
    <row r="62" ht="15" customHeight="1" spans="1:10" x14ac:dyDescent="0.25">
      <c r="A62" s="6" t="s">
        <v>1793</v>
      </c>
      <c r="B62" s="6" t="s">
        <v>909</v>
      </c>
      <c r="C62" s="6" t="s">
        <v>61</v>
      </c>
      <c r="D62" s="6" t="s">
        <v>1794</v>
      </c>
      <c r="E62" s="6" t="s">
        <v>1795</v>
      </c>
      <c r="F62" s="6" t="s">
        <v>1624</v>
      </c>
      <c r="G62" s="6" t="s">
        <v>1632</v>
      </c>
      <c r="H62" s="6" t="s">
        <v>1655</v>
      </c>
      <c r="I62" s="6" t="s">
        <v>1627</v>
      </c>
      <c r="J62" s="7">
        <v>3.6</v>
      </c>
    </row>
    <row r="63" ht="15" customHeight="1" spans="1:10" x14ac:dyDescent="0.25">
      <c r="A63" s="6" t="s">
        <v>1796</v>
      </c>
      <c r="B63" s="6" t="s">
        <v>825</v>
      </c>
      <c r="C63" s="6" t="s">
        <v>61</v>
      </c>
      <c r="D63" s="6" t="s">
        <v>1797</v>
      </c>
      <c r="E63" s="6" t="s">
        <v>1798</v>
      </c>
      <c r="F63" s="6" t="s">
        <v>1624</v>
      </c>
      <c r="G63" s="6" t="s">
        <v>1640</v>
      </c>
      <c r="H63" s="6" t="s">
        <v>1626</v>
      </c>
      <c r="I63" s="6" t="s">
        <v>1627</v>
      </c>
      <c r="J63" s="7">
        <v>3.2</v>
      </c>
    </row>
    <row r="64" ht="15" customHeight="1" spans="1:10" x14ac:dyDescent="0.25">
      <c r="A64" s="6" t="s">
        <v>1799</v>
      </c>
      <c r="B64" s="6" t="s">
        <v>974</v>
      </c>
      <c r="C64" s="6" t="s">
        <v>61</v>
      </c>
      <c r="D64" s="6" t="s">
        <v>1800</v>
      </c>
      <c r="E64" s="6" t="s">
        <v>1801</v>
      </c>
      <c r="F64" s="6" t="s">
        <v>1637</v>
      </c>
      <c r="G64" s="6" t="s">
        <v>1632</v>
      </c>
      <c r="H64" s="6" t="s">
        <v>1626</v>
      </c>
      <c r="I64" s="6" t="s">
        <v>1627</v>
      </c>
      <c r="J64" s="7">
        <v>3.1</v>
      </c>
    </row>
    <row r="65" ht="15" customHeight="1" spans="1:10" x14ac:dyDescent="0.25">
      <c r="A65" s="6" t="s">
        <v>1802</v>
      </c>
      <c r="B65" s="6" t="s">
        <v>838</v>
      </c>
      <c r="C65" s="6" t="s">
        <v>61</v>
      </c>
      <c r="D65" s="6" t="s">
        <v>1803</v>
      </c>
      <c r="E65" s="6" t="s">
        <v>1804</v>
      </c>
      <c r="F65" s="6" t="s">
        <v>1631</v>
      </c>
      <c r="G65" s="6" t="s">
        <v>1640</v>
      </c>
      <c r="H65" s="6" t="s">
        <v>1633</v>
      </c>
      <c r="I65" s="6" t="s">
        <v>1627</v>
      </c>
      <c r="J65" s="7">
        <v>2.7</v>
      </c>
    </row>
    <row r="66" ht="15" customHeight="1" spans="1:10" x14ac:dyDescent="0.25">
      <c r="A66" s="6" t="s">
        <v>1805</v>
      </c>
      <c r="B66" s="6" t="s">
        <v>882</v>
      </c>
      <c r="C66" s="6" t="s">
        <v>61</v>
      </c>
      <c r="D66" s="6" t="s">
        <v>1806</v>
      </c>
      <c r="E66" s="6" t="s">
        <v>1807</v>
      </c>
      <c r="F66" s="6" t="s">
        <v>1642</v>
      </c>
      <c r="G66" s="6" t="s">
        <v>1640</v>
      </c>
      <c r="H66" s="6" t="s">
        <v>1626</v>
      </c>
      <c r="I66" s="6" t="s">
        <v>1627</v>
      </c>
      <c r="J66" s="7">
        <v>2.9</v>
      </c>
    </row>
    <row r="67" ht="15" customHeight="1" spans="1:10" x14ac:dyDescent="0.25">
      <c r="A67" s="6" t="s">
        <v>1808</v>
      </c>
      <c r="B67" s="6" t="s">
        <v>850</v>
      </c>
      <c r="C67" s="6" t="s">
        <v>61</v>
      </c>
      <c r="D67" s="6" t="s">
        <v>1809</v>
      </c>
      <c r="E67" s="6" t="s">
        <v>1810</v>
      </c>
      <c r="F67" s="6" t="s">
        <v>1668</v>
      </c>
      <c r="G67" s="6" t="s">
        <v>1625</v>
      </c>
      <c r="H67" s="6" t="s">
        <v>1633</v>
      </c>
      <c r="I67" s="6" t="s">
        <v>1627</v>
      </c>
      <c r="J67" s="7">
        <v>1.2</v>
      </c>
    </row>
    <row r="68" ht="15" customHeight="1" spans="1:10" x14ac:dyDescent="0.25">
      <c r="A68" s="6" t="s">
        <v>1811</v>
      </c>
      <c r="B68" s="6" t="s">
        <v>833</v>
      </c>
      <c r="C68" s="6" t="s">
        <v>61</v>
      </c>
      <c r="D68" s="6" t="s">
        <v>1812</v>
      </c>
      <c r="E68" s="6" t="s">
        <v>1813</v>
      </c>
      <c r="F68" s="6" t="s">
        <v>1631</v>
      </c>
      <c r="G68" s="6" t="s">
        <v>1640</v>
      </c>
      <c r="H68" s="6" t="s">
        <v>1626</v>
      </c>
      <c r="I68" s="6" t="s">
        <v>1627</v>
      </c>
      <c r="J68" s="7">
        <v>1.2</v>
      </c>
    </row>
    <row r="69" ht="15" customHeight="1" spans="1:10" x14ac:dyDescent="0.25">
      <c r="A69" s="6" t="s">
        <v>1814</v>
      </c>
      <c r="B69" s="6" t="s">
        <v>979</v>
      </c>
      <c r="C69" s="6" t="s">
        <v>61</v>
      </c>
      <c r="D69" s="6" t="s">
        <v>1815</v>
      </c>
      <c r="E69" s="6" t="s">
        <v>1622</v>
      </c>
      <c r="F69" s="6" t="s">
        <v>1624</v>
      </c>
      <c r="G69" s="6" t="s">
        <v>1632</v>
      </c>
      <c r="H69" s="6" t="s">
        <v>1626</v>
      </c>
      <c r="I69" s="6" t="s">
        <v>1627</v>
      </c>
      <c r="J69" s="7">
        <v>2.4</v>
      </c>
    </row>
    <row r="70" ht="15" customHeight="1" spans="1:10" x14ac:dyDescent="0.25">
      <c r="A70" s="6" t="s">
        <v>1816</v>
      </c>
      <c r="B70" s="6" t="s">
        <v>821</v>
      </c>
      <c r="C70" s="6" t="s">
        <v>61</v>
      </c>
      <c r="D70" s="6" t="s">
        <v>1817</v>
      </c>
      <c r="E70" s="6" t="s">
        <v>1635</v>
      </c>
      <c r="F70" s="6" t="s">
        <v>1668</v>
      </c>
      <c r="G70" s="6" t="s">
        <v>1640</v>
      </c>
      <c r="H70" s="6" t="s">
        <v>1648</v>
      </c>
      <c r="I70" s="6" t="s">
        <v>1627</v>
      </c>
      <c r="J70" s="7">
        <v>1.4</v>
      </c>
    </row>
    <row r="71" ht="15" customHeight="1" spans="1:10" x14ac:dyDescent="0.25">
      <c r="A71" s="6" t="s">
        <v>1818</v>
      </c>
      <c r="B71" s="6" t="s">
        <v>836</v>
      </c>
      <c r="C71" s="6" t="s">
        <v>61</v>
      </c>
      <c r="D71" s="6" t="s">
        <v>1819</v>
      </c>
      <c r="E71" s="6" t="s">
        <v>1820</v>
      </c>
      <c r="F71" s="6" t="s">
        <v>1631</v>
      </c>
      <c r="G71" s="6" t="s">
        <v>1640</v>
      </c>
      <c r="H71" s="6" t="s">
        <v>1655</v>
      </c>
      <c r="I71" s="6" t="s">
        <v>1627</v>
      </c>
      <c r="J71" s="7">
        <v>1</v>
      </c>
    </row>
    <row r="72" ht="15" customHeight="1" spans="1:10" x14ac:dyDescent="0.25">
      <c r="A72" s="6" t="s">
        <v>1821</v>
      </c>
      <c r="B72" s="6" t="s">
        <v>828</v>
      </c>
      <c r="C72" s="6" t="s">
        <v>61</v>
      </c>
      <c r="D72" s="6" t="s">
        <v>1822</v>
      </c>
      <c r="E72" s="6" t="s">
        <v>1823</v>
      </c>
      <c r="F72" s="6" t="s">
        <v>1624</v>
      </c>
      <c r="G72" s="6" t="s">
        <v>1625</v>
      </c>
      <c r="H72" s="6" t="s">
        <v>1626</v>
      </c>
      <c r="I72" s="6" t="s">
        <v>1627</v>
      </c>
      <c r="J72" s="7">
        <v>1</v>
      </c>
    </row>
    <row r="73" ht="15" customHeight="1" spans="1:10" x14ac:dyDescent="0.25">
      <c r="A73" s="6" t="s">
        <v>1824</v>
      </c>
      <c r="B73" s="6" t="s">
        <v>969</v>
      </c>
      <c r="C73" s="6" t="s">
        <v>61</v>
      </c>
      <c r="D73" s="6" t="s">
        <v>1822</v>
      </c>
      <c r="E73" s="6" t="s">
        <v>1823</v>
      </c>
      <c r="F73" s="6" t="s">
        <v>1642</v>
      </c>
      <c r="G73" s="6" t="s">
        <v>1632</v>
      </c>
      <c r="H73" s="6" t="s">
        <v>1648</v>
      </c>
      <c r="I73" s="6" t="s">
        <v>1627</v>
      </c>
      <c r="J73" s="7">
        <v>0.6</v>
      </c>
    </row>
    <row r="74" ht="15" customHeight="1" spans="1:10" x14ac:dyDescent="0.25">
      <c r="A74" s="6" t="s">
        <v>1825</v>
      </c>
      <c r="B74" s="6" t="s">
        <v>451</v>
      </c>
      <c r="C74" s="6" t="s">
        <v>61</v>
      </c>
      <c r="D74" s="6" t="s">
        <v>1822</v>
      </c>
      <c r="E74" s="6" t="s">
        <v>1823</v>
      </c>
      <c r="F74" s="6" t="s">
        <v>1642</v>
      </c>
      <c r="G74" s="6" t="s">
        <v>1632</v>
      </c>
      <c r="H74" s="6" t="s">
        <v>1626</v>
      </c>
      <c r="I74" s="6" t="s">
        <v>1627</v>
      </c>
      <c r="J74" s="7">
        <v>3</v>
      </c>
    </row>
    <row r="75" ht="15" customHeight="1" spans="1:10" x14ac:dyDescent="0.25">
      <c r="A75" s="6" t="s">
        <v>1826</v>
      </c>
      <c r="B75" s="6" t="s">
        <v>817</v>
      </c>
      <c r="C75" s="6" t="s">
        <v>61</v>
      </c>
      <c r="D75" s="6" t="s">
        <v>1827</v>
      </c>
      <c r="E75" s="6" t="s">
        <v>1828</v>
      </c>
      <c r="F75" s="6" t="s">
        <v>1631</v>
      </c>
      <c r="G75" s="6" t="s">
        <v>1632</v>
      </c>
      <c r="H75" s="6" t="s">
        <v>1655</v>
      </c>
      <c r="I75" s="6" t="s">
        <v>1627</v>
      </c>
      <c r="J75" s="7">
        <v>2.8</v>
      </c>
    </row>
    <row r="76" ht="15" customHeight="1" spans="1:10" x14ac:dyDescent="0.25">
      <c r="A76" s="6" t="s">
        <v>1829</v>
      </c>
      <c r="B76" s="6" t="s">
        <v>942</v>
      </c>
      <c r="C76" s="6" t="s">
        <v>61</v>
      </c>
      <c r="D76" s="6" t="s">
        <v>1827</v>
      </c>
      <c r="E76" s="6" t="s">
        <v>1828</v>
      </c>
      <c r="F76" s="6" t="s">
        <v>1637</v>
      </c>
      <c r="G76" s="6" t="s">
        <v>1625</v>
      </c>
      <c r="H76" s="6" t="s">
        <v>1655</v>
      </c>
      <c r="I76" s="6" t="s">
        <v>1627</v>
      </c>
      <c r="J76" s="7">
        <v>1.9</v>
      </c>
    </row>
    <row r="77" ht="15" customHeight="1" spans="1:10" x14ac:dyDescent="0.25">
      <c r="A77" s="6" t="s">
        <v>1830</v>
      </c>
      <c r="B77" s="6" t="s">
        <v>353</v>
      </c>
      <c r="C77" s="6" t="s">
        <v>61</v>
      </c>
      <c r="D77" s="6" t="s">
        <v>1831</v>
      </c>
      <c r="E77" s="6" t="s">
        <v>1670</v>
      </c>
      <c r="F77" s="6" t="s">
        <v>1668</v>
      </c>
      <c r="G77" s="6" t="s">
        <v>1640</v>
      </c>
      <c r="H77" s="6" t="s">
        <v>1633</v>
      </c>
      <c r="I77" s="6" t="s">
        <v>1627</v>
      </c>
      <c r="J77" s="7">
        <v>0.5</v>
      </c>
    </row>
    <row r="78" spans="1:10" x14ac:dyDescent="0.25">
      <c r="A78" s="6" t="s">
        <v>1832</v>
      </c>
      <c r="B78" s="6" t="s">
        <v>811</v>
      </c>
      <c r="C78" s="6" t="s">
        <v>61</v>
      </c>
      <c r="D78" s="6" t="s">
        <v>1833</v>
      </c>
      <c r="E78" s="6" t="s">
        <v>1690</v>
      </c>
      <c r="F78" s="6" t="s">
        <v>1834</v>
      </c>
      <c r="G78" s="6" t="s">
        <v>1632</v>
      </c>
      <c r="H78" s="6" t="s">
        <v>1835</v>
      </c>
      <c r="I78" s="6" t="s">
        <v>1644</v>
      </c>
      <c r="J78" s="10">
        <v>1.8</v>
      </c>
    </row>
    <row r="80" ht="15" customHeight="1" spans="1:2" x14ac:dyDescent="0.25">
      <c r="A80" s="9" t="s">
        <v>1836</v>
      </c>
    </row>
    <row r="81" ht="15" customHeight="1" spans="1:2" x14ac:dyDescent="0.25">
      <c r="A81" s="9" t="s">
        <v>1837</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zoomScale="100" zoomScaleNormal="100" view="normal">
      <pane ySplit="1" topLeftCell="A2" activePane="bottomLeft" state="frozen"/>
      <selection pane="bottomLeft" activeCell="A1" sqref="A1"/>
    </sheetView>
  </sheetViews>
  <sheetFormatPr defaultRowHeight="15" outlineLevelRow="0" outlineLevelCol="0" x14ac:dyDescent="0" defaultColWidth="8.6796875"/>
  <cols>
    <col min="1" max="1" width="12" customWidth="1"/>
    <col min="2" max="2" width="11" customWidth="1"/>
    <col min="3" max="3" width="15" customWidth="1"/>
    <col min="4" max="4" width="10" customWidth="1"/>
    <col min="5" max="5" width="12" customWidth="1"/>
    <col min="6" max="6" width="46" customWidth="1"/>
    <col min="7" max="7" width="19" customWidth="1"/>
    <col min="8" max="8" width="15" customWidth="1"/>
    <col min="9" max="9" width="18" customWidth="1"/>
    <col min="10" max="10" width="40" customWidth="1"/>
  </cols>
  <sheetData>
    <row r="1" ht="30" customHeight="1" spans="1:10" x14ac:dyDescent="0.25">
      <c r="A1" s="5" t="s">
        <v>1838</v>
      </c>
      <c r="B1" s="5" t="s">
        <v>42</v>
      </c>
      <c r="C1" s="5" t="s">
        <v>788</v>
      </c>
      <c r="D1" s="5" t="s">
        <v>1368</v>
      </c>
      <c r="E1" s="5" t="s">
        <v>1839</v>
      </c>
      <c r="F1" s="5" t="s">
        <v>1840</v>
      </c>
      <c r="G1" s="5" t="s">
        <v>1841</v>
      </c>
      <c r="H1" s="5" t="s">
        <v>50</v>
      </c>
      <c r="I1" s="5" t="s">
        <v>1842</v>
      </c>
      <c r="J1" s="5" t="s">
        <v>107</v>
      </c>
    </row>
    <row r="2" ht="15" customHeight="1" spans="1:10" x14ac:dyDescent="0.25">
      <c r="A2" s="6" t="s">
        <v>1843</v>
      </c>
      <c r="B2" s="6" t="s">
        <v>61</v>
      </c>
      <c r="C2" s="6" t="s">
        <v>451</v>
      </c>
      <c r="D2" s="6" t="s">
        <v>1389</v>
      </c>
      <c r="E2" s="6" t="s">
        <v>1844</v>
      </c>
      <c r="F2" s="6" t="s">
        <v>1845</v>
      </c>
      <c r="G2" s="6" t="s">
        <v>1846</v>
      </c>
      <c r="H2" s="6" t="s">
        <v>1847</v>
      </c>
      <c r="I2" s="6" t="s">
        <v>8</v>
      </c>
      <c r="J2" s="6" t="s">
        <v>1848</v>
      </c>
    </row>
    <row r="3" ht="15" customHeight="1" spans="1:10" x14ac:dyDescent="0.25">
      <c r="A3" s="6" t="s">
        <v>1849</v>
      </c>
      <c r="B3" s="6" t="s">
        <v>61</v>
      </c>
      <c r="C3" s="6" t="s">
        <v>830</v>
      </c>
      <c r="D3" s="6" t="s">
        <v>1405</v>
      </c>
      <c r="E3" s="6" t="s">
        <v>1850</v>
      </c>
      <c r="F3" s="6" t="s">
        <v>1851</v>
      </c>
      <c r="G3" s="6" t="s">
        <v>1852</v>
      </c>
      <c r="H3" s="6" t="s">
        <v>1853</v>
      </c>
      <c r="I3" s="6" t="s">
        <v>1854</v>
      </c>
      <c r="J3" s="6" t="s">
        <v>1855</v>
      </c>
    </row>
    <row r="4" ht="15" customHeight="1" spans="1:10" x14ac:dyDescent="0.25">
      <c r="A4" s="6" t="s">
        <v>1856</v>
      </c>
      <c r="B4" s="6" t="s">
        <v>61</v>
      </c>
      <c r="C4" s="6" t="s">
        <v>882</v>
      </c>
      <c r="D4" s="6" t="s">
        <v>1857</v>
      </c>
      <c r="E4" s="6" t="s">
        <v>1850</v>
      </c>
      <c r="F4" s="6" t="s">
        <v>1858</v>
      </c>
      <c r="G4" s="6" t="s">
        <v>1859</v>
      </c>
      <c r="H4" s="6" t="s">
        <v>1847</v>
      </c>
      <c r="I4" s="6" t="s">
        <v>1854</v>
      </c>
      <c r="J4" s="6"/>
    </row>
    <row r="5" ht="15" customHeight="1" spans="1:10" x14ac:dyDescent="0.25">
      <c r="A5" s="6" t="s">
        <v>1860</v>
      </c>
      <c r="B5" s="6" t="s">
        <v>69</v>
      </c>
      <c r="C5" s="6" t="s">
        <v>976</v>
      </c>
      <c r="D5" s="6" t="s">
        <v>1389</v>
      </c>
      <c r="E5" s="6" t="s">
        <v>1844</v>
      </c>
      <c r="F5" s="6" t="s">
        <v>1861</v>
      </c>
      <c r="G5" s="6" t="s">
        <v>1862</v>
      </c>
      <c r="H5" s="6" t="s">
        <v>1847</v>
      </c>
      <c r="I5" s="6" t="s">
        <v>8</v>
      </c>
      <c r="J5" s="6" t="s">
        <v>1863</v>
      </c>
    </row>
    <row r="6" ht="15" customHeight="1" spans="1:10" x14ac:dyDescent="0.25">
      <c r="A6" s="6" t="s">
        <v>1864</v>
      </c>
      <c r="B6" s="6" t="s">
        <v>69</v>
      </c>
      <c r="C6" s="6" t="s">
        <v>228</v>
      </c>
      <c r="D6" s="6" t="s">
        <v>1405</v>
      </c>
      <c r="E6" s="6" t="s">
        <v>1850</v>
      </c>
      <c r="F6" s="6" t="s">
        <v>1865</v>
      </c>
      <c r="G6" s="6" t="s">
        <v>1866</v>
      </c>
      <c r="H6" s="6" t="s">
        <v>1847</v>
      </c>
      <c r="I6" s="6" t="s">
        <v>1854</v>
      </c>
      <c r="J6" s="6"/>
    </row>
    <row r="7" ht="15" customHeight="1" spans="1:10" x14ac:dyDescent="0.25">
      <c r="A7" s="6" t="s">
        <v>1867</v>
      </c>
      <c r="B7" s="6" t="s">
        <v>73</v>
      </c>
      <c r="C7" s="6" t="s">
        <v>969</v>
      </c>
      <c r="D7" s="6" t="s">
        <v>1389</v>
      </c>
      <c r="E7" s="6" t="s">
        <v>1868</v>
      </c>
      <c r="F7" s="6" t="s">
        <v>1869</v>
      </c>
      <c r="G7" s="6" t="s">
        <v>1870</v>
      </c>
      <c r="H7" s="6" t="s">
        <v>1853</v>
      </c>
      <c r="I7" s="6" t="s">
        <v>8</v>
      </c>
      <c r="J7" s="6" t="s">
        <v>1871</v>
      </c>
    </row>
    <row r="8" ht="15" customHeight="1" spans="1:10" x14ac:dyDescent="0.25">
      <c r="A8" s="6" t="s">
        <v>1872</v>
      </c>
      <c r="B8" s="6" t="s">
        <v>73</v>
      </c>
      <c r="C8" s="6" t="s">
        <v>981</v>
      </c>
      <c r="D8" s="6" t="s">
        <v>1405</v>
      </c>
      <c r="E8" s="6" t="s">
        <v>1844</v>
      </c>
      <c r="F8" s="6" t="s">
        <v>1873</v>
      </c>
      <c r="G8" s="6" t="s">
        <v>1874</v>
      </c>
      <c r="H8" s="6" t="s">
        <v>1847</v>
      </c>
      <c r="I8" s="6" t="s">
        <v>8</v>
      </c>
      <c r="J8" s="6"/>
    </row>
    <row r="9" ht="15" customHeight="1" spans="1:10" x14ac:dyDescent="0.25">
      <c r="A9" s="6" t="s">
        <v>1875</v>
      </c>
      <c r="B9" s="6" t="s">
        <v>85</v>
      </c>
      <c r="C9" s="6" t="s">
        <v>817</v>
      </c>
      <c r="D9" s="6" t="s">
        <v>1405</v>
      </c>
      <c r="E9" s="6" t="s">
        <v>1850</v>
      </c>
      <c r="F9" s="6" t="s">
        <v>1876</v>
      </c>
      <c r="G9" s="6" t="s">
        <v>1877</v>
      </c>
      <c r="H9" s="6" t="s">
        <v>1847</v>
      </c>
      <c r="I9" s="6" t="s">
        <v>8</v>
      </c>
      <c r="J9" s="6" t="s">
        <v>1878</v>
      </c>
    </row>
    <row r="10" ht="15" customHeight="1" spans="1:10" x14ac:dyDescent="0.25">
      <c r="A10" s="6" t="s">
        <v>1879</v>
      </c>
      <c r="B10" s="6" t="s">
        <v>85</v>
      </c>
      <c r="C10" s="6" t="s">
        <v>801</v>
      </c>
      <c r="D10" s="6" t="s">
        <v>1375</v>
      </c>
      <c r="E10" s="6" t="s">
        <v>1850</v>
      </c>
      <c r="F10" s="6" t="s">
        <v>1880</v>
      </c>
      <c r="G10" s="6" t="s">
        <v>1881</v>
      </c>
      <c r="H10" s="6" t="s">
        <v>1882</v>
      </c>
      <c r="I10" s="6" t="s">
        <v>1883</v>
      </c>
      <c r="J10" s="6" t="s">
        <v>1884</v>
      </c>
    </row>
    <row r="11" ht="15" customHeight="1" spans="1:10" x14ac:dyDescent="0.25">
      <c r="A11" s="6" t="s">
        <v>1885</v>
      </c>
      <c r="B11" s="6" t="s">
        <v>79</v>
      </c>
      <c r="C11" s="6" t="s">
        <v>655</v>
      </c>
      <c r="D11" s="6" t="s">
        <v>1857</v>
      </c>
      <c r="E11" s="6" t="s">
        <v>1844</v>
      </c>
      <c r="F11" s="6" t="s">
        <v>1886</v>
      </c>
      <c r="G11" s="6" t="s">
        <v>1887</v>
      </c>
      <c r="H11" s="6" t="s">
        <v>1847</v>
      </c>
      <c r="I11" s="6" t="s">
        <v>8</v>
      </c>
      <c r="J11" s="6"/>
    </row>
    <row r="12" ht="15" customHeight="1" spans="1:10" x14ac:dyDescent="0.25">
      <c r="A12" s="6" t="s">
        <v>1888</v>
      </c>
      <c r="B12" s="6" t="s">
        <v>61</v>
      </c>
      <c r="C12" s="6" t="s">
        <v>1076</v>
      </c>
      <c r="D12" s="6" t="s">
        <v>1405</v>
      </c>
      <c r="E12" s="6" t="s">
        <v>1889</v>
      </c>
      <c r="F12" s="6" t="s">
        <v>1890</v>
      </c>
      <c r="G12" s="6" t="s">
        <v>1891</v>
      </c>
      <c r="H12" s="6" t="s">
        <v>1847</v>
      </c>
      <c r="I12" s="6" t="s">
        <v>1892</v>
      </c>
      <c r="J12" s="6" t="s">
        <v>1893</v>
      </c>
    </row>
    <row r="13" ht="15" customHeight="1" spans="1:10" x14ac:dyDescent="0.25">
      <c r="A13" s="6" t="s">
        <v>1894</v>
      </c>
      <c r="B13" s="6" t="s">
        <v>73</v>
      </c>
      <c r="C13" s="6" t="s">
        <v>974</v>
      </c>
      <c r="D13" s="6" t="s">
        <v>1405</v>
      </c>
      <c r="E13" s="6" t="s">
        <v>1868</v>
      </c>
      <c r="F13" s="6" t="s">
        <v>1895</v>
      </c>
      <c r="G13" s="6" t="s">
        <v>1896</v>
      </c>
      <c r="H13" s="6" t="s">
        <v>1847</v>
      </c>
      <c r="I13" s="6" t="s">
        <v>1897</v>
      </c>
      <c r="J13" s="6" t="s">
        <v>1898</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
  <sheetViews>
    <sheetView workbookViewId="0" zoomScale="100" zoomScaleNormal="100" view="normal">
      <pane ySplit="1" topLeftCell="A2" activePane="bottomLeft" state="frozen"/>
      <selection pane="bottomLeft" activeCell="A1" sqref="A1"/>
    </sheetView>
  </sheetViews>
  <sheetFormatPr defaultRowHeight="15" outlineLevelRow="0" outlineLevelCol="0" x14ac:dyDescent="0" defaultColWidth="8.6796875"/>
  <cols>
    <col min="1" max="1" width="22" customWidth="1"/>
    <col min="2" max="2" width="18" customWidth="1"/>
    <col min="5" max="5" width="13" customWidth="1"/>
    <col min="8" max="8" width="17" customWidth="1"/>
    <col min="9" max="9" width="56" customWidth="1"/>
  </cols>
  <sheetData>
    <row r="1" ht="30" customHeight="1" spans="1:9" x14ac:dyDescent="0.25">
      <c r="A1" s="5" t="s">
        <v>1269</v>
      </c>
      <c r="B1" s="5" t="s">
        <v>1899</v>
      </c>
      <c r="C1" s="5" t="s">
        <v>1900</v>
      </c>
      <c r="D1" s="5" t="s">
        <v>1901</v>
      </c>
      <c r="E1" s="5" t="s">
        <v>1902</v>
      </c>
      <c r="F1" s="5" t="s">
        <v>1903</v>
      </c>
      <c r="G1" s="5" t="s">
        <v>1904</v>
      </c>
      <c r="H1" s="5" t="s">
        <v>1905</v>
      </c>
      <c r="I1" s="5" t="s">
        <v>1906</v>
      </c>
    </row>
    <row r="2" ht="15" customHeight="1" spans="1:9" x14ac:dyDescent="0.25">
      <c r="A2" s="6" t="s">
        <v>1278</v>
      </c>
      <c r="B2" s="6" t="s">
        <v>1907</v>
      </c>
      <c r="C2" s="7">
        <v>1.34</v>
      </c>
      <c r="D2" s="7">
        <v>1.48</v>
      </c>
      <c r="E2" s="7">
        <v>1.61</v>
      </c>
      <c r="F2" s="7">
        <v>1.75</v>
      </c>
      <c r="G2" s="7">
        <v>1.92</v>
      </c>
      <c r="H2" s="6" t="s">
        <v>1908</v>
      </c>
      <c r="I2" s="6" t="s">
        <v>1909</v>
      </c>
    </row>
    <row r="3" ht="15" customHeight="1" spans="1:9" x14ac:dyDescent="0.25">
      <c r="A3" s="6" t="s">
        <v>1278</v>
      </c>
      <c r="B3" s="6" t="s">
        <v>1910</v>
      </c>
      <c r="C3" s="7">
        <v>1.28</v>
      </c>
      <c r="D3" s="7">
        <v>1.39</v>
      </c>
      <c r="E3" s="7">
        <v>1.52</v>
      </c>
      <c r="F3" s="7">
        <v>1.66</v>
      </c>
      <c r="G3" s="7">
        <v>1.81</v>
      </c>
      <c r="H3" s="6" t="s">
        <v>1908</v>
      </c>
      <c r="I3" s="6" t="s">
        <v>1909</v>
      </c>
    </row>
    <row r="4" ht="15" customHeight="1" spans="1:9" x14ac:dyDescent="0.25">
      <c r="A4" s="6" t="s">
        <v>1911</v>
      </c>
      <c r="B4" s="6" t="s">
        <v>1907</v>
      </c>
      <c r="C4" s="7">
        <v>0.62</v>
      </c>
      <c r="D4" s="7">
        <v>1.1</v>
      </c>
      <c r="E4" s="7">
        <v>1.74</v>
      </c>
      <c r="F4" s="7">
        <v>2.28</v>
      </c>
      <c r="G4" s="7">
        <v>2.9</v>
      </c>
      <c r="H4" s="6" t="s">
        <v>1908</v>
      </c>
      <c r="I4" s="6" t="s">
        <v>1909</v>
      </c>
    </row>
    <row r="5" ht="15" customHeight="1" spans="1:9" x14ac:dyDescent="0.25">
      <c r="A5" s="6" t="s">
        <v>1911</v>
      </c>
      <c r="B5" s="6" t="s">
        <v>1910</v>
      </c>
      <c r="C5" s="7">
        <v>0.38</v>
      </c>
      <c r="D5" s="7">
        <v>0.81</v>
      </c>
      <c r="E5" s="7">
        <v>1.35</v>
      </c>
      <c r="F5" s="7">
        <v>1.92</v>
      </c>
      <c r="G5" s="7">
        <v>2.44</v>
      </c>
      <c r="H5" s="6" t="s">
        <v>1908</v>
      </c>
      <c r="I5" s="6" t="s">
        <v>1909</v>
      </c>
    </row>
    <row r="6" ht="15" customHeight="1" spans="1:9" x14ac:dyDescent="0.25">
      <c r="A6" s="6" t="s">
        <v>1912</v>
      </c>
      <c r="B6" s="6" t="s">
        <v>1913</v>
      </c>
      <c r="C6" s="6">
        <v>8</v>
      </c>
      <c r="D6" s="6">
        <v>19</v>
      </c>
      <c r="E6" s="6">
        <v>34</v>
      </c>
      <c r="F6" s="6">
        <v>56</v>
      </c>
      <c r="G6" s="6">
        <v>78</v>
      </c>
      <c r="H6" s="6" t="s">
        <v>1914</v>
      </c>
      <c r="I6" s="6" t="s">
        <v>1909</v>
      </c>
    </row>
    <row r="7" ht="15" customHeight="1" spans="1:9" x14ac:dyDescent="0.25">
      <c r="A7" s="6" t="s">
        <v>1915</v>
      </c>
      <c r="B7" s="6" t="s">
        <v>1913</v>
      </c>
      <c r="C7" s="6">
        <v>48</v>
      </c>
      <c r="D7" s="6">
        <v>96</v>
      </c>
      <c r="E7" s="6">
        <v>164</v>
      </c>
      <c r="F7" s="6">
        <v>248</v>
      </c>
      <c r="G7" s="6">
        <v>372</v>
      </c>
      <c r="H7" s="6" t="s">
        <v>1908</v>
      </c>
      <c r="I7" s="6" t="s">
        <v>1909</v>
      </c>
    </row>
    <row r="8" ht="15" customHeight="1" spans="1:9" x14ac:dyDescent="0.25">
      <c r="A8" s="6" t="s">
        <v>1916</v>
      </c>
      <c r="B8" s="6" t="s">
        <v>1913</v>
      </c>
      <c r="C8" s="7">
        <v>4.2</v>
      </c>
      <c r="D8" s="7">
        <v>8.1</v>
      </c>
      <c r="E8" s="7">
        <v>14.6</v>
      </c>
      <c r="F8" s="7">
        <v>28</v>
      </c>
      <c r="G8" s="7">
        <v>54</v>
      </c>
      <c r="H8" s="6" t="s">
        <v>1917</v>
      </c>
      <c r="I8" s="6" t="s">
        <v>1909</v>
      </c>
    </row>
    <row r="9" ht="15" customHeight="1" spans="1:9" x14ac:dyDescent="0.25">
      <c r="A9" s="6" t="s">
        <v>1918</v>
      </c>
      <c r="B9" s="6" t="s">
        <v>1913</v>
      </c>
      <c r="C9" s="6">
        <v>41</v>
      </c>
      <c r="D9" s="6">
        <v>56</v>
      </c>
      <c r="E9" s="6">
        <v>68</v>
      </c>
      <c r="F9" s="6">
        <v>79</v>
      </c>
      <c r="G9" s="6">
        <v>91</v>
      </c>
      <c r="H9" s="6" t="s">
        <v>1914</v>
      </c>
      <c r="I9" s="6" t="s">
        <v>1909</v>
      </c>
    </row>
    <row r="10" ht="15" customHeight="1" spans="1:9" x14ac:dyDescent="0.25">
      <c r="A10" s="6" t="s">
        <v>1919</v>
      </c>
      <c r="B10" s="6" t="s">
        <v>1913</v>
      </c>
      <c r="C10" s="7">
        <v>2.1</v>
      </c>
      <c r="D10" s="7">
        <v>5.4</v>
      </c>
      <c r="E10" s="7">
        <v>9.8</v>
      </c>
      <c r="F10" s="7">
        <v>15.2</v>
      </c>
      <c r="G10" s="7">
        <v>22.6</v>
      </c>
      <c r="H10" s="6" t="s">
        <v>1908</v>
      </c>
      <c r="I10" s="6" t="s">
        <v>1909</v>
      </c>
    </row>
    <row r="12" ht="15" customHeight="1" spans="1:1" x14ac:dyDescent="0.25">
      <c r="A12" s="9" t="s">
        <v>1920</v>
      </c>
    </row>
    <row r="13" ht="15" customHeight="1" spans="1:1" x14ac:dyDescent="0.25">
      <c r="A13" s="9" t="s">
        <v>1921</v>
      </c>
    </row>
    <row r="14" ht="15" customHeight="1" spans="1:1" x14ac:dyDescent="0.25">
      <c r="A14" s="9" t="s">
        <v>1922</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0"/>
  <sheetViews>
    <sheetView workbookViewId="0" zoomScale="100" zoomScaleNormal="100" view="normal">
      <pane ySplit="1" topLeftCell="A2" activePane="bottomLeft" state="frozen"/>
      <selection pane="bottomLeft" activeCell="A1" sqref="A1"/>
    </sheetView>
  </sheetViews>
  <sheetFormatPr defaultRowHeight="15" outlineLevelRow="0" outlineLevelCol="0" x14ac:dyDescent="0" defaultColWidth="8.6796875"/>
  <cols>
    <col min="1" max="1" width="11" customWidth="1"/>
    <col min="2" max="2" width="10" customWidth="1"/>
    <col min="3" max="3" width="13" customWidth="1"/>
    <col min="4" max="4" width="18" customWidth="1"/>
    <col min="6" max="7" width="16" customWidth="1"/>
    <col min="8" max="8" width="13" customWidth="1"/>
    <col min="9" max="9" width="28" customWidth="1"/>
  </cols>
  <sheetData>
    <row r="1" ht="30" customHeight="1" spans="1:9" x14ac:dyDescent="0.25">
      <c r="A1" s="5" t="s">
        <v>42</v>
      </c>
      <c r="B1" s="5" t="s">
        <v>1481</v>
      </c>
      <c r="C1" s="5" t="s">
        <v>1923</v>
      </c>
      <c r="D1" s="5" t="s">
        <v>1924</v>
      </c>
      <c r="E1" s="5" t="s">
        <v>56</v>
      </c>
      <c r="F1" s="5" t="s">
        <v>57</v>
      </c>
      <c r="G1" s="5" t="s">
        <v>53</v>
      </c>
      <c r="H1" s="5" t="s">
        <v>1925</v>
      </c>
      <c r="I1" s="5" t="s">
        <v>1436</v>
      </c>
    </row>
    <row r="2" ht="15" customHeight="1" spans="1:9" x14ac:dyDescent="0.25">
      <c r="A2" s="6" t="s">
        <v>61</v>
      </c>
      <c r="B2" s="6" t="s">
        <v>1926</v>
      </c>
      <c r="C2" s="8">
        <v>5674</v>
      </c>
      <c r="D2" s="8">
        <v>8982</v>
      </c>
      <c r="E2" s="7">
        <v>1.583</v>
      </c>
      <c r="F2" s="7">
        <v>1.773</v>
      </c>
      <c r="G2" s="7">
        <v>56.7</v>
      </c>
      <c r="H2" s="7">
        <v>99.9821</v>
      </c>
      <c r="I2" s="6"/>
    </row>
    <row r="3" ht="15" customHeight="1" spans="1:9" x14ac:dyDescent="0.25">
      <c r="A3" s="6" t="s">
        <v>61</v>
      </c>
      <c r="B3" s="6" t="s">
        <v>1927</v>
      </c>
      <c r="C3" s="8">
        <v>5707</v>
      </c>
      <c r="D3" s="8">
        <v>8989</v>
      </c>
      <c r="E3" s="7">
        <v>1.575</v>
      </c>
      <c r="F3" s="7">
        <v>1.822</v>
      </c>
      <c r="G3" s="7">
        <v>57.1</v>
      </c>
      <c r="H3" s="7">
        <v>99.9748</v>
      </c>
      <c r="I3" s="6"/>
    </row>
    <row r="4" ht="15" customHeight="1" spans="1:9" x14ac:dyDescent="0.25">
      <c r="A4" s="6" t="s">
        <v>61</v>
      </c>
      <c r="B4" s="6" t="s">
        <v>1928</v>
      </c>
      <c r="C4" s="8">
        <v>5692</v>
      </c>
      <c r="D4" s="8">
        <v>9019</v>
      </c>
      <c r="E4" s="7">
        <v>1.585</v>
      </c>
      <c r="F4" s="7">
        <v>1.809</v>
      </c>
      <c r="G4" s="7">
        <v>56.9</v>
      </c>
      <c r="H4" s="7">
        <v>99.994</v>
      </c>
      <c r="I4" s="6"/>
    </row>
    <row r="5" ht="15" customHeight="1" spans="1:9" x14ac:dyDescent="0.25">
      <c r="A5" s="6" t="s">
        <v>61</v>
      </c>
      <c r="B5" s="6" t="s">
        <v>1929</v>
      </c>
      <c r="C5" s="8">
        <v>5799</v>
      </c>
      <c r="D5" s="8">
        <v>9217</v>
      </c>
      <c r="E5" s="7">
        <v>1.589</v>
      </c>
      <c r="F5" s="7">
        <v>1.837</v>
      </c>
      <c r="G5" s="7">
        <v>58</v>
      </c>
      <c r="H5" s="7">
        <v>99.9763</v>
      </c>
      <c r="I5" s="6"/>
    </row>
    <row r="6" ht="15" customHeight="1" spans="1:9" x14ac:dyDescent="0.25">
      <c r="A6" s="6" t="s">
        <v>61</v>
      </c>
      <c r="B6" s="6" t="s">
        <v>1930</v>
      </c>
      <c r="C6" s="8">
        <v>5836</v>
      </c>
      <c r="D6" s="8">
        <v>9161</v>
      </c>
      <c r="E6" s="7">
        <v>1.57</v>
      </c>
      <c r="F6" s="7">
        <v>1.77</v>
      </c>
      <c r="G6" s="7">
        <v>58.4</v>
      </c>
      <c r="H6" s="7">
        <v>99.9719</v>
      </c>
      <c r="I6" s="6"/>
    </row>
    <row r="7" ht="15" customHeight="1" spans="1:9" x14ac:dyDescent="0.25">
      <c r="A7" s="6" t="s">
        <v>61</v>
      </c>
      <c r="B7" s="6" t="s">
        <v>1931</v>
      </c>
      <c r="C7" s="8">
        <v>5851</v>
      </c>
      <c r="D7" s="8">
        <v>9310</v>
      </c>
      <c r="E7" s="7">
        <v>1.591</v>
      </c>
      <c r="F7" s="7">
        <v>1.766</v>
      </c>
      <c r="G7" s="7">
        <v>58.5</v>
      </c>
      <c r="H7" s="7">
        <v>99.983</v>
      </c>
      <c r="I7" s="6"/>
    </row>
    <row r="8" ht="15" customHeight="1" spans="1:9" x14ac:dyDescent="0.25">
      <c r="A8" s="6" t="s">
        <v>61</v>
      </c>
      <c r="B8" s="6" t="s">
        <v>1932</v>
      </c>
      <c r="C8" s="8">
        <v>5907</v>
      </c>
      <c r="D8" s="8">
        <v>9394</v>
      </c>
      <c r="E8" s="7">
        <v>1.59</v>
      </c>
      <c r="F8" s="7">
        <v>1.778</v>
      </c>
      <c r="G8" s="7">
        <v>59.1</v>
      </c>
      <c r="H8" s="7">
        <v>99.9896</v>
      </c>
      <c r="I8" s="6"/>
    </row>
    <row r="9" ht="15" customHeight="1" spans="1:9" x14ac:dyDescent="0.25">
      <c r="A9" s="6" t="s">
        <v>61</v>
      </c>
      <c r="B9" s="6" t="s">
        <v>1933</v>
      </c>
      <c r="C9" s="8">
        <v>6042</v>
      </c>
      <c r="D9" s="8">
        <v>9812</v>
      </c>
      <c r="E9" s="7">
        <v>1.624</v>
      </c>
      <c r="F9" s="7">
        <v>1.817</v>
      </c>
      <c r="G9" s="7">
        <v>60.4</v>
      </c>
      <c r="H9" s="7">
        <v>99.9753</v>
      </c>
      <c r="I9" s="6"/>
    </row>
    <row r="10" ht="15" customHeight="1" spans="1:9" x14ac:dyDescent="0.25">
      <c r="A10" s="6" t="s">
        <v>61</v>
      </c>
      <c r="B10" s="6" t="s">
        <v>1934</v>
      </c>
      <c r="C10" s="8">
        <v>6088</v>
      </c>
      <c r="D10" s="8">
        <v>9875</v>
      </c>
      <c r="E10" s="7">
        <v>1.622</v>
      </c>
      <c r="F10" s="7">
        <v>1.836</v>
      </c>
      <c r="G10" s="7">
        <v>60.9</v>
      </c>
      <c r="H10" s="7">
        <v>99.9714</v>
      </c>
      <c r="I10" s="6"/>
    </row>
    <row r="11" ht="15" customHeight="1" spans="1:9" x14ac:dyDescent="0.25">
      <c r="A11" s="6" t="s">
        <v>61</v>
      </c>
      <c r="B11" s="6" t="s">
        <v>1935</v>
      </c>
      <c r="C11" s="8">
        <v>6059</v>
      </c>
      <c r="D11" s="8">
        <v>9791</v>
      </c>
      <c r="E11" s="7">
        <v>1.616</v>
      </c>
      <c r="F11" s="7">
        <v>1.791</v>
      </c>
      <c r="G11" s="7">
        <v>60.6</v>
      </c>
      <c r="H11" s="7">
        <v>99.9882</v>
      </c>
      <c r="I11" s="6"/>
    </row>
    <row r="12" ht="15" customHeight="1" spans="1:9" x14ac:dyDescent="0.25">
      <c r="A12" s="6" t="s">
        <v>61</v>
      </c>
      <c r="B12" s="6" t="s">
        <v>1936</v>
      </c>
      <c r="C12" s="8">
        <v>6228</v>
      </c>
      <c r="D12" s="8">
        <v>9769</v>
      </c>
      <c r="E12" s="7">
        <v>1.569</v>
      </c>
      <c r="F12" s="7">
        <v>1.822</v>
      </c>
      <c r="G12" s="7">
        <v>62.3</v>
      </c>
      <c r="H12" s="7">
        <v>99.9828</v>
      </c>
      <c r="I12" s="6"/>
    </row>
    <row r="13" ht="15" customHeight="1" spans="1:9" x14ac:dyDescent="0.25">
      <c r="A13" s="6" t="s">
        <v>61</v>
      </c>
      <c r="B13" s="6" t="s">
        <v>1937</v>
      </c>
      <c r="C13" s="8">
        <v>6126</v>
      </c>
      <c r="D13" s="8">
        <v>9724</v>
      </c>
      <c r="E13" s="7">
        <v>1.587</v>
      </c>
      <c r="F13" s="7">
        <v>1.807</v>
      </c>
      <c r="G13" s="7">
        <v>61.3</v>
      </c>
      <c r="H13" s="7">
        <v>99.987</v>
      </c>
      <c r="I13" s="6"/>
    </row>
    <row r="14" ht="15" customHeight="1" spans="1:9" x14ac:dyDescent="0.25">
      <c r="A14" s="6" t="s">
        <v>61</v>
      </c>
      <c r="B14" s="6" t="s">
        <v>1938</v>
      </c>
      <c r="C14" s="8">
        <v>6168</v>
      </c>
      <c r="D14" s="8">
        <v>9739</v>
      </c>
      <c r="E14" s="7">
        <v>1.579</v>
      </c>
      <c r="F14" s="7">
        <v>1.828</v>
      </c>
      <c r="G14" s="7">
        <v>61.7</v>
      </c>
      <c r="H14" s="7">
        <v>99.9838</v>
      </c>
      <c r="I14" s="6"/>
    </row>
    <row r="15" ht="15" customHeight="1" spans="1:9" x14ac:dyDescent="0.25">
      <c r="A15" s="6" t="s">
        <v>61</v>
      </c>
      <c r="B15" s="6" t="s">
        <v>1939</v>
      </c>
      <c r="C15" s="8">
        <v>6333</v>
      </c>
      <c r="D15" s="8">
        <v>10033</v>
      </c>
      <c r="E15" s="7">
        <v>1.584</v>
      </c>
      <c r="F15" s="7">
        <v>1.767</v>
      </c>
      <c r="G15" s="7">
        <v>63.3</v>
      </c>
      <c r="H15" s="7">
        <v>99.9731</v>
      </c>
      <c r="I15" s="6"/>
    </row>
    <row r="16" ht="15" customHeight="1" spans="1:9" x14ac:dyDescent="0.25">
      <c r="A16" s="6" t="s">
        <v>61</v>
      </c>
      <c r="B16" s="6" t="s">
        <v>1940</v>
      </c>
      <c r="C16" s="8">
        <v>6344</v>
      </c>
      <c r="D16" s="8">
        <v>9979</v>
      </c>
      <c r="E16" s="7">
        <v>1.573</v>
      </c>
      <c r="F16" s="7">
        <v>1.813</v>
      </c>
      <c r="G16" s="7">
        <v>63.4</v>
      </c>
      <c r="H16" s="7">
        <v>99.9855</v>
      </c>
      <c r="I16" s="6"/>
    </row>
    <row r="17" ht="15" customHeight="1" spans="1:9" x14ac:dyDescent="0.25">
      <c r="A17" s="6" t="s">
        <v>61</v>
      </c>
      <c r="B17" s="6" t="s">
        <v>1941</v>
      </c>
      <c r="C17" s="8">
        <v>6360</v>
      </c>
      <c r="D17" s="8">
        <v>10018</v>
      </c>
      <c r="E17" s="7">
        <v>1.575</v>
      </c>
      <c r="F17" s="7">
        <v>1.762</v>
      </c>
      <c r="G17" s="7">
        <v>63.6</v>
      </c>
      <c r="H17" s="7">
        <v>99.9749</v>
      </c>
      <c r="I17" s="6"/>
    </row>
    <row r="18" ht="15" customHeight="1" spans="1:9" x14ac:dyDescent="0.25">
      <c r="A18" s="6" t="s">
        <v>61</v>
      </c>
      <c r="B18" s="6" t="s">
        <v>1489</v>
      </c>
      <c r="C18" s="8">
        <v>6507</v>
      </c>
      <c r="D18" s="8">
        <v>10205</v>
      </c>
      <c r="E18" s="7">
        <v>1.568</v>
      </c>
      <c r="F18" s="7">
        <v>1.828</v>
      </c>
      <c r="G18" s="7">
        <v>65.1</v>
      </c>
      <c r="H18" s="7">
        <v>99.9712</v>
      </c>
      <c r="I18" s="6"/>
    </row>
    <row r="19" ht="15" customHeight="1" spans="1:9" x14ac:dyDescent="0.25">
      <c r="A19" s="6" t="s">
        <v>61</v>
      </c>
      <c r="B19" s="6" t="s">
        <v>1490</v>
      </c>
      <c r="C19" s="8">
        <v>6559</v>
      </c>
      <c r="D19" s="8">
        <v>10286</v>
      </c>
      <c r="E19" s="7">
        <v>1.568</v>
      </c>
      <c r="F19" s="7">
        <v>1.839</v>
      </c>
      <c r="G19" s="7">
        <v>65.6</v>
      </c>
      <c r="H19" s="7">
        <v>99.9862</v>
      </c>
      <c r="I19" s="6"/>
    </row>
    <row r="20" ht="15" customHeight="1" spans="1:9" x14ac:dyDescent="0.25">
      <c r="A20" s="6" t="s">
        <v>61</v>
      </c>
      <c r="B20" s="6" t="s">
        <v>1491</v>
      </c>
      <c r="C20" s="8">
        <v>6496</v>
      </c>
      <c r="D20" s="8">
        <v>10282</v>
      </c>
      <c r="E20" s="7">
        <v>1.583</v>
      </c>
      <c r="F20" s="7">
        <v>1.773</v>
      </c>
      <c r="G20" s="7">
        <v>65</v>
      </c>
      <c r="H20" s="7">
        <v>99.975</v>
      </c>
      <c r="I20" s="6"/>
    </row>
    <row r="21" ht="15" customHeight="1" spans="1:9" x14ac:dyDescent="0.25">
      <c r="A21" s="6" t="s">
        <v>61</v>
      </c>
      <c r="B21" s="6" t="s">
        <v>1492</v>
      </c>
      <c r="C21" s="8">
        <v>6523</v>
      </c>
      <c r="D21" s="8">
        <v>10644</v>
      </c>
      <c r="E21" s="7">
        <v>1.632</v>
      </c>
      <c r="F21" s="7">
        <v>1.796</v>
      </c>
      <c r="G21" s="7">
        <v>65.2</v>
      </c>
      <c r="H21" s="7">
        <v>99.9743</v>
      </c>
      <c r="I21" s="6"/>
    </row>
    <row r="22" ht="15" customHeight="1" spans="1:9" x14ac:dyDescent="0.25">
      <c r="A22" s="6" t="s">
        <v>61</v>
      </c>
      <c r="B22" s="6" t="s">
        <v>1493</v>
      </c>
      <c r="C22" s="8">
        <v>6590</v>
      </c>
      <c r="D22" s="8">
        <v>10840</v>
      </c>
      <c r="E22" s="7">
        <v>1.645</v>
      </c>
      <c r="F22" s="7">
        <v>1.841</v>
      </c>
      <c r="G22" s="7">
        <v>65.9</v>
      </c>
      <c r="H22" s="7">
        <v>99.9969</v>
      </c>
      <c r="I22" s="6" t="s">
        <v>1942</v>
      </c>
    </row>
    <row r="23" ht="15" customHeight="1" spans="1:9" x14ac:dyDescent="0.25">
      <c r="A23" s="6" t="s">
        <v>61</v>
      </c>
      <c r="B23" s="6" t="s">
        <v>1494</v>
      </c>
      <c r="C23" s="8">
        <v>6637</v>
      </c>
      <c r="D23" s="8">
        <v>11023</v>
      </c>
      <c r="E23" s="7">
        <v>1.661</v>
      </c>
      <c r="F23" s="7">
        <v>1.839</v>
      </c>
      <c r="G23" s="7">
        <v>66.4</v>
      </c>
      <c r="H23" s="7">
        <v>99.9724</v>
      </c>
      <c r="I23" s="6" t="s">
        <v>1942</v>
      </c>
    </row>
    <row r="24" ht="15" customHeight="1" spans="1:9" x14ac:dyDescent="0.25">
      <c r="A24" s="6" t="s">
        <v>61</v>
      </c>
      <c r="B24" s="6" t="s">
        <v>1495</v>
      </c>
      <c r="C24" s="8">
        <v>6726</v>
      </c>
      <c r="D24" s="8">
        <v>11089</v>
      </c>
      <c r="E24" s="7">
        <v>1.649</v>
      </c>
      <c r="F24" s="7">
        <v>1.876</v>
      </c>
      <c r="G24" s="7">
        <v>67.3</v>
      </c>
      <c r="H24" s="7">
        <v>99.9886</v>
      </c>
      <c r="I24" s="6" t="s">
        <v>1942</v>
      </c>
    </row>
    <row r="25" ht="15" customHeight="1" spans="1:9" x14ac:dyDescent="0.25">
      <c r="A25" s="6" t="s">
        <v>61</v>
      </c>
      <c r="B25" s="6" t="s">
        <v>1496</v>
      </c>
      <c r="C25" s="8">
        <v>6901</v>
      </c>
      <c r="D25" s="8">
        <v>11444</v>
      </c>
      <c r="E25" s="7">
        <v>1.658</v>
      </c>
      <c r="F25" s="7">
        <v>1.816</v>
      </c>
      <c r="G25" s="7">
        <v>69</v>
      </c>
      <c r="H25" s="7">
        <v>99.9809</v>
      </c>
      <c r="I25" s="6" t="s">
        <v>1942</v>
      </c>
    </row>
    <row r="26" ht="15" customHeight="1" spans="1:9" x14ac:dyDescent="0.25">
      <c r="A26" s="6" t="s">
        <v>69</v>
      </c>
      <c r="B26" s="6" t="s">
        <v>1926</v>
      </c>
      <c r="C26" s="8">
        <v>4138</v>
      </c>
      <c r="D26" s="8">
        <v>7181</v>
      </c>
      <c r="E26" s="7">
        <v>1.735</v>
      </c>
      <c r="F26" s="7">
        <v>2.135</v>
      </c>
      <c r="G26" s="7">
        <v>69</v>
      </c>
      <c r="H26" s="7">
        <v>99.9975</v>
      </c>
      <c r="I26" s="6"/>
    </row>
    <row r="27" ht="15" customHeight="1" spans="1:9" x14ac:dyDescent="0.25">
      <c r="A27" s="6" t="s">
        <v>69</v>
      </c>
      <c r="B27" s="6" t="s">
        <v>1927</v>
      </c>
      <c r="C27" s="8">
        <v>4155</v>
      </c>
      <c r="D27" s="8">
        <v>7219</v>
      </c>
      <c r="E27" s="7">
        <v>1.737</v>
      </c>
      <c r="F27" s="7">
        <v>2.061</v>
      </c>
      <c r="G27" s="7">
        <v>69.3</v>
      </c>
      <c r="H27" s="7">
        <v>99.9753</v>
      </c>
      <c r="I27" s="6"/>
    </row>
    <row r="28" ht="15" customHeight="1" spans="1:9" x14ac:dyDescent="0.25">
      <c r="A28" s="6" t="s">
        <v>69</v>
      </c>
      <c r="B28" s="6" t="s">
        <v>1928</v>
      </c>
      <c r="C28" s="8">
        <v>4189</v>
      </c>
      <c r="D28" s="8">
        <v>7265</v>
      </c>
      <c r="E28" s="7">
        <v>1.734</v>
      </c>
      <c r="F28" s="7">
        <v>2.137</v>
      </c>
      <c r="G28" s="7">
        <v>69.8</v>
      </c>
      <c r="H28" s="7">
        <v>99.9738</v>
      </c>
      <c r="I28" s="6"/>
    </row>
    <row r="29" ht="15" customHeight="1" spans="1:9" x14ac:dyDescent="0.25">
      <c r="A29" s="6" t="s">
        <v>69</v>
      </c>
      <c r="B29" s="6" t="s">
        <v>1929</v>
      </c>
      <c r="C29" s="8">
        <v>4180</v>
      </c>
      <c r="D29" s="8">
        <v>7305</v>
      </c>
      <c r="E29" s="7">
        <v>1.748</v>
      </c>
      <c r="F29" s="7">
        <v>2.101</v>
      </c>
      <c r="G29" s="7">
        <v>69.7</v>
      </c>
      <c r="H29" s="7">
        <v>99.9782</v>
      </c>
      <c r="I29" s="6"/>
    </row>
    <row r="30" ht="15" customHeight="1" spans="1:9" x14ac:dyDescent="0.25">
      <c r="A30" s="6" t="s">
        <v>69</v>
      </c>
      <c r="B30" s="6" t="s">
        <v>1930</v>
      </c>
      <c r="C30" s="8">
        <v>4229</v>
      </c>
      <c r="D30" s="8">
        <v>7310</v>
      </c>
      <c r="E30" s="7">
        <v>1.728</v>
      </c>
      <c r="F30" s="7">
        <v>2.112</v>
      </c>
      <c r="G30" s="7">
        <v>70.5</v>
      </c>
      <c r="H30" s="7">
        <v>99.9754</v>
      </c>
      <c r="I30" s="6"/>
    </row>
    <row r="31" ht="15" customHeight="1" spans="1:9" x14ac:dyDescent="0.25">
      <c r="A31" s="6" t="s">
        <v>69</v>
      </c>
      <c r="B31" s="6" t="s">
        <v>1931</v>
      </c>
      <c r="C31" s="8">
        <v>4314</v>
      </c>
      <c r="D31" s="8">
        <v>7466</v>
      </c>
      <c r="E31" s="7">
        <v>1.731</v>
      </c>
      <c r="F31" s="7">
        <v>2.08</v>
      </c>
      <c r="G31" s="7">
        <v>71.9</v>
      </c>
      <c r="H31" s="7">
        <v>99.9803</v>
      </c>
      <c r="I31" s="6"/>
    </row>
    <row r="32" ht="15" customHeight="1" spans="1:9" x14ac:dyDescent="0.25">
      <c r="A32" s="6" t="s">
        <v>69</v>
      </c>
      <c r="B32" s="6" t="s">
        <v>1932</v>
      </c>
      <c r="C32" s="8">
        <v>4376</v>
      </c>
      <c r="D32" s="8">
        <v>7614</v>
      </c>
      <c r="E32" s="7">
        <v>1.74</v>
      </c>
      <c r="F32" s="7">
        <v>2.063</v>
      </c>
      <c r="G32" s="7">
        <v>72.9</v>
      </c>
      <c r="H32" s="7">
        <v>99.9878</v>
      </c>
      <c r="I32" s="6"/>
    </row>
    <row r="33" ht="15" customHeight="1" spans="1:9" x14ac:dyDescent="0.25">
      <c r="A33" s="6" t="s">
        <v>69</v>
      </c>
      <c r="B33" s="6" t="s">
        <v>1933</v>
      </c>
      <c r="C33" s="8">
        <v>4360</v>
      </c>
      <c r="D33" s="8">
        <v>7764</v>
      </c>
      <c r="E33" s="7">
        <v>1.781</v>
      </c>
      <c r="F33" s="7">
        <v>2.075</v>
      </c>
      <c r="G33" s="7">
        <v>72.7</v>
      </c>
      <c r="H33" s="7">
        <v>99.9773</v>
      </c>
      <c r="I33" s="6"/>
    </row>
    <row r="34" ht="15" customHeight="1" spans="1:9" x14ac:dyDescent="0.25">
      <c r="A34" s="6" t="s">
        <v>69</v>
      </c>
      <c r="B34" s="6" t="s">
        <v>1934</v>
      </c>
      <c r="C34" s="8">
        <v>4445</v>
      </c>
      <c r="D34" s="8">
        <v>7933</v>
      </c>
      <c r="E34" s="7">
        <v>1.784</v>
      </c>
      <c r="F34" s="7">
        <v>2.062</v>
      </c>
      <c r="G34" s="7">
        <v>74.1</v>
      </c>
      <c r="H34" s="7">
        <v>99.9925</v>
      </c>
      <c r="I34" s="6"/>
    </row>
    <row r="35" ht="15" customHeight="1" spans="1:9" x14ac:dyDescent="0.25">
      <c r="A35" s="6" t="s">
        <v>69</v>
      </c>
      <c r="B35" s="6" t="s">
        <v>1935</v>
      </c>
      <c r="C35" s="8">
        <v>4474</v>
      </c>
      <c r="D35" s="8">
        <v>7930</v>
      </c>
      <c r="E35" s="7">
        <v>1.772</v>
      </c>
      <c r="F35" s="7">
        <v>2.138</v>
      </c>
      <c r="G35" s="7">
        <v>74.6</v>
      </c>
      <c r="H35" s="7">
        <v>99.9773</v>
      </c>
      <c r="I35" s="6"/>
    </row>
    <row r="36" ht="15" customHeight="1" spans="1:9" x14ac:dyDescent="0.25">
      <c r="A36" s="6" t="s">
        <v>69</v>
      </c>
      <c r="B36" s="6" t="s">
        <v>1936</v>
      </c>
      <c r="C36" s="8">
        <v>4458</v>
      </c>
      <c r="D36" s="8">
        <v>7746</v>
      </c>
      <c r="E36" s="7">
        <v>1.737</v>
      </c>
      <c r="F36" s="7">
        <v>2.096</v>
      </c>
      <c r="G36" s="7">
        <v>74.3</v>
      </c>
      <c r="H36" s="7">
        <v>99.9956</v>
      </c>
      <c r="I36" s="6"/>
    </row>
    <row r="37" ht="15" customHeight="1" spans="1:9" x14ac:dyDescent="0.25">
      <c r="A37" s="6" t="s">
        <v>69</v>
      </c>
      <c r="B37" s="6" t="s">
        <v>1937</v>
      </c>
      <c r="C37" s="8">
        <v>4484</v>
      </c>
      <c r="D37" s="8">
        <v>7826</v>
      </c>
      <c r="E37" s="7">
        <v>1.745</v>
      </c>
      <c r="F37" s="7">
        <v>2.085</v>
      </c>
      <c r="G37" s="7">
        <v>74.7</v>
      </c>
      <c r="H37" s="7">
        <v>99.9767</v>
      </c>
      <c r="I37" s="6"/>
    </row>
    <row r="38" ht="15" customHeight="1" spans="1:9" x14ac:dyDescent="0.25">
      <c r="A38" s="6" t="s">
        <v>69</v>
      </c>
      <c r="B38" s="6" t="s">
        <v>1938</v>
      </c>
      <c r="C38" s="8">
        <v>4578</v>
      </c>
      <c r="D38" s="8">
        <v>7931</v>
      </c>
      <c r="E38" s="7">
        <v>1.732</v>
      </c>
      <c r="F38" s="7">
        <v>2.092</v>
      </c>
      <c r="G38" s="7">
        <v>76.3</v>
      </c>
      <c r="H38" s="7">
        <v>99.9892</v>
      </c>
      <c r="I38" s="6"/>
    </row>
    <row r="39" ht="15" customHeight="1" spans="1:9" x14ac:dyDescent="0.25">
      <c r="A39" s="6" t="s">
        <v>69</v>
      </c>
      <c r="B39" s="6" t="s">
        <v>1939</v>
      </c>
      <c r="C39" s="8">
        <v>4547</v>
      </c>
      <c r="D39" s="8">
        <v>7925</v>
      </c>
      <c r="E39" s="7">
        <v>1.743</v>
      </c>
      <c r="F39" s="7">
        <v>2.096</v>
      </c>
      <c r="G39" s="7">
        <v>75.8</v>
      </c>
      <c r="H39" s="7">
        <v>99.9763</v>
      </c>
      <c r="I39" s="6"/>
    </row>
    <row r="40" ht="15" customHeight="1" spans="1:9" x14ac:dyDescent="0.25">
      <c r="A40" s="6" t="s">
        <v>69</v>
      </c>
      <c r="B40" s="6" t="s">
        <v>1940</v>
      </c>
      <c r="C40" s="8">
        <v>4569</v>
      </c>
      <c r="D40" s="8">
        <v>7961</v>
      </c>
      <c r="E40" s="7">
        <v>1.742</v>
      </c>
      <c r="F40" s="7">
        <v>2.131</v>
      </c>
      <c r="G40" s="7">
        <v>76.2</v>
      </c>
      <c r="H40" s="7">
        <v>99.9748</v>
      </c>
      <c r="I40" s="6"/>
    </row>
    <row r="41" ht="15" customHeight="1" spans="1:9" x14ac:dyDescent="0.25">
      <c r="A41" s="6" t="s">
        <v>69</v>
      </c>
      <c r="B41" s="6" t="s">
        <v>1941</v>
      </c>
      <c r="C41" s="8">
        <v>4597</v>
      </c>
      <c r="D41" s="8">
        <v>8042</v>
      </c>
      <c r="E41" s="7">
        <v>1.75</v>
      </c>
      <c r="F41" s="7">
        <v>2.088</v>
      </c>
      <c r="G41" s="7">
        <v>76.6</v>
      </c>
      <c r="H41" s="7">
        <v>99.9807</v>
      </c>
      <c r="I41" s="6"/>
    </row>
    <row r="42" ht="15" customHeight="1" spans="1:9" x14ac:dyDescent="0.25">
      <c r="A42" s="6" t="s">
        <v>69</v>
      </c>
      <c r="B42" s="6" t="s">
        <v>1489</v>
      </c>
      <c r="C42" s="8">
        <v>4714</v>
      </c>
      <c r="D42" s="8">
        <v>8240</v>
      </c>
      <c r="E42" s="7">
        <v>1.748</v>
      </c>
      <c r="F42" s="7">
        <v>2.116</v>
      </c>
      <c r="G42" s="7">
        <v>78.6</v>
      </c>
      <c r="H42" s="7">
        <v>99.9813</v>
      </c>
      <c r="I42" s="6"/>
    </row>
    <row r="43" ht="15" customHeight="1" spans="1:9" x14ac:dyDescent="0.25">
      <c r="A43" s="6" t="s">
        <v>69</v>
      </c>
      <c r="B43" s="6" t="s">
        <v>1490</v>
      </c>
      <c r="C43" s="8">
        <v>4786</v>
      </c>
      <c r="D43" s="8">
        <v>8325</v>
      </c>
      <c r="E43" s="7">
        <v>1.739</v>
      </c>
      <c r="F43" s="7">
        <v>2.091</v>
      </c>
      <c r="G43" s="7">
        <v>79.8</v>
      </c>
      <c r="H43" s="7">
        <v>99.9838</v>
      </c>
      <c r="I43" s="6"/>
    </row>
    <row r="44" ht="15" customHeight="1" spans="1:9" x14ac:dyDescent="0.25">
      <c r="A44" s="6" t="s">
        <v>69</v>
      </c>
      <c r="B44" s="6" t="s">
        <v>1491</v>
      </c>
      <c r="C44" s="8">
        <v>4809</v>
      </c>
      <c r="D44" s="8">
        <v>8386</v>
      </c>
      <c r="E44" s="7">
        <v>1.744</v>
      </c>
      <c r="F44" s="7">
        <v>2.074</v>
      </c>
      <c r="G44" s="7">
        <v>80.2</v>
      </c>
      <c r="H44" s="7">
        <v>99.9737</v>
      </c>
      <c r="I44" s="6"/>
    </row>
    <row r="45" ht="15" customHeight="1" spans="1:9" x14ac:dyDescent="0.25">
      <c r="A45" s="6" t="s">
        <v>69</v>
      </c>
      <c r="B45" s="6" t="s">
        <v>1492</v>
      </c>
      <c r="C45" s="8">
        <v>4868</v>
      </c>
      <c r="D45" s="8">
        <v>8625</v>
      </c>
      <c r="E45" s="7">
        <v>1.772</v>
      </c>
      <c r="F45" s="7">
        <v>2.095</v>
      </c>
      <c r="G45" s="7">
        <v>81.1</v>
      </c>
      <c r="H45" s="7">
        <v>99.9896</v>
      </c>
      <c r="I45" s="6"/>
    </row>
    <row r="46" ht="15" customHeight="1" spans="1:9" x14ac:dyDescent="0.25">
      <c r="A46" s="6" t="s">
        <v>69</v>
      </c>
      <c r="B46" s="6" t="s">
        <v>1493</v>
      </c>
      <c r="C46" s="8">
        <v>4839</v>
      </c>
      <c r="D46" s="8">
        <v>8606</v>
      </c>
      <c r="E46" s="7">
        <v>1.778</v>
      </c>
      <c r="F46" s="7">
        <v>2.122</v>
      </c>
      <c r="G46" s="7">
        <v>80.7</v>
      </c>
      <c r="H46" s="7">
        <v>99.973</v>
      </c>
      <c r="I46" s="6"/>
    </row>
    <row r="47" ht="15" customHeight="1" spans="1:9" x14ac:dyDescent="0.25">
      <c r="A47" s="6" t="s">
        <v>69</v>
      </c>
      <c r="B47" s="6" t="s">
        <v>1494</v>
      </c>
      <c r="C47" s="8">
        <v>4949</v>
      </c>
      <c r="D47" s="8">
        <v>8725</v>
      </c>
      <c r="E47" s="7">
        <v>1.763</v>
      </c>
      <c r="F47" s="7">
        <v>2.085</v>
      </c>
      <c r="G47" s="7">
        <v>82.5</v>
      </c>
      <c r="H47" s="7">
        <v>99.9971</v>
      </c>
      <c r="I47" s="6"/>
    </row>
    <row r="48" ht="15" customHeight="1" spans="1:9" x14ac:dyDescent="0.25">
      <c r="A48" s="6" t="s">
        <v>69</v>
      </c>
      <c r="B48" s="6" t="s">
        <v>1495</v>
      </c>
      <c r="C48" s="8">
        <v>4964</v>
      </c>
      <c r="D48" s="8">
        <v>8693</v>
      </c>
      <c r="E48" s="7">
        <v>1.751</v>
      </c>
      <c r="F48" s="7">
        <v>2.125</v>
      </c>
      <c r="G48" s="7">
        <v>82.7</v>
      </c>
      <c r="H48" s="7">
        <v>99.9887</v>
      </c>
      <c r="I48" s="6"/>
    </row>
    <row r="49" ht="15" customHeight="1" spans="1:9" x14ac:dyDescent="0.25">
      <c r="A49" s="6" t="s">
        <v>69</v>
      </c>
      <c r="B49" s="6" t="s">
        <v>1496</v>
      </c>
      <c r="C49" s="8">
        <v>4991</v>
      </c>
      <c r="D49" s="8">
        <v>8736</v>
      </c>
      <c r="E49" s="7">
        <v>1.75</v>
      </c>
      <c r="F49" s="7">
        <v>2.121</v>
      </c>
      <c r="G49" s="7">
        <v>83.2</v>
      </c>
      <c r="H49" s="7">
        <v>99.9736</v>
      </c>
      <c r="I49" s="6"/>
    </row>
    <row r="50" ht="15" customHeight="1" spans="1:9" x14ac:dyDescent="0.25">
      <c r="A50" s="6" t="s">
        <v>73</v>
      </c>
      <c r="B50" s="6" t="s">
        <v>1926</v>
      </c>
      <c r="C50" s="8">
        <v>4501</v>
      </c>
      <c r="D50" s="8">
        <v>7289</v>
      </c>
      <c r="E50" s="7">
        <v>1.62</v>
      </c>
      <c r="F50" s="7">
        <v>2.419</v>
      </c>
      <c r="G50" s="7">
        <v>56.3</v>
      </c>
      <c r="H50" s="7">
        <v>99.9757</v>
      </c>
      <c r="I50" s="6"/>
    </row>
    <row r="51" ht="15" customHeight="1" spans="1:9" x14ac:dyDescent="0.25">
      <c r="A51" s="6" t="s">
        <v>73</v>
      </c>
      <c r="B51" s="6" t="s">
        <v>1927</v>
      </c>
      <c r="C51" s="8">
        <v>4584</v>
      </c>
      <c r="D51" s="8">
        <v>7465</v>
      </c>
      <c r="E51" s="7">
        <v>1.628</v>
      </c>
      <c r="F51" s="7">
        <v>2.421</v>
      </c>
      <c r="G51" s="7">
        <v>57.3</v>
      </c>
      <c r="H51" s="7">
        <v>99.982</v>
      </c>
      <c r="I51" s="6"/>
    </row>
    <row r="52" ht="15" customHeight="1" spans="1:9" x14ac:dyDescent="0.25">
      <c r="A52" s="6" t="s">
        <v>73</v>
      </c>
      <c r="B52" s="6" t="s">
        <v>1928</v>
      </c>
      <c r="C52" s="8">
        <v>4568</v>
      </c>
      <c r="D52" s="8">
        <v>7390</v>
      </c>
      <c r="E52" s="7">
        <v>1.618</v>
      </c>
      <c r="F52" s="7">
        <v>2.447</v>
      </c>
      <c r="G52" s="7">
        <v>57.1</v>
      </c>
      <c r="H52" s="7">
        <v>99.9719</v>
      </c>
      <c r="I52" s="6"/>
    </row>
    <row r="53" ht="15" customHeight="1" spans="1:9" x14ac:dyDescent="0.25">
      <c r="A53" s="6" t="s">
        <v>73</v>
      </c>
      <c r="B53" s="6" t="s">
        <v>1929</v>
      </c>
      <c r="C53" s="8">
        <v>4620</v>
      </c>
      <c r="D53" s="8">
        <v>7455</v>
      </c>
      <c r="E53" s="7">
        <v>1.614</v>
      </c>
      <c r="F53" s="7">
        <v>2.442</v>
      </c>
      <c r="G53" s="7">
        <v>57.7</v>
      </c>
      <c r="H53" s="7">
        <v>99.995</v>
      </c>
      <c r="I53" s="6"/>
    </row>
    <row r="54" ht="15" customHeight="1" spans="1:9" x14ac:dyDescent="0.25">
      <c r="A54" s="6" t="s">
        <v>73</v>
      </c>
      <c r="B54" s="6" t="s">
        <v>1930</v>
      </c>
      <c r="C54" s="8">
        <v>4680</v>
      </c>
      <c r="D54" s="8">
        <v>7576</v>
      </c>
      <c r="E54" s="7">
        <v>1.619</v>
      </c>
      <c r="F54" s="7">
        <v>2.479</v>
      </c>
      <c r="G54" s="7">
        <v>58.5</v>
      </c>
      <c r="H54" s="7">
        <v>99.9886</v>
      </c>
      <c r="I54" s="6"/>
    </row>
    <row r="55" ht="15" customHeight="1" spans="1:9" x14ac:dyDescent="0.25">
      <c r="A55" s="6" t="s">
        <v>73</v>
      </c>
      <c r="B55" s="6" t="s">
        <v>1931</v>
      </c>
      <c r="C55" s="8">
        <v>4758</v>
      </c>
      <c r="D55" s="8">
        <v>7744</v>
      </c>
      <c r="E55" s="7">
        <v>1.628</v>
      </c>
      <c r="F55" s="7">
        <v>2.489</v>
      </c>
      <c r="G55" s="7">
        <v>59.5</v>
      </c>
      <c r="H55" s="7">
        <v>99.9734</v>
      </c>
      <c r="I55" s="6"/>
    </row>
    <row r="56" ht="15" customHeight="1" spans="1:9" x14ac:dyDescent="0.25">
      <c r="A56" s="6" t="s">
        <v>73</v>
      </c>
      <c r="B56" s="6" t="s">
        <v>1932</v>
      </c>
      <c r="C56" s="8">
        <v>4703</v>
      </c>
      <c r="D56" s="8">
        <v>7656</v>
      </c>
      <c r="E56" s="7">
        <v>1.628</v>
      </c>
      <c r="F56" s="7">
        <v>2.426</v>
      </c>
      <c r="G56" s="7">
        <v>58.8</v>
      </c>
      <c r="H56" s="7">
        <v>99.9769</v>
      </c>
      <c r="I56" s="6"/>
    </row>
    <row r="57" ht="15" customHeight="1" spans="1:9" x14ac:dyDescent="0.25">
      <c r="A57" s="6" t="s">
        <v>73</v>
      </c>
      <c r="B57" s="6" t="s">
        <v>1933</v>
      </c>
      <c r="C57" s="8">
        <v>4769</v>
      </c>
      <c r="D57" s="8">
        <v>7876</v>
      </c>
      <c r="E57" s="7">
        <v>1.652</v>
      </c>
      <c r="F57" s="7">
        <v>2.411</v>
      </c>
      <c r="G57" s="7">
        <v>59.6</v>
      </c>
      <c r="H57" s="7">
        <v>99.9824</v>
      </c>
      <c r="I57" s="6"/>
    </row>
    <row r="58" ht="15" customHeight="1" spans="1:9" x14ac:dyDescent="0.25">
      <c r="A58" s="6" t="s">
        <v>73</v>
      </c>
      <c r="B58" s="6" t="s">
        <v>1934</v>
      </c>
      <c r="C58" s="8">
        <v>4864</v>
      </c>
      <c r="D58" s="8">
        <v>8068</v>
      </c>
      <c r="E58" s="7">
        <v>1.659</v>
      </c>
      <c r="F58" s="7">
        <v>2.477</v>
      </c>
      <c r="G58" s="7">
        <v>60.8</v>
      </c>
      <c r="H58" s="7">
        <v>99.9733</v>
      </c>
      <c r="I58" s="6"/>
    </row>
    <row r="59" ht="15" customHeight="1" spans="1:9" x14ac:dyDescent="0.25">
      <c r="A59" s="6" t="s">
        <v>73</v>
      </c>
      <c r="B59" s="6" t="s">
        <v>1935</v>
      </c>
      <c r="C59" s="8">
        <v>4916</v>
      </c>
      <c r="D59" s="8">
        <v>8116</v>
      </c>
      <c r="E59" s="7">
        <v>1.651</v>
      </c>
      <c r="F59" s="7">
        <v>2.413</v>
      </c>
      <c r="G59" s="7">
        <v>61.5</v>
      </c>
      <c r="H59" s="7">
        <v>99.9907</v>
      </c>
      <c r="I59" s="6"/>
    </row>
    <row r="60" ht="15" customHeight="1" spans="1:9" x14ac:dyDescent="0.25">
      <c r="A60" s="6" t="s">
        <v>73</v>
      </c>
      <c r="B60" s="6" t="s">
        <v>1936</v>
      </c>
      <c r="C60" s="8">
        <v>4916</v>
      </c>
      <c r="D60" s="8">
        <v>7951</v>
      </c>
      <c r="E60" s="7">
        <v>1.617</v>
      </c>
      <c r="F60" s="7">
        <v>2.412</v>
      </c>
      <c r="G60" s="7">
        <v>61.5</v>
      </c>
      <c r="H60" s="7">
        <v>99.9737</v>
      </c>
      <c r="I60" s="6"/>
    </row>
    <row r="61" ht="15" customHeight="1" spans="1:9" x14ac:dyDescent="0.25">
      <c r="A61" s="6" t="s">
        <v>73</v>
      </c>
      <c r="B61" s="6" t="s">
        <v>1937</v>
      </c>
      <c r="C61" s="8">
        <v>5007</v>
      </c>
      <c r="D61" s="8">
        <v>8081</v>
      </c>
      <c r="E61" s="7">
        <v>1.614</v>
      </c>
      <c r="F61" s="7">
        <v>2.458</v>
      </c>
      <c r="G61" s="7">
        <v>62.6</v>
      </c>
      <c r="H61" s="7">
        <v>99.9737</v>
      </c>
      <c r="I61" s="6"/>
    </row>
    <row r="62" ht="15" customHeight="1" spans="1:9" x14ac:dyDescent="0.25">
      <c r="A62" s="6" t="s">
        <v>73</v>
      </c>
      <c r="B62" s="6" t="s">
        <v>1938</v>
      </c>
      <c r="C62" s="8">
        <v>5008</v>
      </c>
      <c r="D62" s="8">
        <v>8063</v>
      </c>
      <c r="E62" s="7">
        <v>1.61</v>
      </c>
      <c r="F62" s="7">
        <v>2.474</v>
      </c>
      <c r="G62" s="7">
        <v>62.6</v>
      </c>
      <c r="H62" s="7">
        <v>99.9742</v>
      </c>
      <c r="I62" s="6"/>
    </row>
    <row r="63" ht="15" customHeight="1" spans="1:9" x14ac:dyDescent="0.25">
      <c r="A63" s="6" t="s">
        <v>73</v>
      </c>
      <c r="B63" s="6" t="s">
        <v>1939</v>
      </c>
      <c r="C63" s="8">
        <v>5053</v>
      </c>
      <c r="D63" s="8">
        <v>8198</v>
      </c>
      <c r="E63" s="7">
        <v>1.622</v>
      </c>
      <c r="F63" s="7">
        <v>2.452</v>
      </c>
      <c r="G63" s="7">
        <v>63.2</v>
      </c>
      <c r="H63" s="7">
        <v>99.975</v>
      </c>
      <c r="I63" s="6"/>
    </row>
    <row r="64" ht="15" customHeight="1" spans="1:9" x14ac:dyDescent="0.25">
      <c r="A64" s="6" t="s">
        <v>73</v>
      </c>
      <c r="B64" s="6" t="s">
        <v>1940</v>
      </c>
      <c r="C64" s="8">
        <v>5128</v>
      </c>
      <c r="D64" s="8">
        <v>8328</v>
      </c>
      <c r="E64" s="7">
        <v>1.624</v>
      </c>
      <c r="F64" s="7">
        <v>2.454</v>
      </c>
      <c r="G64" s="7">
        <v>64.1</v>
      </c>
      <c r="H64" s="7">
        <v>99.9872</v>
      </c>
      <c r="I64" s="6"/>
    </row>
    <row r="65" ht="15" customHeight="1" spans="1:9" x14ac:dyDescent="0.25">
      <c r="A65" s="6" t="s">
        <v>73</v>
      </c>
      <c r="B65" s="6" t="s">
        <v>1941</v>
      </c>
      <c r="C65" s="8">
        <v>5178</v>
      </c>
      <c r="D65" s="8">
        <v>8377</v>
      </c>
      <c r="E65" s="7">
        <v>1.618</v>
      </c>
      <c r="F65" s="7">
        <v>2.417</v>
      </c>
      <c r="G65" s="7">
        <v>64.7</v>
      </c>
      <c r="H65" s="7">
        <v>99.9724</v>
      </c>
      <c r="I65" s="6"/>
    </row>
    <row r="66" ht="15" customHeight="1" spans="1:9" x14ac:dyDescent="0.25">
      <c r="A66" s="6" t="s">
        <v>73</v>
      </c>
      <c r="B66" s="6" t="s">
        <v>1489</v>
      </c>
      <c r="C66" s="8">
        <v>5229</v>
      </c>
      <c r="D66" s="8">
        <v>8414</v>
      </c>
      <c r="E66" s="7">
        <v>1.609</v>
      </c>
      <c r="F66" s="7">
        <v>2.453</v>
      </c>
      <c r="G66" s="7">
        <v>65.4</v>
      </c>
      <c r="H66" s="7">
        <v>99.9952</v>
      </c>
      <c r="I66" s="6"/>
    </row>
    <row r="67" ht="15" customHeight="1" spans="1:9" x14ac:dyDescent="0.25">
      <c r="A67" s="6" t="s">
        <v>73</v>
      </c>
      <c r="B67" s="6" t="s">
        <v>1490</v>
      </c>
      <c r="C67" s="8">
        <v>5146</v>
      </c>
      <c r="D67" s="8">
        <v>8302</v>
      </c>
      <c r="E67" s="7">
        <v>1.613</v>
      </c>
      <c r="F67" s="7">
        <v>2.49</v>
      </c>
      <c r="G67" s="7">
        <v>64.3</v>
      </c>
      <c r="H67" s="7">
        <v>99.9803</v>
      </c>
      <c r="I67" s="6"/>
    </row>
    <row r="68" ht="15" customHeight="1" spans="1:9" x14ac:dyDescent="0.25">
      <c r="A68" s="6" t="s">
        <v>73</v>
      </c>
      <c r="B68" s="6" t="s">
        <v>1491</v>
      </c>
      <c r="C68" s="8">
        <v>5310</v>
      </c>
      <c r="D68" s="8">
        <v>8603</v>
      </c>
      <c r="E68" s="7">
        <v>1.62</v>
      </c>
      <c r="F68" s="7">
        <v>2.486</v>
      </c>
      <c r="G68" s="7">
        <v>66.4</v>
      </c>
      <c r="H68" s="7">
        <v>99.9951</v>
      </c>
      <c r="I68" s="6"/>
    </row>
    <row r="69" ht="15" customHeight="1" spans="1:9" x14ac:dyDescent="0.25">
      <c r="A69" s="6" t="s">
        <v>73</v>
      </c>
      <c r="B69" s="6" t="s">
        <v>1492</v>
      </c>
      <c r="C69" s="8">
        <v>5339</v>
      </c>
      <c r="D69" s="8">
        <v>8832</v>
      </c>
      <c r="E69" s="7">
        <v>1.654</v>
      </c>
      <c r="F69" s="7">
        <v>2.485</v>
      </c>
      <c r="G69" s="7">
        <v>66.7</v>
      </c>
      <c r="H69" s="7">
        <v>99.9944</v>
      </c>
      <c r="I69" s="6"/>
    </row>
    <row r="70" ht="15" customHeight="1" spans="1:9" x14ac:dyDescent="0.25">
      <c r="A70" s="6" t="s">
        <v>73</v>
      </c>
      <c r="B70" s="6" t="s">
        <v>1493</v>
      </c>
      <c r="C70" s="8">
        <v>5250</v>
      </c>
      <c r="D70" s="8">
        <v>8715</v>
      </c>
      <c r="E70" s="7">
        <v>1.66</v>
      </c>
      <c r="F70" s="7">
        <v>2.45</v>
      </c>
      <c r="G70" s="7">
        <v>65.6</v>
      </c>
      <c r="H70" s="7">
        <v>99.9843</v>
      </c>
      <c r="I70" s="6"/>
    </row>
    <row r="71" ht="15" customHeight="1" spans="1:9" x14ac:dyDescent="0.25">
      <c r="A71" s="6" t="s">
        <v>73</v>
      </c>
      <c r="B71" s="6" t="s">
        <v>1494</v>
      </c>
      <c r="C71" s="8">
        <v>5330</v>
      </c>
      <c r="D71" s="8">
        <v>8843</v>
      </c>
      <c r="E71" s="7">
        <v>1.659</v>
      </c>
      <c r="F71" s="7">
        <v>2.488</v>
      </c>
      <c r="G71" s="7">
        <v>66.6</v>
      </c>
      <c r="H71" s="7">
        <v>99.9981</v>
      </c>
      <c r="I71" s="6"/>
    </row>
    <row r="72" ht="15" customHeight="1" spans="1:9" x14ac:dyDescent="0.25">
      <c r="A72" s="6" t="s">
        <v>73</v>
      </c>
      <c r="B72" s="6" t="s">
        <v>1495</v>
      </c>
      <c r="C72" s="8">
        <v>5472</v>
      </c>
      <c r="D72" s="8">
        <v>8879</v>
      </c>
      <c r="E72" s="7">
        <v>1.623</v>
      </c>
      <c r="F72" s="7">
        <v>2.481</v>
      </c>
      <c r="G72" s="7">
        <v>68.4</v>
      </c>
      <c r="H72" s="7">
        <v>99.9923</v>
      </c>
      <c r="I72" s="6"/>
    </row>
    <row r="73" ht="15" customHeight="1" spans="1:9" x14ac:dyDescent="0.25">
      <c r="A73" s="6" t="s">
        <v>73</v>
      </c>
      <c r="B73" s="6" t="s">
        <v>1496</v>
      </c>
      <c r="C73" s="8">
        <v>5447</v>
      </c>
      <c r="D73" s="8">
        <v>8856</v>
      </c>
      <c r="E73" s="7">
        <v>1.626</v>
      </c>
      <c r="F73" s="7">
        <v>2.425</v>
      </c>
      <c r="G73" s="7">
        <v>68.1</v>
      </c>
      <c r="H73" s="7">
        <v>99.9729</v>
      </c>
      <c r="I73" s="6"/>
    </row>
    <row r="74" ht="15" customHeight="1" spans="1:9" x14ac:dyDescent="0.25">
      <c r="A74" s="6" t="s">
        <v>79</v>
      </c>
      <c r="B74" s="6" t="s">
        <v>1926</v>
      </c>
      <c r="C74" s="8">
        <v>6287</v>
      </c>
      <c r="D74" s="8">
        <v>8363</v>
      </c>
      <c r="E74" s="7">
        <v>1.33</v>
      </c>
      <c r="F74" s="7">
        <v>0.914</v>
      </c>
      <c r="G74" s="7">
        <v>44.9</v>
      </c>
      <c r="H74" s="7">
        <v>99.9935</v>
      </c>
      <c r="I74" s="6"/>
    </row>
    <row r="75" ht="15" customHeight="1" spans="1:9" x14ac:dyDescent="0.25">
      <c r="A75" s="6" t="s">
        <v>79</v>
      </c>
      <c r="B75" s="6" t="s">
        <v>1927</v>
      </c>
      <c r="C75" s="8">
        <v>6425</v>
      </c>
      <c r="D75" s="8">
        <v>8590</v>
      </c>
      <c r="E75" s="7">
        <v>1.337</v>
      </c>
      <c r="F75" s="7">
        <v>0.936</v>
      </c>
      <c r="G75" s="7">
        <v>45.9</v>
      </c>
      <c r="H75" s="7">
        <v>99.9961</v>
      </c>
      <c r="I75" s="6"/>
    </row>
    <row r="76" ht="15" customHeight="1" spans="1:9" x14ac:dyDescent="0.25">
      <c r="A76" s="6" t="s">
        <v>79</v>
      </c>
      <c r="B76" s="6" t="s">
        <v>1928</v>
      </c>
      <c r="C76" s="8">
        <v>6546</v>
      </c>
      <c r="D76" s="8">
        <v>8750</v>
      </c>
      <c r="E76" s="7">
        <v>1.337</v>
      </c>
      <c r="F76" s="7">
        <v>0.957</v>
      </c>
      <c r="G76" s="7">
        <v>46.8</v>
      </c>
      <c r="H76" s="7">
        <v>99.9719</v>
      </c>
      <c r="I76" s="6"/>
    </row>
    <row r="77" ht="15" customHeight="1" spans="1:9" x14ac:dyDescent="0.25">
      <c r="A77" s="6" t="s">
        <v>79</v>
      </c>
      <c r="B77" s="6" t="s">
        <v>1929</v>
      </c>
      <c r="C77" s="8">
        <v>6556</v>
      </c>
      <c r="D77" s="8">
        <v>8855</v>
      </c>
      <c r="E77" s="7">
        <v>1.351</v>
      </c>
      <c r="F77" s="7">
        <v>0.983</v>
      </c>
      <c r="G77" s="7">
        <v>46.8</v>
      </c>
      <c r="H77" s="7">
        <v>99.9835</v>
      </c>
      <c r="I77" s="6"/>
    </row>
    <row r="78" ht="15" customHeight="1" spans="1:9" x14ac:dyDescent="0.25">
      <c r="A78" s="6" t="s">
        <v>79</v>
      </c>
      <c r="B78" s="6" t="s">
        <v>1930</v>
      </c>
      <c r="C78" s="8">
        <v>6616</v>
      </c>
      <c r="D78" s="8">
        <v>8941</v>
      </c>
      <c r="E78" s="7">
        <v>1.351</v>
      </c>
      <c r="F78" s="7">
        <v>0.954</v>
      </c>
      <c r="G78" s="7">
        <v>47.3</v>
      </c>
      <c r="H78" s="7">
        <v>99.9851</v>
      </c>
      <c r="I78" s="6"/>
    </row>
    <row r="79" ht="15" customHeight="1" spans="1:9" x14ac:dyDescent="0.25">
      <c r="A79" s="6" t="s">
        <v>79</v>
      </c>
      <c r="B79" s="6" t="s">
        <v>1931</v>
      </c>
      <c r="C79" s="8">
        <v>6696</v>
      </c>
      <c r="D79" s="8">
        <v>9039</v>
      </c>
      <c r="E79" s="7">
        <v>1.35</v>
      </c>
      <c r="F79" s="7">
        <v>0.923</v>
      </c>
      <c r="G79" s="7">
        <v>47.8</v>
      </c>
      <c r="H79" s="7">
        <v>99.9724</v>
      </c>
      <c r="I79" s="6"/>
    </row>
    <row r="80" ht="15" customHeight="1" spans="1:9" x14ac:dyDescent="0.25">
      <c r="A80" s="6" t="s">
        <v>79</v>
      </c>
      <c r="B80" s="6" t="s">
        <v>1932</v>
      </c>
      <c r="C80" s="8">
        <v>6753</v>
      </c>
      <c r="D80" s="8">
        <v>8976</v>
      </c>
      <c r="E80" s="7">
        <v>1.329</v>
      </c>
      <c r="F80" s="7">
        <v>0.976</v>
      </c>
      <c r="G80" s="7">
        <v>48.2</v>
      </c>
      <c r="H80" s="7">
        <v>99.9933</v>
      </c>
      <c r="I80" s="6"/>
    </row>
    <row r="81" ht="15" customHeight="1" spans="1:9" x14ac:dyDescent="0.25">
      <c r="A81" s="6" t="s">
        <v>79</v>
      </c>
      <c r="B81" s="6" t="s">
        <v>1933</v>
      </c>
      <c r="C81" s="8">
        <v>6855</v>
      </c>
      <c r="D81" s="8">
        <v>9460</v>
      </c>
      <c r="E81" s="7">
        <v>1.38</v>
      </c>
      <c r="F81" s="7">
        <v>0.927</v>
      </c>
      <c r="G81" s="7">
        <v>49</v>
      </c>
      <c r="H81" s="7">
        <v>99.9873</v>
      </c>
      <c r="I81" s="6"/>
    </row>
    <row r="82" ht="15" customHeight="1" spans="1:9" x14ac:dyDescent="0.25">
      <c r="A82" s="6" t="s">
        <v>79</v>
      </c>
      <c r="B82" s="6" t="s">
        <v>1934</v>
      </c>
      <c r="C82" s="8">
        <v>6895</v>
      </c>
      <c r="D82" s="8">
        <v>9458</v>
      </c>
      <c r="E82" s="7">
        <v>1.372</v>
      </c>
      <c r="F82" s="7">
        <v>0.937</v>
      </c>
      <c r="G82" s="7">
        <v>49.3</v>
      </c>
      <c r="H82" s="7">
        <v>99.9926</v>
      </c>
      <c r="I82" s="6"/>
    </row>
    <row r="83" ht="15" customHeight="1" spans="1:9" x14ac:dyDescent="0.25">
      <c r="A83" s="6" t="s">
        <v>79</v>
      </c>
      <c r="B83" s="6" t="s">
        <v>1935</v>
      </c>
      <c r="C83" s="8">
        <v>6816</v>
      </c>
      <c r="D83" s="8">
        <v>9312</v>
      </c>
      <c r="E83" s="7">
        <v>1.366</v>
      </c>
      <c r="F83" s="7">
        <v>0.957</v>
      </c>
      <c r="G83" s="7">
        <v>48.7</v>
      </c>
      <c r="H83" s="7">
        <v>99.9721</v>
      </c>
      <c r="I83" s="6"/>
    </row>
    <row r="84" ht="15" customHeight="1" spans="1:9" x14ac:dyDescent="0.25">
      <c r="A84" s="6" t="s">
        <v>79</v>
      </c>
      <c r="B84" s="6" t="s">
        <v>1936</v>
      </c>
      <c r="C84" s="8">
        <v>6890</v>
      </c>
      <c r="D84" s="8">
        <v>9254</v>
      </c>
      <c r="E84" s="7">
        <v>1.343</v>
      </c>
      <c r="F84" s="7">
        <v>0.988</v>
      </c>
      <c r="G84" s="7">
        <v>49.2</v>
      </c>
      <c r="H84" s="7">
        <v>99.988</v>
      </c>
      <c r="I84" s="6"/>
    </row>
    <row r="85" ht="15" customHeight="1" spans="1:9" x14ac:dyDescent="0.25">
      <c r="A85" s="6" t="s">
        <v>79</v>
      </c>
      <c r="B85" s="6" t="s">
        <v>1937</v>
      </c>
      <c r="C85" s="8">
        <v>7025</v>
      </c>
      <c r="D85" s="8">
        <v>9358</v>
      </c>
      <c r="E85" s="7">
        <v>1.332</v>
      </c>
      <c r="F85" s="7">
        <v>0.926</v>
      </c>
      <c r="G85" s="7">
        <v>50.2</v>
      </c>
      <c r="H85" s="7">
        <v>99.9728</v>
      </c>
      <c r="I85" s="6"/>
    </row>
    <row r="86" ht="15" customHeight="1" spans="1:9" x14ac:dyDescent="0.25">
      <c r="A86" s="6" t="s">
        <v>79</v>
      </c>
      <c r="B86" s="6" t="s">
        <v>1938</v>
      </c>
      <c r="C86" s="8">
        <v>7129</v>
      </c>
      <c r="D86" s="8">
        <v>9478</v>
      </c>
      <c r="E86" s="7">
        <v>1.33</v>
      </c>
      <c r="F86" s="7">
        <v>0.949</v>
      </c>
      <c r="G86" s="7">
        <v>50.9</v>
      </c>
      <c r="H86" s="7">
        <v>99.9871</v>
      </c>
      <c r="I86" s="6"/>
    </row>
    <row r="87" ht="15" customHeight="1" spans="1:9" x14ac:dyDescent="0.25">
      <c r="A87" s="6" t="s">
        <v>79</v>
      </c>
      <c r="B87" s="6" t="s">
        <v>1939</v>
      </c>
      <c r="C87" s="8">
        <v>7091</v>
      </c>
      <c r="D87" s="8">
        <v>9515</v>
      </c>
      <c r="E87" s="7">
        <v>1.342</v>
      </c>
      <c r="F87" s="7">
        <v>0.964</v>
      </c>
      <c r="G87" s="7">
        <v>50.6</v>
      </c>
      <c r="H87" s="7">
        <v>99.9954</v>
      </c>
      <c r="I87" s="6"/>
    </row>
    <row r="88" ht="15" customHeight="1" spans="1:9" x14ac:dyDescent="0.25">
      <c r="A88" s="6" t="s">
        <v>79</v>
      </c>
      <c r="B88" s="6" t="s">
        <v>1940</v>
      </c>
      <c r="C88" s="8">
        <v>7107</v>
      </c>
      <c r="D88" s="8">
        <v>9444</v>
      </c>
      <c r="E88" s="7">
        <v>1.329</v>
      </c>
      <c r="F88" s="7">
        <v>0.943</v>
      </c>
      <c r="G88" s="7">
        <v>50.8</v>
      </c>
      <c r="H88" s="7">
        <v>99.9727</v>
      </c>
      <c r="I88" s="6"/>
    </row>
    <row r="89" ht="15" customHeight="1" spans="1:9" x14ac:dyDescent="0.25">
      <c r="A89" s="6" t="s">
        <v>79</v>
      </c>
      <c r="B89" s="6" t="s">
        <v>1941</v>
      </c>
      <c r="C89" s="8">
        <v>7218</v>
      </c>
      <c r="D89" s="8">
        <v>9608</v>
      </c>
      <c r="E89" s="7">
        <v>1.331</v>
      </c>
      <c r="F89" s="7">
        <v>0.912</v>
      </c>
      <c r="G89" s="7">
        <v>51.6</v>
      </c>
      <c r="H89" s="7">
        <v>99.9873</v>
      </c>
      <c r="I89" s="6"/>
    </row>
    <row r="90" ht="15" customHeight="1" spans="1:9" x14ac:dyDescent="0.25">
      <c r="A90" s="6" t="s">
        <v>79</v>
      </c>
      <c r="B90" s="6" t="s">
        <v>1489</v>
      </c>
      <c r="C90" s="8">
        <v>7197</v>
      </c>
      <c r="D90" s="8">
        <v>9590</v>
      </c>
      <c r="E90" s="7">
        <v>1.332</v>
      </c>
      <c r="F90" s="7">
        <v>0.962</v>
      </c>
      <c r="G90" s="7">
        <v>51.4</v>
      </c>
      <c r="H90" s="7">
        <v>99.9815</v>
      </c>
      <c r="I90" s="6"/>
    </row>
    <row r="91" ht="15" customHeight="1" spans="1:9" x14ac:dyDescent="0.25">
      <c r="A91" s="6" t="s">
        <v>79</v>
      </c>
      <c r="B91" s="6" t="s">
        <v>1490</v>
      </c>
      <c r="C91" s="8">
        <v>7315</v>
      </c>
      <c r="D91" s="8">
        <v>9811</v>
      </c>
      <c r="E91" s="7">
        <v>1.341</v>
      </c>
      <c r="F91" s="7">
        <v>0.93</v>
      </c>
      <c r="G91" s="7">
        <v>52.3</v>
      </c>
      <c r="H91" s="7">
        <v>99.9818</v>
      </c>
      <c r="I91" s="6"/>
    </row>
    <row r="92" ht="15" customHeight="1" spans="1:9" x14ac:dyDescent="0.25">
      <c r="A92" s="6" t="s">
        <v>79</v>
      </c>
      <c r="B92" s="6" t="s">
        <v>1491</v>
      </c>
      <c r="C92" s="8">
        <v>7365</v>
      </c>
      <c r="D92" s="8">
        <v>9810</v>
      </c>
      <c r="E92" s="7">
        <v>1.332</v>
      </c>
      <c r="F92" s="7">
        <v>0.967</v>
      </c>
      <c r="G92" s="7">
        <v>52.6</v>
      </c>
      <c r="H92" s="7">
        <v>99.9842</v>
      </c>
      <c r="I92" s="6"/>
    </row>
    <row r="93" ht="15" customHeight="1" spans="1:9" x14ac:dyDescent="0.25">
      <c r="A93" s="6" t="s">
        <v>79</v>
      </c>
      <c r="B93" s="6" t="s">
        <v>1492</v>
      </c>
      <c r="C93" s="8">
        <v>7386</v>
      </c>
      <c r="D93" s="8">
        <v>10219</v>
      </c>
      <c r="E93" s="7">
        <v>1.384</v>
      </c>
      <c r="F93" s="7">
        <v>0.924</v>
      </c>
      <c r="G93" s="7">
        <v>52.8</v>
      </c>
      <c r="H93" s="7">
        <v>99.9838</v>
      </c>
      <c r="I93" s="6"/>
    </row>
    <row r="94" ht="15" customHeight="1" spans="1:9" x14ac:dyDescent="0.25">
      <c r="A94" s="6" t="s">
        <v>79</v>
      </c>
      <c r="B94" s="6" t="s">
        <v>1493</v>
      </c>
      <c r="C94" s="8">
        <v>7607</v>
      </c>
      <c r="D94" s="8">
        <v>10439</v>
      </c>
      <c r="E94" s="7">
        <v>1.372</v>
      </c>
      <c r="F94" s="7">
        <v>0.934</v>
      </c>
      <c r="G94" s="7">
        <v>54.3</v>
      </c>
      <c r="H94" s="7">
        <v>99.9896</v>
      </c>
      <c r="I94" s="6"/>
    </row>
    <row r="95" ht="15" customHeight="1" spans="1:9" x14ac:dyDescent="0.25">
      <c r="A95" s="6" t="s">
        <v>79</v>
      </c>
      <c r="B95" s="6" t="s">
        <v>1494</v>
      </c>
      <c r="C95" s="8">
        <v>7626</v>
      </c>
      <c r="D95" s="8">
        <v>10451</v>
      </c>
      <c r="E95" s="7">
        <v>1.37</v>
      </c>
      <c r="F95" s="7">
        <v>0.912</v>
      </c>
      <c r="G95" s="7">
        <v>54.5</v>
      </c>
      <c r="H95" s="7">
        <v>99.9989</v>
      </c>
      <c r="I95" s="6"/>
    </row>
    <row r="96" ht="15" customHeight="1" spans="1:9" x14ac:dyDescent="0.25">
      <c r="A96" s="6" t="s">
        <v>79</v>
      </c>
      <c r="B96" s="6" t="s">
        <v>1495</v>
      </c>
      <c r="C96" s="8">
        <v>7628</v>
      </c>
      <c r="D96" s="8">
        <v>10194</v>
      </c>
      <c r="E96" s="7">
        <v>1.336</v>
      </c>
      <c r="F96" s="7">
        <v>0.911</v>
      </c>
      <c r="G96" s="7">
        <v>54.5</v>
      </c>
      <c r="H96" s="7">
        <v>99.9818</v>
      </c>
      <c r="I96" s="6"/>
    </row>
    <row r="97" ht="15" customHeight="1" spans="1:9" x14ac:dyDescent="0.25">
      <c r="A97" s="6" t="s">
        <v>79</v>
      </c>
      <c r="B97" s="6" t="s">
        <v>1496</v>
      </c>
      <c r="C97" s="8">
        <v>7622</v>
      </c>
      <c r="D97" s="8">
        <v>10195</v>
      </c>
      <c r="E97" s="7">
        <v>1.338</v>
      </c>
      <c r="F97" s="7">
        <v>0.982</v>
      </c>
      <c r="G97" s="7">
        <v>54.4</v>
      </c>
      <c r="H97" s="7">
        <v>99.9774</v>
      </c>
      <c r="I97" s="6"/>
    </row>
    <row r="98" ht="15" customHeight="1" spans="1:9" x14ac:dyDescent="0.25">
      <c r="A98" s="6" t="s">
        <v>85</v>
      </c>
      <c r="B98" s="6" t="s">
        <v>1926</v>
      </c>
      <c r="C98" s="8">
        <v>6271</v>
      </c>
      <c r="D98" s="8">
        <v>10540</v>
      </c>
      <c r="E98" s="7">
        <v>1.681</v>
      </c>
      <c r="F98" s="7">
        <v>1.988</v>
      </c>
      <c r="G98" s="7">
        <v>69.7</v>
      </c>
      <c r="H98" s="7">
        <v>99.9802</v>
      </c>
      <c r="I98" s="6"/>
    </row>
    <row r="99" ht="15" customHeight="1" spans="1:9" x14ac:dyDescent="0.25">
      <c r="A99" s="6" t="s">
        <v>85</v>
      </c>
      <c r="B99" s="6" t="s">
        <v>1927</v>
      </c>
      <c r="C99" s="8">
        <v>6262</v>
      </c>
      <c r="D99" s="8">
        <v>10562</v>
      </c>
      <c r="E99" s="7">
        <v>1.687</v>
      </c>
      <c r="F99" s="7">
        <v>1.981</v>
      </c>
      <c r="G99" s="7">
        <v>69.6</v>
      </c>
      <c r="H99" s="7">
        <v>99.9842</v>
      </c>
      <c r="I99" s="6"/>
    </row>
    <row r="100" ht="15" customHeight="1" spans="1:9" x14ac:dyDescent="0.25">
      <c r="A100" s="6" t="s">
        <v>85</v>
      </c>
      <c r="B100" s="6" t="s">
        <v>1928</v>
      </c>
      <c r="C100" s="8">
        <v>6206</v>
      </c>
      <c r="D100" s="8">
        <v>10500</v>
      </c>
      <c r="E100" s="7">
        <v>1.692</v>
      </c>
      <c r="F100" s="7">
        <v>1.967</v>
      </c>
      <c r="G100" s="7">
        <v>69</v>
      </c>
      <c r="H100" s="7">
        <v>99.9975</v>
      </c>
      <c r="I100" s="6"/>
    </row>
    <row r="101" ht="15" customHeight="1" spans="1:9" x14ac:dyDescent="0.25">
      <c r="A101" s="6" t="s">
        <v>85</v>
      </c>
      <c r="B101" s="6" t="s">
        <v>1929</v>
      </c>
      <c r="C101" s="8">
        <v>6389</v>
      </c>
      <c r="D101" s="8">
        <v>10672</v>
      </c>
      <c r="E101" s="7">
        <v>1.67</v>
      </c>
      <c r="F101" s="7">
        <v>1.924</v>
      </c>
      <c r="G101" s="7">
        <v>71</v>
      </c>
      <c r="H101" s="7">
        <v>99.994</v>
      </c>
      <c r="I101" s="6"/>
    </row>
    <row r="102" ht="15" customHeight="1" spans="1:9" x14ac:dyDescent="0.25">
      <c r="A102" s="6" t="s">
        <v>85</v>
      </c>
      <c r="B102" s="6" t="s">
        <v>1930</v>
      </c>
      <c r="C102" s="8">
        <v>6403</v>
      </c>
      <c r="D102" s="8">
        <v>10827</v>
      </c>
      <c r="E102" s="7">
        <v>1.691</v>
      </c>
      <c r="F102" s="7">
        <v>1.937</v>
      </c>
      <c r="G102" s="7">
        <v>71.1</v>
      </c>
      <c r="H102" s="7">
        <v>99.9948</v>
      </c>
      <c r="I102" s="6"/>
    </row>
    <row r="103" ht="15" customHeight="1" spans="1:9" x14ac:dyDescent="0.25">
      <c r="A103" s="6" t="s">
        <v>85</v>
      </c>
      <c r="B103" s="6" t="s">
        <v>1931</v>
      </c>
      <c r="C103" s="8">
        <v>6399</v>
      </c>
      <c r="D103" s="8">
        <v>10745</v>
      </c>
      <c r="E103" s="7">
        <v>1.679</v>
      </c>
      <c r="F103" s="7">
        <v>1.986</v>
      </c>
      <c r="G103" s="7">
        <v>71.1</v>
      </c>
      <c r="H103" s="7">
        <v>99.9718</v>
      </c>
      <c r="I103" s="6"/>
    </row>
    <row r="104" ht="15" customHeight="1" spans="1:9" x14ac:dyDescent="0.25">
      <c r="A104" s="6" t="s">
        <v>85</v>
      </c>
      <c r="B104" s="6" t="s">
        <v>1932</v>
      </c>
      <c r="C104" s="8">
        <v>6420</v>
      </c>
      <c r="D104" s="8">
        <v>10770</v>
      </c>
      <c r="E104" s="7">
        <v>1.677</v>
      </c>
      <c r="F104" s="7">
        <v>1.945</v>
      </c>
      <c r="G104" s="7">
        <v>71.3</v>
      </c>
      <c r="H104" s="7">
        <v>99.9786</v>
      </c>
      <c r="I104" s="6"/>
    </row>
    <row r="105" ht="15" customHeight="1" spans="1:9" x14ac:dyDescent="0.25">
      <c r="A105" s="6" t="s">
        <v>85</v>
      </c>
      <c r="B105" s="6" t="s">
        <v>1933</v>
      </c>
      <c r="C105" s="8">
        <v>6579</v>
      </c>
      <c r="D105" s="8">
        <v>11205</v>
      </c>
      <c r="E105" s="7">
        <v>1.703</v>
      </c>
      <c r="F105" s="7">
        <v>1.984</v>
      </c>
      <c r="G105" s="7">
        <v>73.1</v>
      </c>
      <c r="H105" s="7">
        <v>99.998</v>
      </c>
      <c r="I105" s="6"/>
    </row>
    <row r="106" ht="15" customHeight="1" spans="1:9" x14ac:dyDescent="0.25">
      <c r="A106" s="6" t="s">
        <v>85</v>
      </c>
      <c r="B106" s="6" t="s">
        <v>1934</v>
      </c>
      <c r="C106" s="8">
        <v>6704</v>
      </c>
      <c r="D106" s="8">
        <v>11418</v>
      </c>
      <c r="E106" s="7">
        <v>1.703</v>
      </c>
      <c r="F106" s="7">
        <v>1.939</v>
      </c>
      <c r="G106" s="7">
        <v>74.5</v>
      </c>
      <c r="H106" s="7">
        <v>99.9825</v>
      </c>
      <c r="I106" s="6"/>
    </row>
    <row r="107" ht="15" customHeight="1" spans="1:9" x14ac:dyDescent="0.25">
      <c r="A107" s="6" t="s">
        <v>85</v>
      </c>
      <c r="B107" s="6" t="s">
        <v>1935</v>
      </c>
      <c r="C107" s="8">
        <v>6702</v>
      </c>
      <c r="D107" s="8">
        <v>11476</v>
      </c>
      <c r="E107" s="7">
        <v>1.712</v>
      </c>
      <c r="F107" s="7">
        <v>1.986</v>
      </c>
      <c r="G107" s="7">
        <v>74.5</v>
      </c>
      <c r="H107" s="7">
        <v>99.9909</v>
      </c>
      <c r="I107" s="6"/>
    </row>
    <row r="108" ht="15" customHeight="1" spans="1:9" x14ac:dyDescent="0.25">
      <c r="A108" s="6" t="s">
        <v>85</v>
      </c>
      <c r="B108" s="6" t="s">
        <v>1936</v>
      </c>
      <c r="C108" s="8">
        <v>6737</v>
      </c>
      <c r="D108" s="8">
        <v>11326</v>
      </c>
      <c r="E108" s="7">
        <v>1.681</v>
      </c>
      <c r="F108" s="7">
        <v>1.952</v>
      </c>
      <c r="G108" s="7">
        <v>74.9</v>
      </c>
      <c r="H108" s="7">
        <v>99.9839</v>
      </c>
      <c r="I108" s="6"/>
    </row>
    <row r="109" ht="15" customHeight="1" spans="1:9" x14ac:dyDescent="0.25">
      <c r="A109" s="6" t="s">
        <v>85</v>
      </c>
      <c r="B109" s="6" t="s">
        <v>1937</v>
      </c>
      <c r="C109" s="8">
        <v>6780</v>
      </c>
      <c r="D109" s="8">
        <v>11396</v>
      </c>
      <c r="E109" s="7">
        <v>1.681</v>
      </c>
      <c r="F109" s="7">
        <v>1.923</v>
      </c>
      <c r="G109" s="7">
        <v>75.3</v>
      </c>
      <c r="H109" s="7">
        <v>99.9791</v>
      </c>
      <c r="I109" s="6"/>
    </row>
    <row r="110" ht="15" customHeight="1" spans="1:9" x14ac:dyDescent="0.25">
      <c r="A110" s="6" t="s">
        <v>85</v>
      </c>
      <c r="B110" s="6" t="s">
        <v>1938</v>
      </c>
      <c r="C110" s="8">
        <v>6928</v>
      </c>
      <c r="D110" s="8">
        <v>11676</v>
      </c>
      <c r="E110" s="7">
        <v>1.685</v>
      </c>
      <c r="F110" s="7">
        <v>1.955</v>
      </c>
      <c r="G110" s="7">
        <v>77</v>
      </c>
      <c r="H110" s="7">
        <v>99.9894</v>
      </c>
      <c r="I110" s="6"/>
    </row>
    <row r="111" ht="15" customHeight="1" spans="1:9" x14ac:dyDescent="0.25">
      <c r="A111" s="6" t="s">
        <v>85</v>
      </c>
      <c r="B111" s="6" t="s">
        <v>1939</v>
      </c>
      <c r="C111" s="8">
        <v>6934</v>
      </c>
      <c r="D111" s="8">
        <v>11724</v>
      </c>
      <c r="E111" s="7">
        <v>1.691</v>
      </c>
      <c r="F111" s="7">
        <v>1.967</v>
      </c>
      <c r="G111" s="7">
        <v>77</v>
      </c>
      <c r="H111" s="7">
        <v>99.9871</v>
      </c>
      <c r="I111" s="6"/>
    </row>
    <row r="112" ht="15" customHeight="1" spans="1:9" x14ac:dyDescent="0.25">
      <c r="A112" s="6" t="s">
        <v>85</v>
      </c>
      <c r="B112" s="6" t="s">
        <v>1940</v>
      </c>
      <c r="C112" s="8">
        <v>6916</v>
      </c>
      <c r="D112" s="8">
        <v>11599</v>
      </c>
      <c r="E112" s="7">
        <v>1.677</v>
      </c>
      <c r="F112" s="7">
        <v>1.918</v>
      </c>
      <c r="G112" s="7">
        <v>76.8</v>
      </c>
      <c r="H112" s="7">
        <v>99.9844</v>
      </c>
      <c r="I112" s="6"/>
    </row>
    <row r="113" ht="15" customHeight="1" spans="1:9" x14ac:dyDescent="0.25">
      <c r="A113" s="6" t="s">
        <v>85</v>
      </c>
      <c r="B113" s="6" t="s">
        <v>1941</v>
      </c>
      <c r="C113" s="8">
        <v>7111</v>
      </c>
      <c r="D113" s="8">
        <v>11869</v>
      </c>
      <c r="E113" s="7">
        <v>1.669</v>
      </c>
      <c r="F113" s="7">
        <v>1.926</v>
      </c>
      <c r="G113" s="7">
        <v>79</v>
      </c>
      <c r="H113" s="7">
        <v>99.9771</v>
      </c>
      <c r="I113" s="6"/>
    </row>
    <row r="114" ht="15" customHeight="1" spans="1:9" x14ac:dyDescent="0.25">
      <c r="A114" s="6" t="s">
        <v>85</v>
      </c>
      <c r="B114" s="6" t="s">
        <v>1489</v>
      </c>
      <c r="C114" s="8">
        <v>7094</v>
      </c>
      <c r="D114" s="8">
        <v>11990</v>
      </c>
      <c r="E114" s="7">
        <v>1.69</v>
      </c>
      <c r="F114" s="7">
        <v>1.963</v>
      </c>
      <c r="G114" s="7">
        <v>78.8</v>
      </c>
      <c r="H114" s="7">
        <v>99.9739</v>
      </c>
      <c r="I114" s="6"/>
    </row>
    <row r="115" ht="15" customHeight="1" spans="1:9" x14ac:dyDescent="0.25">
      <c r="A115" s="6" t="s">
        <v>85</v>
      </c>
      <c r="B115" s="6" t="s">
        <v>1490</v>
      </c>
      <c r="C115" s="8">
        <v>7059</v>
      </c>
      <c r="D115" s="8">
        <v>11846</v>
      </c>
      <c r="E115" s="7">
        <v>1.678</v>
      </c>
      <c r="F115" s="7">
        <v>1.987</v>
      </c>
      <c r="G115" s="7">
        <v>78.4</v>
      </c>
      <c r="H115" s="7">
        <v>99.9731</v>
      </c>
      <c r="I115" s="6"/>
    </row>
    <row r="116" ht="15" customHeight="1" spans="1:9" x14ac:dyDescent="0.25">
      <c r="A116" s="6" t="s">
        <v>85</v>
      </c>
      <c r="B116" s="6" t="s">
        <v>1491</v>
      </c>
      <c r="C116" s="8">
        <v>7097</v>
      </c>
      <c r="D116" s="8">
        <v>11926</v>
      </c>
      <c r="E116" s="7">
        <v>1.68</v>
      </c>
      <c r="F116" s="7">
        <v>1.934</v>
      </c>
      <c r="G116" s="7">
        <v>78.9</v>
      </c>
      <c r="H116" s="7">
        <v>99.9823</v>
      </c>
      <c r="I116" s="6"/>
    </row>
    <row r="117" ht="15" customHeight="1" spans="1:9" x14ac:dyDescent="0.25">
      <c r="A117" s="6" t="s">
        <v>85</v>
      </c>
      <c r="B117" s="6" t="s">
        <v>1492</v>
      </c>
      <c r="C117" s="8">
        <v>7201</v>
      </c>
      <c r="D117" s="8">
        <v>12427</v>
      </c>
      <c r="E117" s="7">
        <v>1.726</v>
      </c>
      <c r="F117" s="7">
        <v>1.978</v>
      </c>
      <c r="G117" s="7">
        <v>80</v>
      </c>
      <c r="H117" s="7">
        <v>99.9884</v>
      </c>
      <c r="I117" s="6"/>
    </row>
    <row r="118" ht="15" customHeight="1" spans="1:9" x14ac:dyDescent="0.25">
      <c r="A118" s="6" t="s">
        <v>85</v>
      </c>
      <c r="B118" s="6" t="s">
        <v>1493</v>
      </c>
      <c r="C118" s="8">
        <v>7239</v>
      </c>
      <c r="D118" s="8">
        <v>12480</v>
      </c>
      <c r="E118" s="7">
        <v>1.724</v>
      </c>
      <c r="F118" s="7">
        <v>1.936</v>
      </c>
      <c r="G118" s="7">
        <v>80.4</v>
      </c>
      <c r="H118" s="7">
        <v>99.9908</v>
      </c>
      <c r="I118" s="6"/>
    </row>
    <row r="119" ht="15" customHeight="1" spans="1:9" x14ac:dyDescent="0.25">
      <c r="A119" s="6" t="s">
        <v>85</v>
      </c>
      <c r="B119" s="6" t="s">
        <v>1494</v>
      </c>
      <c r="C119" s="8">
        <v>7256</v>
      </c>
      <c r="D119" s="8">
        <v>12472</v>
      </c>
      <c r="E119" s="7">
        <v>1.719</v>
      </c>
      <c r="F119" s="7">
        <v>1.942</v>
      </c>
      <c r="G119" s="7">
        <v>80.6</v>
      </c>
      <c r="H119" s="7">
        <v>99.9948</v>
      </c>
      <c r="I119" s="6"/>
    </row>
    <row r="120" ht="15" customHeight="1" spans="1:9" x14ac:dyDescent="0.25">
      <c r="A120" s="6" t="s">
        <v>85</v>
      </c>
      <c r="B120" s="6" t="s">
        <v>1495</v>
      </c>
      <c r="C120" s="8">
        <v>7388</v>
      </c>
      <c r="D120" s="8">
        <v>12332</v>
      </c>
      <c r="E120" s="7">
        <v>1.669</v>
      </c>
      <c r="F120" s="7">
        <v>1.96</v>
      </c>
      <c r="G120" s="7">
        <v>82.1</v>
      </c>
      <c r="H120" s="7">
        <v>99.9921</v>
      </c>
      <c r="I120" s="6"/>
    </row>
    <row r="121" ht="15" customHeight="1" spans="1:9" x14ac:dyDescent="0.25">
      <c r="A121" s="6" t="s">
        <v>85</v>
      </c>
      <c r="B121" s="6" t="s">
        <v>1496</v>
      </c>
      <c r="C121" s="8">
        <v>7488</v>
      </c>
      <c r="D121" s="8">
        <v>12513</v>
      </c>
      <c r="E121" s="7">
        <v>1.671</v>
      </c>
      <c r="F121" s="7">
        <v>1.957</v>
      </c>
      <c r="G121" s="7">
        <v>83.2</v>
      </c>
      <c r="H121" s="7">
        <v>99.987</v>
      </c>
      <c r="I121" s="6"/>
    </row>
    <row r="122" ht="15" customHeight="1" spans="1:9" x14ac:dyDescent="0.25">
      <c r="A122" s="6" t="s">
        <v>61</v>
      </c>
      <c r="B122" s="6" t="s">
        <v>1497</v>
      </c>
      <c r="C122" s="8">
        <v>6985</v>
      </c>
      <c r="D122" s="8">
        <v>11483</v>
      </c>
      <c r="E122" s="7">
        <v>1.644</v>
      </c>
      <c r="F122" s="7">
        <v>1.865</v>
      </c>
      <c r="G122" s="7">
        <v>69.9</v>
      </c>
      <c r="H122" s="7">
        <v>99.9802</v>
      </c>
      <c r="I122" t="s">
        <v>1942</v>
      </c>
    </row>
    <row r="123" ht="15" customHeight="1" spans="1:9" x14ac:dyDescent="0.25">
      <c r="A123" s="6" t="s">
        <v>69</v>
      </c>
      <c r="B123" s="6" t="s">
        <v>1497</v>
      </c>
      <c r="C123" s="8">
        <v>5028</v>
      </c>
      <c r="D123" s="8">
        <v>8724</v>
      </c>
      <c r="E123" s="7">
        <v>1.735</v>
      </c>
      <c r="F123" s="7">
        <v>2.096</v>
      </c>
      <c r="G123" s="7">
        <v>83.8</v>
      </c>
      <c r="H123" s="7">
        <v>99.9818</v>
      </c>
    </row>
    <row r="124" ht="15" customHeight="1" spans="1:9" x14ac:dyDescent="0.25">
      <c r="A124" s="6" t="s">
        <v>73</v>
      </c>
      <c r="B124" s="6" t="s">
        <v>1497</v>
      </c>
      <c r="C124" s="8">
        <v>5475</v>
      </c>
      <c r="D124" s="8">
        <v>8864</v>
      </c>
      <c r="E124" s="7">
        <v>1.619</v>
      </c>
      <c r="F124" s="7">
        <v>2.511</v>
      </c>
      <c r="G124" s="7">
        <v>68.4</v>
      </c>
      <c r="H124" s="7">
        <v>99.9851</v>
      </c>
    </row>
    <row r="125" ht="15" customHeight="1" spans="1:9" x14ac:dyDescent="0.25">
      <c r="A125" s="6" t="s">
        <v>79</v>
      </c>
      <c r="B125" s="6" t="s">
        <v>1497</v>
      </c>
      <c r="C125" s="8">
        <v>7674</v>
      </c>
      <c r="D125" s="8">
        <v>10214</v>
      </c>
      <c r="E125" s="7">
        <v>1.331</v>
      </c>
      <c r="F125" s="7">
        <v>0.927</v>
      </c>
      <c r="G125" s="7">
        <v>54.8</v>
      </c>
      <c r="H125" s="7">
        <v>99.9851</v>
      </c>
    </row>
    <row r="126" ht="15" customHeight="1" spans="1:9" x14ac:dyDescent="0.25">
      <c r="A126" s="6" t="s">
        <v>85</v>
      </c>
      <c r="B126" s="6" t="s">
        <v>1497</v>
      </c>
      <c r="C126" s="8">
        <v>7569</v>
      </c>
      <c r="D126" s="8">
        <v>12716</v>
      </c>
      <c r="E126" s="7">
        <v>1.68</v>
      </c>
      <c r="F126" s="7">
        <v>1.954</v>
      </c>
      <c r="G126" s="7">
        <v>84.1</v>
      </c>
      <c r="H126" s="7">
        <v>99.985</v>
      </c>
    </row>
    <row r="128" ht="15" customHeight="1" spans="1:2" x14ac:dyDescent="0.25">
      <c r="A128" s="9" t="s">
        <v>1943</v>
      </c>
    </row>
    <row r="129" ht="15" customHeight="1" spans="1:2" x14ac:dyDescent="0.25">
      <c r="A129" s="9" t="s">
        <v>1944</v>
      </c>
    </row>
    <row r="130" ht="15" customHeight="1" spans="1:2" x14ac:dyDescent="0.25">
      <c r="A130" s="9" t="s">
        <v>1945</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2"/>
  <sheetViews>
    <sheetView workbookViewId="0" zoomScale="100" zoomScaleNormal="100" view="normal">
      <selection activeCell="A1" sqref="A1"/>
    </sheetView>
  </sheetViews>
  <sheetFormatPr defaultRowHeight="15" outlineLevelRow="0" outlineLevelCol="0" x14ac:dyDescent="0" defaultColWidth="8.6796875"/>
  <cols>
    <col min="1" max="1" width="46" customWidth="1"/>
    <col min="2" max="3" width="18" customWidth="1"/>
    <col min="4" max="4" width="14" customWidth="1"/>
  </cols>
  <sheetData>
    <row r="1" ht="17.35" customHeight="1" spans="1:1" x14ac:dyDescent="0.25">
      <c r="A1" s="1" t="s">
        <v>3002</v>
      </c>
    </row>
    <row r="3" ht="15" customHeight="1" spans="1:4" x14ac:dyDescent="0.25">
      <c r="A3" s="11" t="s">
        <v>3003</v>
      </c>
      <c r="B3" s="11" t="s">
        <v>3004</v>
      </c>
      <c r="C3" s="11" t="s">
        <v>3005</v>
      </c>
      <c r="D3" s="11" t="s">
        <v>50</v>
      </c>
    </row>
    <row r="4" ht="15" customHeight="1" spans="1:4" x14ac:dyDescent="0.25">
      <c r="A4" s="6" t="s">
        <v>3006</v>
      </c>
      <c r="B4" s="6">
        <f>SUMIFS(03_rows!O2:O25,03_rows!Q2:Q25,"structural")</f>
        <v>640</v>
      </c>
      <c r="C4" s="6">
        <v>640</v>
      </c>
      <c r="D4" s="12" t="str">
        <f>IF(ABS(B4-C4)&lt;0.5,"PASS","FAIL")</f>
        <v>PASS</v>
      </c>
    </row>
    <row r="5" ht="15" customHeight="1" spans="1:4" x14ac:dyDescent="0.25">
      <c r="A5" s="6" t="s">
        <v>3007</v>
      </c>
      <c r="B5" s="6">
        <f>SUMIFS(03_rows!O2:O25,03_rows!Q2:Q25,"planned headroom")</f>
        <v>480</v>
      </c>
      <c r="C5" s="6">
        <v>480</v>
      </c>
      <c r="D5" s="12" t="str">
        <f>IF(ABS(B5-C5)&lt;0.5,"PASS","FAIL")</f>
        <v>PASS</v>
      </c>
    </row>
    <row r="6" ht="15" customHeight="1" spans="1:4" x14ac:dyDescent="0.25">
      <c r="A6" s="6" t="s">
        <v>3008</v>
      </c>
      <c r="B6" s="6">
        <f>SUM(03_rows!H2:H25)</f>
        <v>6800</v>
      </c>
      <c r="C6" s="6">
        <v>6800</v>
      </c>
      <c r="D6" s="12" t="str">
        <f>IF(ABS(B6-C6)&lt;0.5,"PASS","FAIL")</f>
        <v>PASS</v>
      </c>
    </row>
    <row r="7" ht="15" customHeight="1" spans="1:4" x14ac:dyDescent="0.25">
      <c r="A7" s="6" t="s">
        <v>3009</v>
      </c>
      <c r="B7" s="6">
        <f>SUMIFS(03_rows!G2:G25,03_rows!B2:B25,"MUM-1-H4")</f>
        <v>34</v>
      </c>
      <c r="C7" s="6">
        <v>34</v>
      </c>
      <c r="D7" s="12" t="str">
        <f>IF(ABS(B7-C7)&lt;0.5,"PASS","FAIL")</f>
        <v>PASS</v>
      </c>
    </row>
    <row r="8" ht="15" customHeight="1" spans="1:4" x14ac:dyDescent="0.25">
      <c r="A8" s="6" t="s">
        <v>3010</v>
      </c>
      <c r="B8" s="6">
        <f>SUMIFS(03_rows!I2:I25,03_rows!B2:B25,"MUM-1-H4")-SUMIFS(03_rows!H2:H25,03_rows!B2:B25,"MUM-1-H4")</f>
        <v>1320</v>
      </c>
      <c r="C8" s="6">
        <v>1320</v>
      </c>
      <c r="D8" s="12" t="str">
        <f>IF(ABS(B8-C8)&lt;0.5,"PASS","FAIL")</f>
        <v>PASS</v>
      </c>
    </row>
    <row r="9" ht="15" customHeight="1" spans="1:4" x14ac:dyDescent="0.25">
      <c r="A9" s="6" t="s">
        <v>3011</v>
      </c>
      <c r="B9" s="6">
        <f>SUMIFS(03_rows!J2:J25,03_rows!B2:B25,"MUM-1-H4")-SUMIFS(03_rows!H2:H25,03_rows!B2:B25,"MUM-1-H4")</f>
        <v>840</v>
      </c>
      <c r="C9" s="6">
        <v>840</v>
      </c>
      <c r="D9" s="12" t="str">
        <f>IF(ABS(B9-C9)&lt;0.5,"PASS","FAIL")</f>
        <v>PASS</v>
      </c>
    </row>
    <row r="10" ht="15" customHeight="1" spans="1:4" x14ac:dyDescent="0.25">
      <c r="A10" s="6" t="s">
        <v>3012</v>
      </c>
      <c r="B10" s="6">
        <f>COUNTIFS(07_cascade_result!K2:K13,"exceeded")</f>
        <v>5</v>
      </c>
      <c r="C10" s="6">
        <v>5</v>
      </c>
      <c r="D10" s="12" t="str">
        <f>IF(ABS(B10-C10)&lt;0.5,"PASS","FAIL")</f>
        <v>PASS</v>
      </c>
    </row>
    <row r="11" ht="15" customHeight="1" spans="1:4" x14ac:dyDescent="0.25">
      <c r="A11" s="6" t="s">
        <v>3013</v>
      </c>
      <c r="B11" s="6">
        <f>COUNTIFS(07_cascade_result!K2:K13,"redundancy_lost")</f>
        <v>2</v>
      </c>
      <c r="C11" s="6">
        <v>2</v>
      </c>
      <c r="D11" s="12" t="str">
        <f>IF(ABS(B11-C11)&lt;0.5,"PASS","FAIL")</f>
        <v>PASS</v>
      </c>
    </row>
    <row r="12" ht="15" customHeight="1" spans="1:4" x14ac:dyDescent="0.25">
      <c r="A12" s="6" t="s">
        <v>3014</v>
      </c>
      <c r="B12" s="6">
        <f>SUM(06_upgrade_options!D2:D7)</f>
        <v>250</v>
      </c>
      <c r="C12" s="6">
        <v>250</v>
      </c>
      <c r="D12" s="12" t="str">
        <f>IF(ABS(B12-C12)&lt;0.5,"PASS","FAIL")</f>
        <v>PASS</v>
      </c>
    </row>
    <row r="13" ht="15" customHeight="1" spans="1:4" x14ac:dyDescent="0.25">
      <c r="A13" s="6" t="s">
        <v>3015</v>
      </c>
      <c r="B13" s="6">
        <f>MAX(06_upgrade_options!E2:E7)</f>
        <v>16</v>
      </c>
      <c r="C13" s="6">
        <v>16</v>
      </c>
      <c r="D13" s="12" t="str">
        <f>IF(ABS(B13-C13)&lt;0.5,"PASS","FAIL")</f>
        <v>PASS</v>
      </c>
    </row>
    <row r="14" ht="15" customHeight="1" spans="1:4" x14ac:dyDescent="0.25">
      <c r="A14" s="6" t="s">
        <v>3016</v>
      </c>
      <c r="B14" s="6">
        <f>SUM(01_facilities!J2:J7)</f>
        <v>67000</v>
      </c>
      <c r="C14" s="6">
        <v>67000</v>
      </c>
      <c r="D14" s="12" t="str">
        <f>IF(ABS(B14-C14)&lt;0.5,"PASS","FAIL")</f>
        <v>PASS</v>
      </c>
    </row>
    <row r="15" ht="15" customHeight="1" spans="1:4" x14ac:dyDescent="0.25">
      <c r="A15" s="6" t="s">
        <v>3017</v>
      </c>
      <c r="B15" s="6">
        <f>COUNTA(04_racks!A2:A481)</f>
        <v>480</v>
      </c>
      <c r="C15" s="6">
        <v>480</v>
      </c>
      <c r="D15" s="12" t="str">
        <f>IF(ABS(B15-C15)&lt;0.5,"PASS","FAIL")</f>
        <v>PASS</v>
      </c>
    </row>
    <row r="16" ht="15" customHeight="1" spans="1:4" x14ac:dyDescent="0.25">
      <c r="A16" s="6" t="s">
        <v>3018</v>
      </c>
      <c r="B16" s="6">
        <f>ROUND(SUM(04_racks!N2:N481),0)</f>
        <v>6800</v>
      </c>
      <c r="C16" s="6">
        <v>6800</v>
      </c>
      <c r="D16" s="12" t="str">
        <f>IF(ABS(B16-C16)&lt;0.5,"PASS","FAIL")</f>
        <v>PASS</v>
      </c>
    </row>
    <row r="17" ht="15" customHeight="1" spans="1:4" x14ac:dyDescent="0.25">
      <c r="A17" s="6" t="s">
        <v>3019</v>
      </c>
      <c r="B17" s="6">
        <f>COUNTIFS(04_racks!O2:O481,"occupied")</f>
        <v>366</v>
      </c>
      <c r="C17" s="6">
        <v>366</v>
      </c>
      <c r="D17" s="12" t="str">
        <f>IF(ABS(B17-C17)&lt;0.5,"PASS","FAIL")</f>
        <v>PASS</v>
      </c>
    </row>
    <row r="18" ht="15" customHeight="1" spans="1:4" x14ac:dyDescent="0.25">
      <c r="A18" s="6" t="s">
        <v>3020</v>
      </c>
      <c r="B18" s="6">
        <f>COUNTIFS(04_racks!C2:C481,"MUM-1-H4",04_racks!O2:O481,"free")</f>
        <v>34</v>
      </c>
      <c r="C18" s="6">
        <v>34</v>
      </c>
      <c r="D18" s="12" t="str">
        <f>IF(ABS(B18-C18)&lt;0.5,"PASS","FAIL")</f>
        <v>PASS</v>
      </c>
    </row>
    <row r="19" ht="15" customHeight="1" spans="1:4" x14ac:dyDescent="0.25">
      <c r="A19" s="6" t="s">
        <v>3021</v>
      </c>
      <c r="B19" s="6">
        <f>COUNTIFS(04_racks!O2:O481,"blocked")</f>
        <v>1</v>
      </c>
      <c r="C19" s="6">
        <v>1</v>
      </c>
      <c r="D19" s="12" t="str">
        <f>IF(ABS(B19-C19)&lt;0.5,"PASS","FAIL")</f>
        <v>PASS</v>
      </c>
    </row>
    <row r="20" ht="15" customHeight="1" spans="1:4" x14ac:dyDescent="0.25">
      <c r="A20" s="6" t="s">
        <v>3022</v>
      </c>
      <c r="B20" s="6">
        <f>COUNTA(04b_component_positions!A2:A149)</f>
        <v>148</v>
      </c>
      <c r="C20" s="6">
        <v>148</v>
      </c>
      <c r="D20" s="12" t="str">
        <f>IF(ABS(B20-C20)&lt;0.5,"PASS","FAIL")</f>
        <v>PASS</v>
      </c>
    </row>
    <row r="22" ht="15" customHeight="1" spans="1:1" x14ac:dyDescent="0.25">
      <c r="A22" s="9" t="s">
        <v>3023</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0"/>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15" customWidth="1"/>
    <col min="3" max="3" width="30" customWidth="1"/>
    <col min="4" max="4" width="12" customWidth="1"/>
    <col min="5" max="5" width="44" customWidth="1"/>
    <col min="6" max="6" width="6" customWidth="1"/>
    <col min="7" max="7" width="72" customWidth="1"/>
    <col min="8" max="8" width="18" customWidth="1"/>
    <col min="9" max="9" width="11" customWidth="1"/>
  </cols>
  <sheetData>
    <row r="1" spans="1:9" x14ac:dyDescent="0.25">
      <c r="A1" s="5" t="s">
        <v>1946</v>
      </c>
      <c r="B1" s="5" t="s">
        <v>789</v>
      </c>
      <c r="C1" s="5" t="s">
        <v>1947</v>
      </c>
      <c r="D1" s="5" t="s">
        <v>1948</v>
      </c>
      <c r="E1" s="5" t="s">
        <v>1949</v>
      </c>
      <c r="F1" s="5" t="s">
        <v>1950</v>
      </c>
      <c r="G1" s="5" t="s">
        <v>1584</v>
      </c>
      <c r="H1" s="5" t="s">
        <v>1842</v>
      </c>
      <c r="I1" s="5" t="s">
        <v>1951</v>
      </c>
    </row>
    <row r="2" spans="1:9" x14ac:dyDescent="0.25">
      <c r="A2" s="6" t="s">
        <v>1952</v>
      </c>
      <c r="B2" s="6" t="s">
        <v>831</v>
      </c>
      <c r="C2" s="6" t="s">
        <v>1953</v>
      </c>
      <c r="D2" s="6" t="s">
        <v>1954</v>
      </c>
      <c r="E2" s="6" t="s">
        <v>1955</v>
      </c>
      <c r="F2" s="8">
        <v>1</v>
      </c>
      <c r="G2" s="6" t="s">
        <v>1956</v>
      </c>
      <c r="H2" s="6" t="s">
        <v>1854</v>
      </c>
      <c r="I2" s="8">
        <v>30</v>
      </c>
    </row>
    <row r="3" spans="1:9" x14ac:dyDescent="0.25">
      <c r="A3" s="6" t="s">
        <v>1952</v>
      </c>
      <c r="B3" s="6" t="s">
        <v>831</v>
      </c>
      <c r="C3" s="6" t="s">
        <v>1953</v>
      </c>
      <c r="D3" s="6" t="s">
        <v>1954</v>
      </c>
      <c r="E3" s="6" t="s">
        <v>1955</v>
      </c>
      <c r="F3" s="8">
        <v>2</v>
      </c>
      <c r="G3" s="6" t="s">
        <v>1957</v>
      </c>
      <c r="H3" s="6" t="s">
        <v>1854</v>
      </c>
      <c r="I3" s="8">
        <v>60</v>
      </c>
    </row>
    <row r="4" spans="1:9" x14ac:dyDescent="0.25">
      <c r="A4" s="6" t="s">
        <v>1952</v>
      </c>
      <c r="B4" s="6" t="s">
        <v>831</v>
      </c>
      <c r="C4" s="6" t="s">
        <v>1953</v>
      </c>
      <c r="D4" s="6" t="s">
        <v>1954</v>
      </c>
      <c r="E4" s="6" t="s">
        <v>1955</v>
      </c>
      <c r="F4" s="8">
        <v>3</v>
      </c>
      <c r="G4" s="6" t="s">
        <v>1958</v>
      </c>
      <c r="H4" s="6" t="s">
        <v>1883</v>
      </c>
      <c r="I4" s="8">
        <v>120</v>
      </c>
    </row>
    <row r="5" spans="1:9" x14ac:dyDescent="0.25">
      <c r="A5" s="6" t="s">
        <v>1952</v>
      </c>
      <c r="B5" s="6" t="s">
        <v>831</v>
      </c>
      <c r="C5" s="6" t="s">
        <v>1953</v>
      </c>
      <c r="D5" s="6" t="s">
        <v>1954</v>
      </c>
      <c r="E5" s="6" t="s">
        <v>1955</v>
      </c>
      <c r="F5" s="8">
        <v>4</v>
      </c>
      <c r="G5" s="6" t="s">
        <v>1959</v>
      </c>
      <c r="H5" s="6" t="s">
        <v>8</v>
      </c>
      <c r="I5" s="8">
        <v>240</v>
      </c>
    </row>
    <row r="6" spans="1:9" x14ac:dyDescent="0.25">
      <c r="A6" s="6" t="s">
        <v>1952</v>
      </c>
      <c r="B6" s="6" t="s">
        <v>831</v>
      </c>
      <c r="C6" s="6" t="s">
        <v>1953</v>
      </c>
      <c r="D6" s="6" t="s">
        <v>1954</v>
      </c>
      <c r="E6" s="6" t="s">
        <v>1955</v>
      </c>
      <c r="F6" s="8">
        <v>5</v>
      </c>
      <c r="G6" s="6" t="s">
        <v>1960</v>
      </c>
      <c r="H6" s="6" t="s">
        <v>1854</v>
      </c>
      <c r="I6" s="8">
        <v>1440</v>
      </c>
    </row>
    <row r="7" spans="1:9" x14ac:dyDescent="0.25">
      <c r="A7" s="6" t="s">
        <v>1961</v>
      </c>
      <c r="B7" s="6" t="s">
        <v>989</v>
      </c>
      <c r="C7" s="6" t="s">
        <v>1962</v>
      </c>
      <c r="D7" s="6" t="s">
        <v>1954</v>
      </c>
      <c r="E7" s="6" t="s">
        <v>1963</v>
      </c>
      <c r="F7" s="8">
        <v>1</v>
      </c>
      <c r="G7" s="6" t="s">
        <v>1964</v>
      </c>
      <c r="H7" s="6" t="s">
        <v>8</v>
      </c>
      <c r="I7" s="8">
        <v>15</v>
      </c>
    </row>
    <row r="8" spans="1:9" x14ac:dyDescent="0.25">
      <c r="A8" s="6" t="s">
        <v>1961</v>
      </c>
      <c r="B8" s="6" t="s">
        <v>989</v>
      </c>
      <c r="C8" s="6" t="s">
        <v>1962</v>
      </c>
      <c r="D8" s="6" t="s">
        <v>1954</v>
      </c>
      <c r="E8" s="6" t="s">
        <v>1963</v>
      </c>
      <c r="F8" s="8">
        <v>2</v>
      </c>
      <c r="G8" s="6" t="s">
        <v>1965</v>
      </c>
      <c r="H8" s="6" t="s">
        <v>8</v>
      </c>
      <c r="I8" s="8">
        <v>30</v>
      </c>
    </row>
    <row r="9" spans="1:9" x14ac:dyDescent="0.25">
      <c r="A9" s="6" t="s">
        <v>1961</v>
      </c>
      <c r="B9" s="6" t="s">
        <v>989</v>
      </c>
      <c r="C9" s="6" t="s">
        <v>1962</v>
      </c>
      <c r="D9" s="6" t="s">
        <v>1954</v>
      </c>
      <c r="E9" s="6" t="s">
        <v>1963</v>
      </c>
      <c r="F9" s="8">
        <v>3</v>
      </c>
      <c r="G9" s="6" t="s">
        <v>1966</v>
      </c>
      <c r="H9" s="6" t="s">
        <v>8</v>
      </c>
      <c r="I9" s="8">
        <v>180</v>
      </c>
    </row>
    <row r="10" spans="1:9" x14ac:dyDescent="0.25">
      <c r="A10" s="6" t="s">
        <v>1961</v>
      </c>
      <c r="B10" s="6" t="s">
        <v>989</v>
      </c>
      <c r="C10" s="6" t="s">
        <v>1962</v>
      </c>
      <c r="D10" s="6" t="s">
        <v>1954</v>
      </c>
      <c r="E10" s="6" t="s">
        <v>1963</v>
      </c>
      <c r="F10" s="8">
        <v>4</v>
      </c>
      <c r="G10" s="6" t="s">
        <v>1967</v>
      </c>
      <c r="H10" s="6" t="s">
        <v>1892</v>
      </c>
      <c r="I10" s="8">
        <v>1440</v>
      </c>
    </row>
    <row r="11" spans="1:9" x14ac:dyDescent="0.25">
      <c r="A11" s="6" t="s">
        <v>1968</v>
      </c>
      <c r="B11" s="6" t="s">
        <v>989</v>
      </c>
      <c r="C11" s="6" t="s">
        <v>1969</v>
      </c>
      <c r="D11" s="6" t="s">
        <v>1970</v>
      </c>
      <c r="E11" s="6" t="s">
        <v>1971</v>
      </c>
      <c r="F11" s="8">
        <v>1</v>
      </c>
      <c r="G11" s="6" t="s">
        <v>1972</v>
      </c>
      <c r="H11" s="6" t="s">
        <v>8</v>
      </c>
      <c r="I11" s="8">
        <v>1440</v>
      </c>
    </row>
    <row r="12" spans="1:9" x14ac:dyDescent="0.25">
      <c r="A12" s="6" t="s">
        <v>1968</v>
      </c>
      <c r="B12" s="6" t="s">
        <v>989</v>
      </c>
      <c r="C12" s="6" t="s">
        <v>1969</v>
      </c>
      <c r="D12" s="6" t="s">
        <v>1970</v>
      </c>
      <c r="E12" s="6" t="s">
        <v>1971</v>
      </c>
      <c r="F12" s="8">
        <v>2</v>
      </c>
      <c r="G12" s="6" t="s">
        <v>1973</v>
      </c>
      <c r="H12" s="6" t="s">
        <v>8</v>
      </c>
      <c r="I12" s="8">
        <v>2880</v>
      </c>
    </row>
    <row r="13" spans="1:9" x14ac:dyDescent="0.25">
      <c r="A13" s="6" t="s">
        <v>1974</v>
      </c>
      <c r="B13" s="6" t="s">
        <v>977</v>
      </c>
      <c r="C13" s="6" t="s">
        <v>1975</v>
      </c>
      <c r="D13" s="6" t="s">
        <v>1954</v>
      </c>
      <c r="E13" s="6" t="s">
        <v>1976</v>
      </c>
      <c r="F13" s="8">
        <v>1</v>
      </c>
      <c r="G13" s="6" t="s">
        <v>1977</v>
      </c>
      <c r="H13" s="6" t="s">
        <v>8</v>
      </c>
      <c r="I13" s="8">
        <v>15</v>
      </c>
    </row>
    <row r="14" spans="1:9" x14ac:dyDescent="0.25">
      <c r="A14" s="6" t="s">
        <v>1974</v>
      </c>
      <c r="B14" s="6" t="s">
        <v>977</v>
      </c>
      <c r="C14" s="6" t="s">
        <v>1975</v>
      </c>
      <c r="D14" s="6" t="s">
        <v>1954</v>
      </c>
      <c r="E14" s="6" t="s">
        <v>1976</v>
      </c>
      <c r="F14" s="8">
        <v>2</v>
      </c>
      <c r="G14" s="6" t="s">
        <v>1978</v>
      </c>
      <c r="H14" s="6" t="s">
        <v>8</v>
      </c>
      <c r="I14" s="8">
        <v>30</v>
      </c>
    </row>
    <row r="15" spans="1:9" x14ac:dyDescent="0.25">
      <c r="A15" s="6" t="s">
        <v>1974</v>
      </c>
      <c r="B15" s="6" t="s">
        <v>977</v>
      </c>
      <c r="C15" s="6" t="s">
        <v>1975</v>
      </c>
      <c r="D15" s="6" t="s">
        <v>1954</v>
      </c>
      <c r="E15" s="6" t="s">
        <v>1976</v>
      </c>
      <c r="F15" s="8">
        <v>3</v>
      </c>
      <c r="G15" s="6" t="s">
        <v>1979</v>
      </c>
      <c r="H15" s="6" t="s">
        <v>8</v>
      </c>
      <c r="I15" s="8">
        <v>1440</v>
      </c>
    </row>
    <row r="16" spans="1:9" x14ac:dyDescent="0.25">
      <c r="A16" s="6" t="s">
        <v>1974</v>
      </c>
      <c r="B16" s="6" t="s">
        <v>977</v>
      </c>
      <c r="C16" s="6" t="s">
        <v>1975</v>
      </c>
      <c r="D16" s="6" t="s">
        <v>1954</v>
      </c>
      <c r="E16" s="6" t="s">
        <v>1976</v>
      </c>
      <c r="F16" s="8">
        <v>4</v>
      </c>
      <c r="G16" s="6" t="s">
        <v>1980</v>
      </c>
      <c r="H16" s="6" t="s">
        <v>8</v>
      </c>
      <c r="I16" s="8">
        <v>4320</v>
      </c>
    </row>
    <row r="17" spans="1:9" x14ac:dyDescent="0.25">
      <c r="A17" s="6" t="s">
        <v>1981</v>
      </c>
      <c r="B17" s="6" t="s">
        <v>977</v>
      </c>
      <c r="C17" s="6" t="s">
        <v>1982</v>
      </c>
      <c r="D17" s="6" t="s">
        <v>1970</v>
      </c>
      <c r="E17" s="6" t="s">
        <v>1983</v>
      </c>
      <c r="F17" s="8">
        <v>1</v>
      </c>
      <c r="G17" s="6" t="s">
        <v>1984</v>
      </c>
      <c r="H17" s="6" t="s">
        <v>8</v>
      </c>
      <c r="I17" s="8">
        <v>240</v>
      </c>
    </row>
    <row r="18" spans="1:9" x14ac:dyDescent="0.25">
      <c r="A18" s="6" t="s">
        <v>1981</v>
      </c>
      <c r="B18" s="6" t="s">
        <v>977</v>
      </c>
      <c r="C18" s="6" t="s">
        <v>1982</v>
      </c>
      <c r="D18" s="6" t="s">
        <v>1970</v>
      </c>
      <c r="E18" s="6" t="s">
        <v>1983</v>
      </c>
      <c r="F18" s="8">
        <v>2</v>
      </c>
      <c r="G18" s="6" t="s">
        <v>1985</v>
      </c>
      <c r="H18" s="6" t="s">
        <v>8</v>
      </c>
      <c r="I18" s="8">
        <v>480</v>
      </c>
    </row>
    <row r="19" spans="1:9" x14ac:dyDescent="0.25">
      <c r="A19" s="6" t="s">
        <v>1981</v>
      </c>
      <c r="B19" s="6" t="s">
        <v>977</v>
      </c>
      <c r="C19" s="6" t="s">
        <v>1982</v>
      </c>
      <c r="D19" s="6" t="s">
        <v>1970</v>
      </c>
      <c r="E19" s="6" t="s">
        <v>1983</v>
      </c>
      <c r="F19" s="8">
        <v>3</v>
      </c>
      <c r="G19" s="6" t="s">
        <v>1986</v>
      </c>
      <c r="H19" s="6" t="s">
        <v>8</v>
      </c>
      <c r="I19" s="8">
        <v>10080</v>
      </c>
    </row>
    <row r="20" spans="1:9" x14ac:dyDescent="0.25">
      <c r="A20" s="6" t="s">
        <v>1981</v>
      </c>
      <c r="B20" s="6" t="s">
        <v>977</v>
      </c>
      <c r="C20" s="6" t="s">
        <v>1982</v>
      </c>
      <c r="D20" s="6" t="s">
        <v>1970</v>
      </c>
      <c r="E20" s="6" t="s">
        <v>1983</v>
      </c>
      <c r="F20" s="8">
        <v>4</v>
      </c>
      <c r="G20" s="6" t="s">
        <v>1987</v>
      </c>
      <c r="H20" s="6" t="s">
        <v>1897</v>
      </c>
      <c r="I20" s="8">
        <v>10080</v>
      </c>
    </row>
    <row r="21" spans="1:9" x14ac:dyDescent="0.25">
      <c r="A21" s="6" t="s">
        <v>1988</v>
      </c>
      <c r="B21" s="6" t="s">
        <v>970</v>
      </c>
      <c r="C21" s="6" t="s">
        <v>1989</v>
      </c>
      <c r="D21" s="6" t="s">
        <v>1954</v>
      </c>
      <c r="E21" s="6" t="s">
        <v>1990</v>
      </c>
      <c r="F21" s="8">
        <v>1</v>
      </c>
      <c r="G21" s="6" t="s">
        <v>1991</v>
      </c>
      <c r="H21" s="6" t="s">
        <v>8</v>
      </c>
      <c r="I21" s="8">
        <v>30</v>
      </c>
    </row>
    <row r="22" spans="1:9" x14ac:dyDescent="0.25">
      <c r="A22" s="6" t="s">
        <v>1988</v>
      </c>
      <c r="B22" s="6" t="s">
        <v>970</v>
      </c>
      <c r="C22" s="6" t="s">
        <v>1989</v>
      </c>
      <c r="D22" s="6" t="s">
        <v>1954</v>
      </c>
      <c r="E22" s="6" t="s">
        <v>1990</v>
      </c>
      <c r="F22" s="8">
        <v>2</v>
      </c>
      <c r="G22" s="6" t="s">
        <v>1992</v>
      </c>
      <c r="H22" s="6" t="s">
        <v>8</v>
      </c>
      <c r="I22" s="8">
        <v>240</v>
      </c>
    </row>
    <row r="23" spans="1:9" x14ac:dyDescent="0.25">
      <c r="A23" s="6" t="s">
        <v>1988</v>
      </c>
      <c r="B23" s="6" t="s">
        <v>970</v>
      </c>
      <c r="C23" s="6" t="s">
        <v>1989</v>
      </c>
      <c r="D23" s="6" t="s">
        <v>1954</v>
      </c>
      <c r="E23" s="6" t="s">
        <v>1990</v>
      </c>
      <c r="F23" s="8">
        <v>3</v>
      </c>
      <c r="G23" s="6" t="s">
        <v>1993</v>
      </c>
      <c r="H23" s="6" t="s">
        <v>8</v>
      </c>
      <c r="I23" s="8">
        <v>480</v>
      </c>
    </row>
    <row r="24" spans="1:9" x14ac:dyDescent="0.25">
      <c r="A24" s="6" t="s">
        <v>1994</v>
      </c>
      <c r="B24" s="6" t="s">
        <v>970</v>
      </c>
      <c r="C24" s="6" t="s">
        <v>1995</v>
      </c>
      <c r="D24" s="6" t="s">
        <v>1996</v>
      </c>
      <c r="E24" s="6" t="s">
        <v>1997</v>
      </c>
      <c r="F24" s="8">
        <v>1</v>
      </c>
      <c r="G24" s="6" t="s">
        <v>1998</v>
      </c>
      <c r="H24" s="6" t="s">
        <v>1897</v>
      </c>
      <c r="I24" s="8">
        <v>240</v>
      </c>
    </row>
    <row r="25" spans="1:9" x14ac:dyDescent="0.25">
      <c r="A25" s="6" t="s">
        <v>1994</v>
      </c>
      <c r="B25" s="6" t="s">
        <v>970</v>
      </c>
      <c r="C25" s="6" t="s">
        <v>1995</v>
      </c>
      <c r="D25" s="6" t="s">
        <v>1996</v>
      </c>
      <c r="E25" s="6" t="s">
        <v>1997</v>
      </c>
      <c r="F25" s="8">
        <v>2</v>
      </c>
      <c r="G25" s="6" t="s">
        <v>1993</v>
      </c>
      <c r="H25" s="6" t="s">
        <v>8</v>
      </c>
      <c r="I25" s="8">
        <v>480</v>
      </c>
    </row>
    <row r="26" spans="1:9" x14ac:dyDescent="0.25">
      <c r="A26" s="6" t="s">
        <v>1994</v>
      </c>
      <c r="B26" s="6" t="s">
        <v>970</v>
      </c>
      <c r="C26" s="6" t="s">
        <v>1995</v>
      </c>
      <c r="D26" s="6" t="s">
        <v>1996</v>
      </c>
      <c r="E26" s="6" t="s">
        <v>1997</v>
      </c>
      <c r="F26" s="8">
        <v>3</v>
      </c>
      <c r="G26" s="6" t="s">
        <v>1999</v>
      </c>
      <c r="H26" s="6" t="s">
        <v>1897</v>
      </c>
      <c r="I26" s="8">
        <v>4320</v>
      </c>
    </row>
    <row r="27" spans="1:9" x14ac:dyDescent="0.25">
      <c r="A27" s="6" t="s">
        <v>2000</v>
      </c>
      <c r="B27" s="6" t="s">
        <v>982</v>
      </c>
      <c r="C27" s="6" t="s">
        <v>2001</v>
      </c>
      <c r="D27" s="6" t="s">
        <v>1970</v>
      </c>
      <c r="E27" s="6" t="s">
        <v>2002</v>
      </c>
      <c r="F27" s="8">
        <v>1</v>
      </c>
      <c r="G27" s="6" t="s">
        <v>2003</v>
      </c>
      <c r="H27" s="6" t="s">
        <v>8</v>
      </c>
      <c r="I27" s="8">
        <v>240</v>
      </c>
    </row>
    <row r="28" spans="1:9" x14ac:dyDescent="0.25">
      <c r="A28" s="6" t="s">
        <v>2000</v>
      </c>
      <c r="B28" s="6" t="s">
        <v>982</v>
      </c>
      <c r="C28" s="6" t="s">
        <v>2001</v>
      </c>
      <c r="D28" s="6" t="s">
        <v>1970</v>
      </c>
      <c r="E28" s="6" t="s">
        <v>2002</v>
      </c>
      <c r="F28" s="8">
        <v>2</v>
      </c>
      <c r="G28" s="6" t="s">
        <v>2004</v>
      </c>
      <c r="H28" s="6" t="s">
        <v>8</v>
      </c>
      <c r="I28" s="8">
        <v>4320</v>
      </c>
    </row>
    <row r="29" spans="1:9" x14ac:dyDescent="0.25">
      <c r="A29" s="6" t="s">
        <v>2005</v>
      </c>
      <c r="B29" s="6" t="s">
        <v>851</v>
      </c>
      <c r="C29" s="6" t="s">
        <v>2006</v>
      </c>
      <c r="D29" s="6" t="s">
        <v>1954</v>
      </c>
      <c r="E29" s="6" t="s">
        <v>2007</v>
      </c>
      <c r="F29" s="8">
        <v>1</v>
      </c>
      <c r="G29" s="6" t="s">
        <v>2008</v>
      </c>
      <c r="H29" s="6" t="s">
        <v>1854</v>
      </c>
      <c r="I29" s="8">
        <v>120</v>
      </c>
    </row>
    <row r="30" spans="1:9" x14ac:dyDescent="0.25">
      <c r="A30" s="6" t="s">
        <v>2005</v>
      </c>
      <c r="B30" s="6" t="s">
        <v>851</v>
      </c>
      <c r="C30" s="6" t="s">
        <v>2006</v>
      </c>
      <c r="D30" s="6" t="s">
        <v>1954</v>
      </c>
      <c r="E30" s="6" t="s">
        <v>2007</v>
      </c>
      <c r="F30" s="8">
        <v>2</v>
      </c>
      <c r="G30" s="6" t="s">
        <v>2009</v>
      </c>
      <c r="H30" s="6" t="s">
        <v>1854</v>
      </c>
      <c r="I30" s="8">
        <v>1440</v>
      </c>
    </row>
    <row r="31" spans="1:9" x14ac:dyDescent="0.25">
      <c r="A31" s="6" t="s">
        <v>2005</v>
      </c>
      <c r="B31" s="6" t="s">
        <v>851</v>
      </c>
      <c r="C31" s="6" t="s">
        <v>2006</v>
      </c>
      <c r="D31" s="6" t="s">
        <v>1954</v>
      </c>
      <c r="E31" s="6" t="s">
        <v>2007</v>
      </c>
      <c r="F31" s="8">
        <v>3</v>
      </c>
      <c r="G31" s="6" t="s">
        <v>2010</v>
      </c>
      <c r="H31" s="6" t="s">
        <v>1854</v>
      </c>
      <c r="I31" s="8">
        <v>4320</v>
      </c>
    </row>
    <row r="32" spans="1:9" x14ac:dyDescent="0.25">
      <c r="A32" s="6" t="s">
        <v>2011</v>
      </c>
      <c r="B32" s="6" t="s">
        <v>854</v>
      </c>
      <c r="C32" s="6" t="s">
        <v>2012</v>
      </c>
      <c r="D32" s="6" t="s">
        <v>792</v>
      </c>
      <c r="E32" s="6" t="s">
        <v>2013</v>
      </c>
      <c r="F32" s="8">
        <v>1</v>
      </c>
      <c r="G32" s="6" t="s">
        <v>2014</v>
      </c>
      <c r="H32" s="6" t="s">
        <v>1892</v>
      </c>
      <c r="I32" s="8">
        <v>60</v>
      </c>
    </row>
    <row r="33" spans="1:9" x14ac:dyDescent="0.25">
      <c r="A33" s="6" t="s">
        <v>2011</v>
      </c>
      <c r="B33" s="6" t="s">
        <v>854</v>
      </c>
      <c r="C33" s="6" t="s">
        <v>2012</v>
      </c>
      <c r="D33" s="6" t="s">
        <v>792</v>
      </c>
      <c r="E33" s="6" t="s">
        <v>2013</v>
      </c>
      <c r="F33" s="8">
        <v>2</v>
      </c>
      <c r="G33" s="6" t="s">
        <v>2015</v>
      </c>
      <c r="H33" s="6" t="s">
        <v>1892</v>
      </c>
      <c r="I33" s="8">
        <v>4320</v>
      </c>
    </row>
    <row r="34" spans="1:9" x14ac:dyDescent="0.25">
      <c r="A34" s="6" t="s">
        <v>2011</v>
      </c>
      <c r="B34" s="6" t="s">
        <v>854</v>
      </c>
      <c r="C34" s="6" t="s">
        <v>2012</v>
      </c>
      <c r="D34" s="6" t="s">
        <v>792</v>
      </c>
      <c r="E34" s="6" t="s">
        <v>2013</v>
      </c>
      <c r="F34" s="8">
        <v>3</v>
      </c>
      <c r="G34" s="6" t="s">
        <v>2016</v>
      </c>
      <c r="H34" s="6" t="s">
        <v>1892</v>
      </c>
      <c r="I34" s="8">
        <v>10080</v>
      </c>
    </row>
    <row r="35" spans="1:9" x14ac:dyDescent="0.25">
      <c r="A35" s="6" t="s">
        <v>2017</v>
      </c>
      <c r="B35" s="6" t="s">
        <v>818</v>
      </c>
      <c r="C35" s="6" t="s">
        <v>2018</v>
      </c>
      <c r="D35" s="6" t="s">
        <v>1954</v>
      </c>
      <c r="E35" s="6" t="s">
        <v>2019</v>
      </c>
      <c r="F35" s="8">
        <v>1</v>
      </c>
      <c r="G35" s="6" t="s">
        <v>2020</v>
      </c>
      <c r="H35" s="6" t="s">
        <v>8</v>
      </c>
      <c r="I35" s="8">
        <v>240</v>
      </c>
    </row>
    <row r="36" spans="1:9" x14ac:dyDescent="0.25">
      <c r="A36" s="6" t="s">
        <v>2017</v>
      </c>
      <c r="B36" s="6" t="s">
        <v>818</v>
      </c>
      <c r="C36" s="6" t="s">
        <v>2018</v>
      </c>
      <c r="D36" s="6" t="s">
        <v>1954</v>
      </c>
      <c r="E36" s="6" t="s">
        <v>2019</v>
      </c>
      <c r="F36" s="8">
        <v>2</v>
      </c>
      <c r="G36" s="6" t="s">
        <v>2021</v>
      </c>
      <c r="H36" s="6" t="s">
        <v>1854</v>
      </c>
      <c r="I36" s="8">
        <v>1440</v>
      </c>
    </row>
    <row r="37" spans="1:9" x14ac:dyDescent="0.25">
      <c r="A37" s="6" t="s">
        <v>2017</v>
      </c>
      <c r="B37" s="6" t="s">
        <v>818</v>
      </c>
      <c r="C37" s="6" t="s">
        <v>2018</v>
      </c>
      <c r="D37" s="6" t="s">
        <v>1954</v>
      </c>
      <c r="E37" s="6" t="s">
        <v>2019</v>
      </c>
      <c r="F37" s="8">
        <v>3</v>
      </c>
      <c r="G37" s="6" t="s">
        <v>2022</v>
      </c>
      <c r="H37" s="6" t="s">
        <v>8</v>
      </c>
      <c r="I37" s="8">
        <v>10080</v>
      </c>
    </row>
    <row r="38" spans="1:9" x14ac:dyDescent="0.25">
      <c r="A38" s="6" t="s">
        <v>2023</v>
      </c>
      <c r="B38" s="6" t="s">
        <v>802</v>
      </c>
      <c r="C38" s="6" t="s">
        <v>2024</v>
      </c>
      <c r="D38" s="6" t="s">
        <v>792</v>
      </c>
      <c r="E38" s="6" t="s">
        <v>2025</v>
      </c>
      <c r="F38" s="8">
        <v>1</v>
      </c>
      <c r="G38" s="6" t="s">
        <v>2026</v>
      </c>
      <c r="H38" s="6" t="s">
        <v>1892</v>
      </c>
      <c r="I38" s="8">
        <v>60</v>
      </c>
    </row>
    <row r="39" spans="1:9" x14ac:dyDescent="0.25">
      <c r="A39" s="6" t="s">
        <v>2023</v>
      </c>
      <c r="B39" s="6" t="s">
        <v>802</v>
      </c>
      <c r="C39" s="6" t="s">
        <v>2024</v>
      </c>
      <c r="D39" s="6" t="s">
        <v>792</v>
      </c>
      <c r="E39" s="6" t="s">
        <v>2025</v>
      </c>
      <c r="F39" s="8">
        <v>2</v>
      </c>
      <c r="G39" s="6" t="s">
        <v>2027</v>
      </c>
      <c r="H39" s="6" t="s">
        <v>1892</v>
      </c>
      <c r="I39" s="8">
        <v>1440</v>
      </c>
    </row>
    <row r="40" spans="1:9" x14ac:dyDescent="0.25">
      <c r="A40" s="6" t="s">
        <v>2023</v>
      </c>
      <c r="B40" s="6" t="s">
        <v>802</v>
      </c>
      <c r="C40" s="6" t="s">
        <v>2024</v>
      </c>
      <c r="D40" s="6" t="s">
        <v>792</v>
      </c>
      <c r="E40" s="6" t="s">
        <v>2025</v>
      </c>
      <c r="F40" s="8">
        <v>3</v>
      </c>
      <c r="G40" s="6" t="s">
        <v>2028</v>
      </c>
      <c r="H40" s="6" t="s">
        <v>1883</v>
      </c>
      <c r="I40" s="8">
        <v>10080</v>
      </c>
    </row>
    <row r="41" spans="1:9" x14ac:dyDescent="0.25">
      <c r="A41" s="6" t="s">
        <v>2029</v>
      </c>
      <c r="B41" s="6" t="s">
        <v>812</v>
      </c>
      <c r="C41" s="6" t="s">
        <v>2030</v>
      </c>
      <c r="D41" s="6" t="s">
        <v>1954</v>
      </c>
      <c r="E41" s="6" t="s">
        <v>2031</v>
      </c>
      <c r="F41" s="8">
        <v>1</v>
      </c>
      <c r="G41" s="6" t="s">
        <v>2032</v>
      </c>
      <c r="H41" s="6" t="s">
        <v>1854</v>
      </c>
      <c r="I41" s="8">
        <v>10080</v>
      </c>
    </row>
    <row r="42" spans="1:9" x14ac:dyDescent="0.25">
      <c r="A42" s="6" t="s">
        <v>2029</v>
      </c>
      <c r="B42" s="6" t="s">
        <v>812</v>
      </c>
      <c r="C42" s="6" t="s">
        <v>2030</v>
      </c>
      <c r="D42" s="6" t="s">
        <v>1954</v>
      </c>
      <c r="E42" s="6" t="s">
        <v>2031</v>
      </c>
      <c r="F42" s="8">
        <v>2</v>
      </c>
      <c r="G42" s="6" t="s">
        <v>2033</v>
      </c>
      <c r="H42" s="6" t="s">
        <v>1854</v>
      </c>
      <c r="I42" s="8">
        <v>1440</v>
      </c>
    </row>
    <row r="43" spans="1:9" x14ac:dyDescent="0.25">
      <c r="A43" s="6" t="s">
        <v>2029</v>
      </c>
      <c r="B43" s="6" t="s">
        <v>812</v>
      </c>
      <c r="C43" s="6" t="s">
        <v>2030</v>
      </c>
      <c r="D43" s="6" t="s">
        <v>1954</v>
      </c>
      <c r="E43" s="6" t="s">
        <v>2031</v>
      </c>
      <c r="F43" s="8">
        <v>3</v>
      </c>
      <c r="G43" s="6" t="s">
        <v>2034</v>
      </c>
      <c r="H43" s="6" t="s">
        <v>1854</v>
      </c>
      <c r="I43" s="8">
        <v>20160</v>
      </c>
    </row>
    <row r="44" spans="1:9" x14ac:dyDescent="0.25">
      <c r="A44" s="6" t="s">
        <v>2029</v>
      </c>
      <c r="B44" s="6" t="s">
        <v>812</v>
      </c>
      <c r="C44" s="6" t="s">
        <v>2030</v>
      </c>
      <c r="D44" s="6" t="s">
        <v>1954</v>
      </c>
      <c r="E44" s="6" t="s">
        <v>2031</v>
      </c>
      <c r="F44" s="8">
        <v>4</v>
      </c>
      <c r="G44" s="6" t="s">
        <v>2035</v>
      </c>
      <c r="H44" s="6" t="s">
        <v>1883</v>
      </c>
      <c r="I44" s="8">
        <v>10080</v>
      </c>
    </row>
    <row r="45" spans="1:9" x14ac:dyDescent="0.25">
      <c r="A45" s="6" t="s">
        <v>2036</v>
      </c>
      <c r="B45" s="6" t="s">
        <v>1063</v>
      </c>
      <c r="C45" s="6" t="s">
        <v>2037</v>
      </c>
      <c r="D45" s="6" t="s">
        <v>792</v>
      </c>
      <c r="E45" s="6" t="s">
        <v>2038</v>
      </c>
      <c r="F45" s="8">
        <v>1</v>
      </c>
      <c r="G45" s="6" t="s">
        <v>2039</v>
      </c>
      <c r="H45" s="6" t="s">
        <v>1892</v>
      </c>
      <c r="I45" s="8">
        <v>1440</v>
      </c>
    </row>
    <row r="46" spans="1:9" x14ac:dyDescent="0.25">
      <c r="A46" s="6" t="s">
        <v>2036</v>
      </c>
      <c r="B46" s="6" t="s">
        <v>1063</v>
      </c>
      <c r="C46" s="6" t="s">
        <v>2037</v>
      </c>
      <c r="D46" s="6" t="s">
        <v>792</v>
      </c>
      <c r="E46" s="6" t="s">
        <v>2038</v>
      </c>
      <c r="F46" s="8">
        <v>2</v>
      </c>
      <c r="G46" s="6" t="s">
        <v>2040</v>
      </c>
      <c r="H46" s="6" t="s">
        <v>1892</v>
      </c>
      <c r="I46" s="8">
        <v>4320</v>
      </c>
    </row>
    <row r="48" spans="1:1" x14ac:dyDescent="0.25">
      <c r="A48" s="9" t="s">
        <v>2041</v>
      </c>
    </row>
    <row r="49" spans="1:1" x14ac:dyDescent="0.25">
      <c r="A49" s="9" t="s">
        <v>2042</v>
      </c>
    </row>
    <row r="50" spans="1:1" x14ac:dyDescent="0.25">
      <c r="A50" s="9" t="s">
        <v>2043</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2" customWidth="1"/>
    <col min="3" max="3" width="13" customWidth="1"/>
    <col min="4" max="4" width="15" customWidth="1"/>
    <col min="5" max="5" width="13" customWidth="1"/>
    <col min="6" max="6" width="14" customWidth="1"/>
    <col min="7" max="7" width="12" customWidth="1"/>
    <col min="8" max="8" width="64" customWidth="1"/>
  </cols>
  <sheetData>
    <row r="1" spans="1:8" x14ac:dyDescent="0.25">
      <c r="A1" s="5" t="s">
        <v>42</v>
      </c>
      <c r="B1" s="5" t="s">
        <v>2044</v>
      </c>
      <c r="C1" s="5" t="s">
        <v>2045</v>
      </c>
      <c r="D1" s="5" t="s">
        <v>2046</v>
      </c>
      <c r="E1" s="5" t="s">
        <v>2047</v>
      </c>
      <c r="F1" s="5" t="s">
        <v>2048</v>
      </c>
      <c r="G1" s="5" t="s">
        <v>2049</v>
      </c>
      <c r="H1" s="5" t="s">
        <v>2050</v>
      </c>
    </row>
    <row r="2" spans="1:8" x14ac:dyDescent="0.25">
      <c r="A2" s="6" t="s">
        <v>61</v>
      </c>
      <c r="B2" s="6" t="s">
        <v>2051</v>
      </c>
      <c r="C2" s="8">
        <v>4</v>
      </c>
      <c r="D2" s="8">
        <v>3</v>
      </c>
      <c r="E2" s="8">
        <v>2</v>
      </c>
      <c r="F2" s="8">
        <v>3</v>
      </c>
      <c r="G2" s="8">
        <v>18</v>
      </c>
      <c r="H2" s="6" t="s">
        <v>2052</v>
      </c>
    </row>
    <row r="3" spans="1:8" x14ac:dyDescent="0.25">
      <c r="A3" s="6" t="s">
        <v>69</v>
      </c>
      <c r="B3" s="6" t="s">
        <v>2051</v>
      </c>
      <c r="C3" s="8">
        <v>4</v>
      </c>
      <c r="D3" s="8">
        <v>3</v>
      </c>
      <c r="E3" s="8">
        <v>2</v>
      </c>
      <c r="F3" s="8">
        <v>5</v>
      </c>
      <c r="G3" s="8">
        <v>23</v>
      </c>
      <c r="H3" s="6" t="s">
        <v>2053</v>
      </c>
    </row>
    <row r="4" spans="1:8" x14ac:dyDescent="0.25">
      <c r="A4" s="6" t="s">
        <v>73</v>
      </c>
      <c r="B4" s="6" t="s">
        <v>2051</v>
      </c>
      <c r="C4" s="8">
        <v>4</v>
      </c>
      <c r="D4" s="8">
        <v>4</v>
      </c>
      <c r="E4" s="8">
        <v>4</v>
      </c>
      <c r="F4" s="8">
        <v>4</v>
      </c>
      <c r="G4" s="8">
        <v>27</v>
      </c>
      <c r="H4" s="6" t="s">
        <v>2054</v>
      </c>
    </row>
    <row r="5" spans="1:8" x14ac:dyDescent="0.25">
      <c r="A5" s="6" t="s">
        <v>79</v>
      </c>
      <c r="B5" s="6" t="s">
        <v>2055</v>
      </c>
      <c r="C5" s="8">
        <v>3</v>
      </c>
      <c r="D5" s="8">
        <v>1</v>
      </c>
      <c r="E5" s="8">
        <v>4</v>
      </c>
      <c r="F5" s="8">
        <v>2</v>
      </c>
      <c r="G5" s="8">
        <v>11</v>
      </c>
      <c r="H5" s="6" t="s">
        <v>2056</v>
      </c>
    </row>
    <row r="6" spans="1:8" x14ac:dyDescent="0.25">
      <c r="A6" s="6" t="s">
        <v>85</v>
      </c>
      <c r="B6" s="6" t="s">
        <v>2057</v>
      </c>
      <c r="C6" s="8">
        <v>3</v>
      </c>
      <c r="D6" s="8">
        <v>1</v>
      </c>
      <c r="E6" s="8">
        <v>5</v>
      </c>
      <c r="F6" s="8">
        <v>7</v>
      </c>
      <c r="G6" s="8">
        <v>34</v>
      </c>
      <c r="H6" s="6" t="s">
        <v>2058</v>
      </c>
    </row>
    <row r="7" spans="1:8" x14ac:dyDescent="0.25">
      <c r="A7" s="6" t="s">
        <v>91</v>
      </c>
      <c r="B7" s="6" t="s">
        <v>2055</v>
      </c>
      <c r="C7" s="8">
        <v>3</v>
      </c>
      <c r="D7" s="8">
        <v>1</v>
      </c>
      <c r="E7" s="8">
        <v>2</v>
      </c>
      <c r="F7" s="6"/>
      <c r="G7" s="6"/>
      <c r="H7" s="6" t="s">
        <v>2059</v>
      </c>
    </row>
    <row r="9" spans="1:1" x14ac:dyDescent="0.25">
      <c r="A9" s="9" t="s">
        <v>2060</v>
      </c>
    </row>
    <row r="10" spans="1:1" x14ac:dyDescent="0.25">
      <c r="A10" s="9" t="s">
        <v>2061</v>
      </c>
    </row>
    <row r="11" spans="1:1" x14ac:dyDescent="0.25">
      <c r="A11" s="9" t="s">
        <v>2062</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
  <sheetViews>
    <sheetView workbookViewId="0">
      <pane ySplit="1" topLeftCell="A2" activePane="bottomLeft" state="frozen"/>
      <selection pane="bottomLeft"/>
    </sheetView>
  </sheetViews>
  <sheetFormatPr defaultRowHeight="15" outlineLevelRow="0" outlineLevelCol="0" x14ac:dyDescent="55"/>
  <cols>
    <col min="1" max="1" width="15" customWidth="1"/>
    <col min="2" max="2" width="11" customWidth="1"/>
    <col min="3" max="3" width="15" customWidth="1"/>
    <col min="4" max="4" width="13" customWidth="1"/>
    <col min="5" max="5" width="15" customWidth="1"/>
    <col min="6" max="6" width="14" customWidth="1"/>
    <col min="7" max="7" width="64" customWidth="1"/>
  </cols>
  <sheetData>
    <row r="1" spans="1:7" x14ac:dyDescent="0.25">
      <c r="A1" s="5" t="s">
        <v>789</v>
      </c>
      <c r="B1" s="5" t="s">
        <v>2063</v>
      </c>
      <c r="C1" s="5" t="s">
        <v>2064</v>
      </c>
      <c r="D1" s="5" t="s">
        <v>2065</v>
      </c>
      <c r="E1" s="5" t="s">
        <v>800</v>
      </c>
      <c r="F1" s="5" t="s">
        <v>2066</v>
      </c>
      <c r="G1" s="5" t="s">
        <v>2067</v>
      </c>
    </row>
    <row r="2" spans="1:7" x14ac:dyDescent="0.25">
      <c r="A2" s="6" t="s">
        <v>831</v>
      </c>
      <c r="B2" s="6" t="s">
        <v>2068</v>
      </c>
      <c r="C2" s="6" t="s">
        <v>2069</v>
      </c>
      <c r="D2" s="6" t="s">
        <v>2070</v>
      </c>
      <c r="E2" s="8">
        <v>16</v>
      </c>
      <c r="F2" s="8">
        <v>0</v>
      </c>
      <c r="G2" s="6" t="s">
        <v>2071</v>
      </c>
    </row>
    <row r="3" spans="1:7" x14ac:dyDescent="0.25">
      <c r="A3" s="6" t="s">
        <v>854</v>
      </c>
      <c r="B3" s="6" t="s">
        <v>2072</v>
      </c>
      <c r="C3" s="6" t="s">
        <v>2073</v>
      </c>
      <c r="D3" s="6" t="s">
        <v>2074</v>
      </c>
      <c r="E3" s="8">
        <v>10</v>
      </c>
      <c r="F3" s="8">
        <v>2</v>
      </c>
      <c r="G3" s="6" t="s">
        <v>2075</v>
      </c>
    </row>
    <row r="4" spans="1:7" x14ac:dyDescent="0.25">
      <c r="A4" s="6" t="s">
        <v>847</v>
      </c>
      <c r="B4" s="6" t="s">
        <v>2072</v>
      </c>
      <c r="C4" s="6" t="s">
        <v>2073</v>
      </c>
      <c r="D4" s="6" t="s">
        <v>2074</v>
      </c>
      <c r="E4" s="8">
        <v>9</v>
      </c>
      <c r="F4" s="8">
        <v>1</v>
      </c>
      <c r="G4" s="6" t="s">
        <v>2076</v>
      </c>
    </row>
    <row r="5" spans="1:7" x14ac:dyDescent="0.25">
      <c r="A5" s="6" t="s">
        <v>851</v>
      </c>
      <c r="B5" s="6" t="s">
        <v>2077</v>
      </c>
      <c r="C5" s="6" t="s">
        <v>2078</v>
      </c>
      <c r="D5" s="6" t="s">
        <v>2070</v>
      </c>
      <c r="E5" s="8">
        <v>14</v>
      </c>
      <c r="F5" s="8">
        <v>0</v>
      </c>
      <c r="G5" s="6" t="s">
        <v>2079</v>
      </c>
    </row>
    <row r="6" spans="1:7" x14ac:dyDescent="0.25">
      <c r="A6" s="6" t="s">
        <v>989</v>
      </c>
      <c r="B6" s="6" t="s">
        <v>2080</v>
      </c>
      <c r="C6" s="6" t="s">
        <v>2081</v>
      </c>
      <c r="D6" s="6" t="s">
        <v>2074</v>
      </c>
      <c r="E6" s="8">
        <v>8</v>
      </c>
      <c r="F6" s="8">
        <v>1</v>
      </c>
      <c r="G6" s="6" t="s">
        <v>2082</v>
      </c>
    </row>
    <row r="7" spans="1:7" x14ac:dyDescent="0.25">
      <c r="A7" s="6" t="s">
        <v>977</v>
      </c>
      <c r="B7" s="6" t="s">
        <v>2083</v>
      </c>
      <c r="C7" s="6" t="s">
        <v>2084</v>
      </c>
      <c r="D7" s="6" t="s">
        <v>2070</v>
      </c>
      <c r="E7" s="8">
        <v>22</v>
      </c>
      <c r="F7" s="8">
        <v>0</v>
      </c>
      <c r="G7" s="6" t="s">
        <v>2085</v>
      </c>
    </row>
    <row r="8" spans="1:7" x14ac:dyDescent="0.25">
      <c r="A8" s="6" t="s">
        <v>970</v>
      </c>
      <c r="B8" s="6" t="s">
        <v>2086</v>
      </c>
      <c r="C8" s="6" t="s">
        <v>2073</v>
      </c>
      <c r="D8" s="6" t="s">
        <v>2074</v>
      </c>
      <c r="E8" s="8">
        <v>12</v>
      </c>
      <c r="F8" s="8">
        <v>0</v>
      </c>
      <c r="G8" s="6" t="s">
        <v>2087</v>
      </c>
    </row>
    <row r="9" spans="1:7" x14ac:dyDescent="0.25">
      <c r="A9" s="6" t="s">
        <v>982</v>
      </c>
      <c r="B9" s="6" t="s">
        <v>2086</v>
      </c>
      <c r="C9" s="6" t="s">
        <v>2073</v>
      </c>
      <c r="D9" s="6" t="s">
        <v>2074</v>
      </c>
      <c r="E9" s="8">
        <v>6</v>
      </c>
      <c r="F9" s="8">
        <v>0</v>
      </c>
      <c r="G9" s="6" t="s">
        <v>2088</v>
      </c>
    </row>
    <row r="10" spans="1:7" x14ac:dyDescent="0.25">
      <c r="A10" s="6" t="s">
        <v>818</v>
      </c>
      <c r="B10" s="6" t="s">
        <v>2089</v>
      </c>
      <c r="C10" s="6" t="s">
        <v>2090</v>
      </c>
      <c r="D10" s="6" t="s">
        <v>2074</v>
      </c>
      <c r="E10" s="8">
        <v>26</v>
      </c>
      <c r="F10" s="8">
        <v>0</v>
      </c>
      <c r="G10" s="6" t="s">
        <v>2091</v>
      </c>
    </row>
    <row r="11" spans="1:7" x14ac:dyDescent="0.25">
      <c r="A11" s="6" t="s">
        <v>812</v>
      </c>
      <c r="B11" s="6" t="s">
        <v>2092</v>
      </c>
      <c r="C11" s="6" t="s">
        <v>2073</v>
      </c>
      <c r="D11" s="6" t="s">
        <v>2074</v>
      </c>
      <c r="E11" s="8">
        <v>34</v>
      </c>
      <c r="F11" s="8">
        <v>0</v>
      </c>
      <c r="G11" s="6" t="s">
        <v>2093</v>
      </c>
    </row>
    <row r="12" spans="1:7" x14ac:dyDescent="0.25">
      <c r="A12" s="6" t="s">
        <v>826</v>
      </c>
      <c r="B12" s="6" t="s">
        <v>2094</v>
      </c>
      <c r="C12" s="6" t="s">
        <v>2095</v>
      </c>
      <c r="D12" s="6" t="s">
        <v>2070</v>
      </c>
      <c r="E12" s="8">
        <v>20</v>
      </c>
      <c r="F12" s="8">
        <v>0</v>
      </c>
      <c r="G12" s="6" t="s">
        <v>2096</v>
      </c>
    </row>
    <row r="14" spans="1:1" x14ac:dyDescent="0.25">
      <c r="A14" s="9" t="s">
        <v>2097</v>
      </c>
    </row>
    <row r="15" spans="1:1" x14ac:dyDescent="0.25">
      <c r="A15" s="9" t="s">
        <v>2098</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0"/>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3" width="11" customWidth="1"/>
    <col min="4" max="4" width="7" customWidth="1"/>
    <col min="5" max="5" width="13" customWidth="1"/>
    <col min="6" max="6" width="26" customWidth="1"/>
    <col min="7" max="8" width="10" customWidth="1"/>
    <col min="9" max="9" width="8" customWidth="1"/>
    <col min="10" max="10" width="17" customWidth="1"/>
  </cols>
  <sheetData>
    <row r="1" spans="1:10" x14ac:dyDescent="0.25">
      <c r="A1" s="5" t="s">
        <v>2099</v>
      </c>
      <c r="B1" s="5" t="s">
        <v>42</v>
      </c>
      <c r="C1" s="5" t="s">
        <v>99</v>
      </c>
      <c r="D1" s="5" t="s">
        <v>139</v>
      </c>
      <c r="E1" s="5" t="s">
        <v>788</v>
      </c>
      <c r="F1" s="5" t="s">
        <v>2100</v>
      </c>
      <c r="G1" s="5" t="s">
        <v>2101</v>
      </c>
      <c r="H1" s="5" t="s">
        <v>2102</v>
      </c>
      <c r="I1" s="5" t="s">
        <v>2103</v>
      </c>
      <c r="J1" s="5" t="s">
        <v>2104</v>
      </c>
    </row>
    <row r="2" spans="1:10" x14ac:dyDescent="0.25">
      <c r="A2" s="6" t="s">
        <v>2105</v>
      </c>
      <c r="B2" s="6" t="s">
        <v>61</v>
      </c>
      <c r="C2" s="6" t="s">
        <v>108</v>
      </c>
      <c r="D2" s="6" t="s">
        <v>150</v>
      </c>
      <c r="E2" s="6" t="s">
        <v>204</v>
      </c>
      <c r="F2" s="6" t="s">
        <v>2106</v>
      </c>
      <c r="G2" s="10">
        <v>21.3</v>
      </c>
      <c r="H2" s="6"/>
      <c r="I2" s="8">
        <v>27</v>
      </c>
      <c r="J2" s="6" t="s">
        <v>2107</v>
      </c>
    </row>
    <row r="3" spans="1:10" x14ac:dyDescent="0.25">
      <c r="A3" s="6" t="s">
        <v>2108</v>
      </c>
      <c r="B3" s="6" t="s">
        <v>61</v>
      </c>
      <c r="C3" s="6" t="s">
        <v>108</v>
      </c>
      <c r="D3" s="6" t="s">
        <v>150</v>
      </c>
      <c r="E3" s="6" t="s">
        <v>216</v>
      </c>
      <c r="F3" s="6" t="s">
        <v>2109</v>
      </c>
      <c r="G3" s="10">
        <v>21.9</v>
      </c>
      <c r="H3" s="6"/>
      <c r="I3" s="8">
        <v>27</v>
      </c>
      <c r="J3" s="6" t="s">
        <v>2107</v>
      </c>
    </row>
    <row r="4" spans="1:10" x14ac:dyDescent="0.25">
      <c r="A4" s="6" t="s">
        <v>2110</v>
      </c>
      <c r="B4" s="6" t="s">
        <v>61</v>
      </c>
      <c r="C4" s="6" t="s">
        <v>108</v>
      </c>
      <c r="D4" s="6" t="s">
        <v>152</v>
      </c>
      <c r="E4" s="6" t="s">
        <v>229</v>
      </c>
      <c r="F4" s="6" t="s">
        <v>2106</v>
      </c>
      <c r="G4" s="10">
        <v>21.3</v>
      </c>
      <c r="H4" s="6"/>
      <c r="I4" s="8">
        <v>27</v>
      </c>
      <c r="J4" s="6" t="s">
        <v>2107</v>
      </c>
    </row>
    <row r="5" spans="1:10" x14ac:dyDescent="0.25">
      <c r="A5" s="6" t="s">
        <v>2111</v>
      </c>
      <c r="B5" s="6" t="s">
        <v>61</v>
      </c>
      <c r="C5" s="6" t="s">
        <v>108</v>
      </c>
      <c r="D5" s="6" t="s">
        <v>152</v>
      </c>
      <c r="E5" s="6" t="s">
        <v>241</v>
      </c>
      <c r="F5" s="6" t="s">
        <v>2109</v>
      </c>
      <c r="G5" s="8">
        <v>22</v>
      </c>
      <c r="H5" s="6"/>
      <c r="I5" s="8">
        <v>27</v>
      </c>
      <c r="J5" s="6" t="s">
        <v>2107</v>
      </c>
    </row>
    <row r="6" spans="1:10" x14ac:dyDescent="0.25">
      <c r="A6" s="6" t="s">
        <v>2112</v>
      </c>
      <c r="B6" s="6" t="s">
        <v>61</v>
      </c>
      <c r="C6" s="6" t="s">
        <v>108</v>
      </c>
      <c r="D6" s="6" t="s">
        <v>153</v>
      </c>
      <c r="E6" s="6" t="s">
        <v>254</v>
      </c>
      <c r="F6" s="6" t="s">
        <v>2106</v>
      </c>
      <c r="G6" s="10">
        <v>20.9</v>
      </c>
      <c r="H6" s="6"/>
      <c r="I6" s="8">
        <v>27</v>
      </c>
      <c r="J6" s="6" t="s">
        <v>2107</v>
      </c>
    </row>
    <row r="7" spans="1:10" x14ac:dyDescent="0.25">
      <c r="A7" s="6" t="s">
        <v>2113</v>
      </c>
      <c r="B7" s="6" t="s">
        <v>61</v>
      </c>
      <c r="C7" s="6" t="s">
        <v>108</v>
      </c>
      <c r="D7" s="6" t="s">
        <v>153</v>
      </c>
      <c r="E7" s="6" t="s">
        <v>266</v>
      </c>
      <c r="F7" s="6" t="s">
        <v>2109</v>
      </c>
      <c r="G7" s="10">
        <v>21.7</v>
      </c>
      <c r="H7" s="6"/>
      <c r="I7" s="8">
        <v>27</v>
      </c>
      <c r="J7" s="6" t="s">
        <v>2107</v>
      </c>
    </row>
    <row r="8" spans="1:10" x14ac:dyDescent="0.25">
      <c r="A8" s="6" t="s">
        <v>2114</v>
      </c>
      <c r="B8" s="6" t="s">
        <v>61</v>
      </c>
      <c r="C8" s="6" t="s">
        <v>108</v>
      </c>
      <c r="D8" s="6" t="s">
        <v>157</v>
      </c>
      <c r="E8" s="6" t="s">
        <v>280</v>
      </c>
      <c r="F8" s="6" t="s">
        <v>2106</v>
      </c>
      <c r="G8" s="10">
        <v>21.1</v>
      </c>
      <c r="H8" s="6"/>
      <c r="I8" s="8">
        <v>27</v>
      </c>
      <c r="J8" s="6" t="s">
        <v>2107</v>
      </c>
    </row>
    <row r="9" spans="1:10" x14ac:dyDescent="0.25">
      <c r="A9" s="6" t="s">
        <v>2115</v>
      </c>
      <c r="B9" s="6" t="s">
        <v>61</v>
      </c>
      <c r="C9" s="6" t="s">
        <v>108</v>
      </c>
      <c r="D9" s="6" t="s">
        <v>157</v>
      </c>
      <c r="E9" s="6" t="s">
        <v>292</v>
      </c>
      <c r="F9" s="6" t="s">
        <v>2109</v>
      </c>
      <c r="G9" s="8">
        <v>22</v>
      </c>
      <c r="H9" s="6"/>
      <c r="I9" s="8">
        <v>27</v>
      </c>
      <c r="J9" s="6" t="s">
        <v>2107</v>
      </c>
    </row>
    <row r="10" spans="1:10" x14ac:dyDescent="0.25">
      <c r="A10" s="6" t="s">
        <v>2116</v>
      </c>
      <c r="B10" s="6" t="s">
        <v>61</v>
      </c>
      <c r="C10" s="6" t="s">
        <v>108</v>
      </c>
      <c r="D10" s="6" t="s">
        <v>158</v>
      </c>
      <c r="E10" s="6" t="s">
        <v>305</v>
      </c>
      <c r="F10" s="6" t="s">
        <v>2106</v>
      </c>
      <c r="G10" s="10">
        <v>20.9</v>
      </c>
      <c r="H10" s="6"/>
      <c r="I10" s="8">
        <v>27</v>
      </c>
      <c r="J10" s="6" t="s">
        <v>2107</v>
      </c>
    </row>
    <row r="11" spans="1:10" x14ac:dyDescent="0.25">
      <c r="A11" s="6" t="s">
        <v>2117</v>
      </c>
      <c r="B11" s="6" t="s">
        <v>61</v>
      </c>
      <c r="C11" s="6" t="s">
        <v>108</v>
      </c>
      <c r="D11" s="6" t="s">
        <v>158</v>
      </c>
      <c r="E11" s="6" t="s">
        <v>317</v>
      </c>
      <c r="F11" s="6" t="s">
        <v>2109</v>
      </c>
      <c r="G11" s="10">
        <v>21.9</v>
      </c>
      <c r="H11" s="6"/>
      <c r="I11" s="8">
        <v>27</v>
      </c>
      <c r="J11" s="6" t="s">
        <v>2107</v>
      </c>
    </row>
    <row r="12" spans="1:10" x14ac:dyDescent="0.25">
      <c r="A12" s="6" t="s">
        <v>2118</v>
      </c>
      <c r="B12" s="6" t="s">
        <v>61</v>
      </c>
      <c r="C12" s="6" t="s">
        <v>108</v>
      </c>
      <c r="D12" s="6" t="s">
        <v>159</v>
      </c>
      <c r="E12" s="6" t="s">
        <v>330</v>
      </c>
      <c r="F12" s="6" t="s">
        <v>2106</v>
      </c>
      <c r="G12" s="10">
        <v>20.8</v>
      </c>
      <c r="H12" s="6"/>
      <c r="I12" s="8">
        <v>27</v>
      </c>
      <c r="J12" s="6" t="s">
        <v>2107</v>
      </c>
    </row>
    <row r="13" spans="1:10" x14ac:dyDescent="0.25">
      <c r="A13" s="6" t="s">
        <v>2119</v>
      </c>
      <c r="B13" s="6" t="s">
        <v>61</v>
      </c>
      <c r="C13" s="6" t="s">
        <v>108</v>
      </c>
      <c r="D13" s="6" t="s">
        <v>159</v>
      </c>
      <c r="E13" s="6" t="s">
        <v>342</v>
      </c>
      <c r="F13" s="6" t="s">
        <v>2109</v>
      </c>
      <c r="G13" s="10">
        <v>21.9</v>
      </c>
      <c r="H13" s="6"/>
      <c r="I13" s="8">
        <v>27</v>
      </c>
      <c r="J13" s="6" t="s">
        <v>2107</v>
      </c>
    </row>
    <row r="14" spans="1:10" x14ac:dyDescent="0.25">
      <c r="A14" s="6" t="s">
        <v>2120</v>
      </c>
      <c r="B14" s="6" t="s">
        <v>61</v>
      </c>
      <c r="C14" s="6" t="s">
        <v>112</v>
      </c>
      <c r="D14" s="6" t="s">
        <v>160</v>
      </c>
      <c r="E14" s="6" t="s">
        <v>354</v>
      </c>
      <c r="F14" s="6" t="s">
        <v>2106</v>
      </c>
      <c r="G14" s="10">
        <v>21.6</v>
      </c>
      <c r="H14" s="6"/>
      <c r="I14" s="8">
        <v>27</v>
      </c>
      <c r="J14" s="6" t="s">
        <v>2107</v>
      </c>
    </row>
    <row r="15" spans="1:10" x14ac:dyDescent="0.25">
      <c r="A15" s="6" t="s">
        <v>2121</v>
      </c>
      <c r="B15" s="6" t="s">
        <v>61</v>
      </c>
      <c r="C15" s="6" t="s">
        <v>112</v>
      </c>
      <c r="D15" s="6" t="s">
        <v>160</v>
      </c>
      <c r="E15" s="6" t="s">
        <v>366</v>
      </c>
      <c r="F15" s="6" t="s">
        <v>2109</v>
      </c>
      <c r="G15" s="10">
        <v>22.2</v>
      </c>
      <c r="H15" s="6"/>
      <c r="I15" s="8">
        <v>27</v>
      </c>
      <c r="J15" s="6" t="s">
        <v>2107</v>
      </c>
    </row>
    <row r="16" spans="1:10" x14ac:dyDescent="0.25">
      <c r="A16" s="6" t="s">
        <v>2122</v>
      </c>
      <c r="B16" s="6" t="s">
        <v>61</v>
      </c>
      <c r="C16" s="6" t="s">
        <v>112</v>
      </c>
      <c r="D16" s="6" t="s">
        <v>162</v>
      </c>
      <c r="E16" s="6" t="s">
        <v>378</v>
      </c>
      <c r="F16" s="6" t="s">
        <v>2106</v>
      </c>
      <c r="G16" s="10">
        <v>21.2</v>
      </c>
      <c r="H16" s="6"/>
      <c r="I16" s="8">
        <v>27</v>
      </c>
      <c r="J16" s="6" t="s">
        <v>2107</v>
      </c>
    </row>
    <row r="17" spans="1:10" x14ac:dyDescent="0.25">
      <c r="A17" s="6" t="s">
        <v>2123</v>
      </c>
      <c r="B17" s="6" t="s">
        <v>61</v>
      </c>
      <c r="C17" s="6" t="s">
        <v>112</v>
      </c>
      <c r="D17" s="6" t="s">
        <v>162</v>
      </c>
      <c r="E17" s="6" t="s">
        <v>390</v>
      </c>
      <c r="F17" s="6" t="s">
        <v>2109</v>
      </c>
      <c r="G17" s="10">
        <v>21.9</v>
      </c>
      <c r="H17" s="6"/>
      <c r="I17" s="8">
        <v>27</v>
      </c>
      <c r="J17" s="6" t="s">
        <v>2107</v>
      </c>
    </row>
    <row r="18" spans="1:10" x14ac:dyDescent="0.25">
      <c r="A18" s="6" t="s">
        <v>2124</v>
      </c>
      <c r="B18" s="6" t="s">
        <v>61</v>
      </c>
      <c r="C18" s="6" t="s">
        <v>112</v>
      </c>
      <c r="D18" s="6" t="s">
        <v>163</v>
      </c>
      <c r="E18" s="6" t="s">
        <v>402</v>
      </c>
      <c r="F18" s="6" t="s">
        <v>2106</v>
      </c>
      <c r="G18" s="10">
        <v>21.1</v>
      </c>
      <c r="H18" s="6"/>
      <c r="I18" s="8">
        <v>27</v>
      </c>
      <c r="J18" s="6" t="s">
        <v>2107</v>
      </c>
    </row>
    <row r="19" spans="1:10" x14ac:dyDescent="0.25">
      <c r="A19" s="6" t="s">
        <v>2125</v>
      </c>
      <c r="B19" s="6" t="s">
        <v>61</v>
      </c>
      <c r="C19" s="6" t="s">
        <v>112</v>
      </c>
      <c r="D19" s="6" t="s">
        <v>163</v>
      </c>
      <c r="E19" s="6" t="s">
        <v>414</v>
      </c>
      <c r="F19" s="6" t="s">
        <v>2109</v>
      </c>
      <c r="G19" s="10">
        <v>21.9</v>
      </c>
      <c r="H19" s="6"/>
      <c r="I19" s="8">
        <v>27</v>
      </c>
      <c r="J19" s="6" t="s">
        <v>2107</v>
      </c>
    </row>
    <row r="20" spans="1:10" x14ac:dyDescent="0.25">
      <c r="A20" s="6" t="s">
        <v>2126</v>
      </c>
      <c r="B20" s="6" t="s">
        <v>61</v>
      </c>
      <c r="C20" s="6" t="s">
        <v>112</v>
      </c>
      <c r="D20" s="6" t="s">
        <v>164</v>
      </c>
      <c r="E20" s="6" t="s">
        <v>426</v>
      </c>
      <c r="F20" s="6" t="s">
        <v>2106</v>
      </c>
      <c r="G20" s="10">
        <v>20.9</v>
      </c>
      <c r="H20" s="6"/>
      <c r="I20" s="8">
        <v>27</v>
      </c>
      <c r="J20" s="6" t="s">
        <v>2107</v>
      </c>
    </row>
    <row r="21" spans="1:10" x14ac:dyDescent="0.25">
      <c r="A21" s="6" t="s">
        <v>2127</v>
      </c>
      <c r="B21" s="6" t="s">
        <v>61</v>
      </c>
      <c r="C21" s="6" t="s">
        <v>112</v>
      </c>
      <c r="D21" s="6" t="s">
        <v>164</v>
      </c>
      <c r="E21" s="6" t="s">
        <v>438</v>
      </c>
      <c r="F21" s="6" t="s">
        <v>2109</v>
      </c>
      <c r="G21" s="10">
        <v>21.8</v>
      </c>
      <c r="H21" s="6"/>
      <c r="I21" s="8">
        <v>27</v>
      </c>
      <c r="J21" s="6" t="s">
        <v>2107</v>
      </c>
    </row>
    <row r="22" spans="1:10" x14ac:dyDescent="0.25">
      <c r="A22" s="6" t="s">
        <v>2128</v>
      </c>
      <c r="B22" s="6" t="s">
        <v>61</v>
      </c>
      <c r="C22" s="6" t="s">
        <v>112</v>
      </c>
      <c r="D22" s="6" t="s">
        <v>165</v>
      </c>
      <c r="E22" s="6" t="s">
        <v>451</v>
      </c>
      <c r="F22" s="6" t="s">
        <v>2106</v>
      </c>
      <c r="G22" s="8">
        <v>22</v>
      </c>
      <c r="H22" s="6"/>
      <c r="I22" s="8">
        <v>27</v>
      </c>
      <c r="J22" s="6" t="s">
        <v>2107</v>
      </c>
    </row>
    <row r="23" spans="1:10" x14ac:dyDescent="0.25">
      <c r="A23" s="6" t="s">
        <v>2129</v>
      </c>
      <c r="B23" s="6" t="s">
        <v>61</v>
      </c>
      <c r="C23" s="6" t="s">
        <v>112</v>
      </c>
      <c r="D23" s="6" t="s">
        <v>165</v>
      </c>
      <c r="E23" s="6" t="s">
        <v>463</v>
      </c>
      <c r="F23" s="6" t="s">
        <v>2109</v>
      </c>
      <c r="G23" s="8">
        <v>23</v>
      </c>
      <c r="H23" s="6"/>
      <c r="I23" s="8">
        <v>27</v>
      </c>
      <c r="J23" s="6" t="s">
        <v>2107</v>
      </c>
    </row>
    <row r="24" spans="1:10" x14ac:dyDescent="0.25">
      <c r="A24" s="6" t="s">
        <v>2130</v>
      </c>
      <c r="B24" s="6" t="s">
        <v>61</v>
      </c>
      <c r="C24" s="6" t="s">
        <v>112</v>
      </c>
      <c r="D24" s="6" t="s">
        <v>168</v>
      </c>
      <c r="E24" s="6" t="s">
        <v>475</v>
      </c>
      <c r="F24" s="6" t="s">
        <v>2106</v>
      </c>
      <c r="G24" s="10">
        <v>20.9</v>
      </c>
      <c r="H24" s="6"/>
      <c r="I24" s="8">
        <v>27</v>
      </c>
      <c r="J24" s="6" t="s">
        <v>2107</v>
      </c>
    </row>
    <row r="25" spans="1:10" x14ac:dyDescent="0.25">
      <c r="A25" s="6" t="s">
        <v>2131</v>
      </c>
      <c r="B25" s="6" t="s">
        <v>61</v>
      </c>
      <c r="C25" s="6" t="s">
        <v>112</v>
      </c>
      <c r="D25" s="6" t="s">
        <v>168</v>
      </c>
      <c r="E25" s="6" t="s">
        <v>487</v>
      </c>
      <c r="F25" s="6" t="s">
        <v>2109</v>
      </c>
      <c r="G25" s="8">
        <v>22</v>
      </c>
      <c r="H25" s="6"/>
      <c r="I25" s="8">
        <v>27</v>
      </c>
      <c r="J25" s="6" t="s">
        <v>2107</v>
      </c>
    </row>
    <row r="26" spans="1:10" x14ac:dyDescent="0.25">
      <c r="A26" s="6" t="s">
        <v>2132</v>
      </c>
      <c r="B26" s="6" t="s">
        <v>61</v>
      </c>
      <c r="C26" s="6" t="s">
        <v>114</v>
      </c>
      <c r="D26" s="6" t="s">
        <v>169</v>
      </c>
      <c r="E26" s="6" t="s">
        <v>499</v>
      </c>
      <c r="F26" s="6" t="s">
        <v>2106</v>
      </c>
      <c r="G26" s="10">
        <v>21.2</v>
      </c>
      <c r="H26" s="6"/>
      <c r="I26" s="8">
        <v>27</v>
      </c>
      <c r="J26" s="6" t="s">
        <v>2107</v>
      </c>
    </row>
    <row r="27" spans="1:10" x14ac:dyDescent="0.25">
      <c r="A27" s="6" t="s">
        <v>2133</v>
      </c>
      <c r="B27" s="6" t="s">
        <v>61</v>
      </c>
      <c r="C27" s="6" t="s">
        <v>114</v>
      </c>
      <c r="D27" s="6" t="s">
        <v>169</v>
      </c>
      <c r="E27" s="6" t="s">
        <v>511</v>
      </c>
      <c r="F27" s="6" t="s">
        <v>2109</v>
      </c>
      <c r="G27" s="10">
        <v>21.8</v>
      </c>
      <c r="H27" s="6"/>
      <c r="I27" s="8">
        <v>27</v>
      </c>
      <c r="J27" s="6" t="s">
        <v>2107</v>
      </c>
    </row>
    <row r="28" spans="1:10" x14ac:dyDescent="0.25">
      <c r="A28" s="6" t="s">
        <v>2134</v>
      </c>
      <c r="B28" s="6" t="s">
        <v>61</v>
      </c>
      <c r="C28" s="6" t="s">
        <v>114</v>
      </c>
      <c r="D28" s="6" t="s">
        <v>170</v>
      </c>
      <c r="E28" s="6" t="s">
        <v>523</v>
      </c>
      <c r="F28" s="6" t="s">
        <v>2106</v>
      </c>
      <c r="G28" s="10">
        <v>21.1</v>
      </c>
      <c r="H28" s="6"/>
      <c r="I28" s="8">
        <v>27</v>
      </c>
      <c r="J28" s="6" t="s">
        <v>2107</v>
      </c>
    </row>
    <row r="29" spans="1:10" x14ac:dyDescent="0.25">
      <c r="A29" s="6" t="s">
        <v>2135</v>
      </c>
      <c r="B29" s="6" t="s">
        <v>61</v>
      </c>
      <c r="C29" s="6" t="s">
        <v>114</v>
      </c>
      <c r="D29" s="6" t="s">
        <v>170</v>
      </c>
      <c r="E29" s="6" t="s">
        <v>535</v>
      </c>
      <c r="F29" s="6" t="s">
        <v>2109</v>
      </c>
      <c r="G29" s="10">
        <v>21.8</v>
      </c>
      <c r="H29" s="6"/>
      <c r="I29" s="8">
        <v>27</v>
      </c>
      <c r="J29" s="6" t="s">
        <v>2107</v>
      </c>
    </row>
    <row r="30" spans="1:10" x14ac:dyDescent="0.25">
      <c r="A30" s="6" t="s">
        <v>2136</v>
      </c>
      <c r="B30" s="6" t="s">
        <v>61</v>
      </c>
      <c r="C30" s="6" t="s">
        <v>114</v>
      </c>
      <c r="D30" s="6" t="s">
        <v>171</v>
      </c>
      <c r="E30" s="6" t="s">
        <v>547</v>
      </c>
      <c r="F30" s="6" t="s">
        <v>2106</v>
      </c>
      <c r="G30" s="10">
        <v>20.9</v>
      </c>
      <c r="H30" s="6"/>
      <c r="I30" s="8">
        <v>27</v>
      </c>
      <c r="J30" s="6" t="s">
        <v>2107</v>
      </c>
    </row>
    <row r="31" spans="1:10" x14ac:dyDescent="0.25">
      <c r="A31" s="6" t="s">
        <v>2137</v>
      </c>
      <c r="B31" s="6" t="s">
        <v>61</v>
      </c>
      <c r="C31" s="6" t="s">
        <v>114</v>
      </c>
      <c r="D31" s="6" t="s">
        <v>171</v>
      </c>
      <c r="E31" s="6" t="s">
        <v>559</v>
      </c>
      <c r="F31" s="6" t="s">
        <v>2109</v>
      </c>
      <c r="G31" s="10">
        <v>21.7</v>
      </c>
      <c r="H31" s="6"/>
      <c r="I31" s="8">
        <v>27</v>
      </c>
      <c r="J31" s="6" t="s">
        <v>2107</v>
      </c>
    </row>
    <row r="32" spans="1:10" x14ac:dyDescent="0.25">
      <c r="A32" s="6" t="s">
        <v>2138</v>
      </c>
      <c r="B32" s="6" t="s">
        <v>61</v>
      </c>
      <c r="C32" s="6" t="s">
        <v>114</v>
      </c>
      <c r="D32" s="6" t="s">
        <v>172</v>
      </c>
      <c r="E32" s="6" t="s">
        <v>571</v>
      </c>
      <c r="F32" s="6" t="s">
        <v>2106</v>
      </c>
      <c r="G32" s="8">
        <v>21</v>
      </c>
      <c r="H32" s="6"/>
      <c r="I32" s="8">
        <v>27</v>
      </c>
      <c r="J32" s="6" t="s">
        <v>2107</v>
      </c>
    </row>
    <row r="33" spans="1:10" x14ac:dyDescent="0.25">
      <c r="A33" s="6" t="s">
        <v>2139</v>
      </c>
      <c r="B33" s="6" t="s">
        <v>61</v>
      </c>
      <c r="C33" s="6" t="s">
        <v>114</v>
      </c>
      <c r="D33" s="6" t="s">
        <v>172</v>
      </c>
      <c r="E33" s="6" t="s">
        <v>583</v>
      </c>
      <c r="F33" s="6" t="s">
        <v>2109</v>
      </c>
      <c r="G33" s="10">
        <v>21.9</v>
      </c>
      <c r="H33" s="6"/>
      <c r="I33" s="8">
        <v>27</v>
      </c>
      <c r="J33" s="6" t="s">
        <v>2107</v>
      </c>
    </row>
    <row r="34" spans="1:10" x14ac:dyDescent="0.25">
      <c r="A34" s="6" t="s">
        <v>2140</v>
      </c>
      <c r="B34" s="6" t="s">
        <v>61</v>
      </c>
      <c r="C34" s="6" t="s">
        <v>114</v>
      </c>
      <c r="D34" s="6" t="s">
        <v>174</v>
      </c>
      <c r="E34" s="6" t="s">
        <v>595</v>
      </c>
      <c r="F34" s="6" t="s">
        <v>2106</v>
      </c>
      <c r="G34" s="10">
        <v>20.9</v>
      </c>
      <c r="H34" s="6"/>
      <c r="I34" s="8">
        <v>27</v>
      </c>
      <c r="J34" s="6" t="s">
        <v>2107</v>
      </c>
    </row>
    <row r="35" spans="1:10" x14ac:dyDescent="0.25">
      <c r="A35" s="6" t="s">
        <v>2141</v>
      </c>
      <c r="B35" s="6" t="s">
        <v>61</v>
      </c>
      <c r="C35" s="6" t="s">
        <v>114</v>
      </c>
      <c r="D35" s="6" t="s">
        <v>174</v>
      </c>
      <c r="E35" s="6" t="s">
        <v>607</v>
      </c>
      <c r="F35" s="6" t="s">
        <v>2109</v>
      </c>
      <c r="G35" s="10">
        <v>21.9</v>
      </c>
      <c r="H35" s="6"/>
      <c r="I35" s="8">
        <v>27</v>
      </c>
      <c r="J35" s="6" t="s">
        <v>2107</v>
      </c>
    </row>
    <row r="36" spans="1:10" x14ac:dyDescent="0.25">
      <c r="A36" s="6" t="s">
        <v>2142</v>
      </c>
      <c r="B36" s="6" t="s">
        <v>61</v>
      </c>
      <c r="C36" s="6" t="s">
        <v>114</v>
      </c>
      <c r="D36" s="6" t="s">
        <v>176</v>
      </c>
      <c r="E36" s="6" t="s">
        <v>619</v>
      </c>
      <c r="F36" s="6" t="s">
        <v>2106</v>
      </c>
      <c r="G36" s="10">
        <v>20.7</v>
      </c>
      <c r="H36" s="6"/>
      <c r="I36" s="8">
        <v>27</v>
      </c>
      <c r="J36" s="6" t="s">
        <v>2107</v>
      </c>
    </row>
    <row r="37" spans="1:10" x14ac:dyDescent="0.25">
      <c r="A37" s="6" t="s">
        <v>2143</v>
      </c>
      <c r="B37" s="6" t="s">
        <v>61</v>
      </c>
      <c r="C37" s="6" t="s">
        <v>114</v>
      </c>
      <c r="D37" s="6" t="s">
        <v>176</v>
      </c>
      <c r="E37" s="6" t="s">
        <v>631</v>
      </c>
      <c r="F37" s="6" t="s">
        <v>2109</v>
      </c>
      <c r="G37" s="10">
        <v>21.8</v>
      </c>
      <c r="H37" s="6"/>
      <c r="I37" s="8">
        <v>27</v>
      </c>
      <c r="J37" s="6" t="s">
        <v>2107</v>
      </c>
    </row>
    <row r="38" spans="1:10" x14ac:dyDescent="0.25">
      <c r="A38" s="6" t="s">
        <v>2144</v>
      </c>
      <c r="B38" s="6" t="s">
        <v>61</v>
      </c>
      <c r="C38" s="6" t="s">
        <v>116</v>
      </c>
      <c r="D38" s="6" t="s">
        <v>177</v>
      </c>
      <c r="E38" s="6" t="s">
        <v>643</v>
      </c>
      <c r="F38" s="6" t="s">
        <v>2106</v>
      </c>
      <c r="G38" s="10">
        <v>22.6</v>
      </c>
      <c r="H38" s="6"/>
      <c r="I38" s="8">
        <v>27</v>
      </c>
      <c r="J38" s="6" t="s">
        <v>2107</v>
      </c>
    </row>
    <row r="39" spans="1:10" x14ac:dyDescent="0.25">
      <c r="A39" s="6" t="s">
        <v>2145</v>
      </c>
      <c r="B39" s="6" t="s">
        <v>61</v>
      </c>
      <c r="C39" s="6" t="s">
        <v>116</v>
      </c>
      <c r="D39" s="6" t="s">
        <v>177</v>
      </c>
      <c r="E39" s="6" t="s">
        <v>655</v>
      </c>
      <c r="F39" s="6" t="s">
        <v>2109</v>
      </c>
      <c r="G39" s="10">
        <v>23.2</v>
      </c>
      <c r="H39" s="6"/>
      <c r="I39" s="8">
        <v>27</v>
      </c>
      <c r="J39" s="6" t="s">
        <v>2107</v>
      </c>
    </row>
    <row r="40" spans="1:10" x14ac:dyDescent="0.25">
      <c r="A40" s="6" t="s">
        <v>2146</v>
      </c>
      <c r="B40" s="6" t="s">
        <v>61</v>
      </c>
      <c r="C40" s="6" t="s">
        <v>116</v>
      </c>
      <c r="D40" s="6" t="s">
        <v>180</v>
      </c>
      <c r="E40" s="6" t="s">
        <v>667</v>
      </c>
      <c r="F40" s="6" t="s">
        <v>2106</v>
      </c>
      <c r="G40" s="10">
        <v>22.3</v>
      </c>
      <c r="H40" s="6"/>
      <c r="I40" s="8">
        <v>27</v>
      </c>
      <c r="J40" s="6" t="s">
        <v>2107</v>
      </c>
    </row>
    <row r="41" spans="1:10" x14ac:dyDescent="0.25">
      <c r="A41" s="6" t="s">
        <v>2147</v>
      </c>
      <c r="B41" s="6" t="s">
        <v>61</v>
      </c>
      <c r="C41" s="6" t="s">
        <v>116</v>
      </c>
      <c r="D41" s="6" t="s">
        <v>180</v>
      </c>
      <c r="E41" s="6" t="s">
        <v>679</v>
      </c>
      <c r="F41" s="6" t="s">
        <v>2109</v>
      </c>
      <c r="G41" s="8">
        <v>23</v>
      </c>
      <c r="H41" s="6"/>
      <c r="I41" s="8">
        <v>27</v>
      </c>
      <c r="J41" s="6" t="s">
        <v>2107</v>
      </c>
    </row>
    <row r="42" spans="1:10" x14ac:dyDescent="0.25">
      <c r="A42" s="6" t="s">
        <v>2148</v>
      </c>
      <c r="B42" s="6" t="s">
        <v>61</v>
      </c>
      <c r="C42" s="6" t="s">
        <v>116</v>
      </c>
      <c r="D42" s="6" t="s">
        <v>181</v>
      </c>
      <c r="E42" s="6" t="s">
        <v>691</v>
      </c>
      <c r="F42" s="6" t="s">
        <v>2106</v>
      </c>
      <c r="G42" s="10">
        <v>22.3</v>
      </c>
      <c r="H42" s="6"/>
      <c r="I42" s="8">
        <v>27</v>
      </c>
      <c r="J42" s="6" t="s">
        <v>2107</v>
      </c>
    </row>
    <row r="43" spans="1:10" x14ac:dyDescent="0.25">
      <c r="A43" s="6" t="s">
        <v>2149</v>
      </c>
      <c r="B43" s="6" t="s">
        <v>61</v>
      </c>
      <c r="C43" s="6" t="s">
        <v>116</v>
      </c>
      <c r="D43" s="6" t="s">
        <v>181</v>
      </c>
      <c r="E43" s="6" t="s">
        <v>703</v>
      </c>
      <c r="F43" s="6" t="s">
        <v>2109</v>
      </c>
      <c r="G43" s="10">
        <v>23.1</v>
      </c>
      <c r="H43" s="6"/>
      <c r="I43" s="8">
        <v>27</v>
      </c>
      <c r="J43" s="6" t="s">
        <v>2107</v>
      </c>
    </row>
    <row r="44" spans="1:10" x14ac:dyDescent="0.25">
      <c r="A44" s="6" t="s">
        <v>2150</v>
      </c>
      <c r="B44" s="6" t="s">
        <v>61</v>
      </c>
      <c r="C44" s="6" t="s">
        <v>116</v>
      </c>
      <c r="D44" s="6" t="s">
        <v>182</v>
      </c>
      <c r="E44" s="6" t="s">
        <v>715</v>
      </c>
      <c r="F44" s="6" t="s">
        <v>2106</v>
      </c>
      <c r="G44" s="10">
        <v>22.1</v>
      </c>
      <c r="H44" s="6"/>
      <c r="I44" s="8">
        <v>27</v>
      </c>
      <c r="J44" s="6" t="s">
        <v>2107</v>
      </c>
    </row>
    <row r="45" spans="1:10" x14ac:dyDescent="0.25">
      <c r="A45" s="6" t="s">
        <v>2151</v>
      </c>
      <c r="B45" s="6" t="s">
        <v>61</v>
      </c>
      <c r="C45" s="6" t="s">
        <v>116</v>
      </c>
      <c r="D45" s="6" t="s">
        <v>182</v>
      </c>
      <c r="E45" s="6" t="s">
        <v>727</v>
      </c>
      <c r="F45" s="6" t="s">
        <v>2109</v>
      </c>
      <c r="G45" s="8">
        <v>23</v>
      </c>
      <c r="H45" s="6"/>
      <c r="I45" s="8">
        <v>27</v>
      </c>
      <c r="J45" s="6" t="s">
        <v>2107</v>
      </c>
    </row>
    <row r="46" spans="1:10" x14ac:dyDescent="0.25">
      <c r="A46" s="6" t="s">
        <v>2152</v>
      </c>
      <c r="B46" s="6" t="s">
        <v>61</v>
      </c>
      <c r="C46" s="6" t="s">
        <v>116</v>
      </c>
      <c r="D46" s="6" t="s">
        <v>183</v>
      </c>
      <c r="E46" s="6" t="s">
        <v>739</v>
      </c>
      <c r="F46" s="6" t="s">
        <v>2106</v>
      </c>
      <c r="G46" s="8">
        <v>22</v>
      </c>
      <c r="H46" s="6"/>
      <c r="I46" s="8">
        <v>27</v>
      </c>
      <c r="J46" s="6" t="s">
        <v>2107</v>
      </c>
    </row>
    <row r="47" spans="1:10" x14ac:dyDescent="0.25">
      <c r="A47" s="6" t="s">
        <v>2153</v>
      </c>
      <c r="B47" s="6" t="s">
        <v>61</v>
      </c>
      <c r="C47" s="6" t="s">
        <v>116</v>
      </c>
      <c r="D47" s="6" t="s">
        <v>183</v>
      </c>
      <c r="E47" s="6" t="s">
        <v>751</v>
      </c>
      <c r="F47" s="6" t="s">
        <v>2109</v>
      </c>
      <c r="G47" s="8">
        <v>23</v>
      </c>
      <c r="H47" s="6"/>
      <c r="I47" s="8">
        <v>27</v>
      </c>
      <c r="J47" s="6" t="s">
        <v>2107</v>
      </c>
    </row>
    <row r="48" spans="1:10" x14ac:dyDescent="0.25">
      <c r="A48" s="6" t="s">
        <v>2154</v>
      </c>
      <c r="B48" s="6" t="s">
        <v>61</v>
      </c>
      <c r="C48" s="6" t="s">
        <v>116</v>
      </c>
      <c r="D48" s="6" t="s">
        <v>184</v>
      </c>
      <c r="E48" s="6" t="s">
        <v>763</v>
      </c>
      <c r="F48" s="6" t="s">
        <v>2106</v>
      </c>
      <c r="G48" s="8">
        <v>22</v>
      </c>
      <c r="H48" s="6"/>
      <c r="I48" s="8">
        <v>27</v>
      </c>
      <c r="J48" s="6" t="s">
        <v>2107</v>
      </c>
    </row>
    <row r="49" spans="1:10" x14ac:dyDescent="0.25">
      <c r="A49" s="6" t="s">
        <v>2155</v>
      </c>
      <c r="B49" s="6" t="s">
        <v>61</v>
      </c>
      <c r="C49" s="6" t="s">
        <v>116</v>
      </c>
      <c r="D49" s="6" t="s">
        <v>184</v>
      </c>
      <c r="E49" s="6" t="s">
        <v>775</v>
      </c>
      <c r="F49" s="6" t="s">
        <v>2109</v>
      </c>
      <c r="G49" s="10">
        <v>23.1</v>
      </c>
      <c r="H49" s="6"/>
      <c r="I49" s="8">
        <v>27</v>
      </c>
      <c r="J49" s="6" t="s">
        <v>2107</v>
      </c>
    </row>
    <row r="50" spans="1:10" x14ac:dyDescent="0.25">
      <c r="A50" s="6" t="s">
        <v>2156</v>
      </c>
      <c r="B50" s="6" t="s">
        <v>61</v>
      </c>
      <c r="C50" s="6" t="s">
        <v>108</v>
      </c>
      <c r="D50" s="6" t="s">
        <v>150</v>
      </c>
      <c r="E50" s="6" t="s">
        <v>204</v>
      </c>
      <c r="F50" s="6" t="s">
        <v>2157</v>
      </c>
      <c r="G50" s="10">
        <v>17.7</v>
      </c>
      <c r="H50" s="8">
        <v>18</v>
      </c>
      <c r="I50" s="8">
        <v>20</v>
      </c>
      <c r="J50" s="6" t="s">
        <v>2107</v>
      </c>
    </row>
    <row r="51" spans="1:10" x14ac:dyDescent="0.25">
      <c r="A51" s="6" t="s">
        <v>2158</v>
      </c>
      <c r="B51" s="6" t="s">
        <v>61</v>
      </c>
      <c r="C51" s="6" t="s">
        <v>108</v>
      </c>
      <c r="D51" s="6" t="s">
        <v>150</v>
      </c>
      <c r="E51" s="6" t="s">
        <v>216</v>
      </c>
      <c r="F51" s="6" t="s">
        <v>2157</v>
      </c>
      <c r="G51" s="10">
        <v>17.8</v>
      </c>
      <c r="H51" s="8">
        <v>18</v>
      </c>
      <c r="I51" s="8">
        <v>20</v>
      </c>
      <c r="J51" s="6" t="s">
        <v>2107</v>
      </c>
    </row>
    <row r="52" spans="1:10" x14ac:dyDescent="0.25">
      <c r="A52" s="6" t="s">
        <v>2159</v>
      </c>
      <c r="B52" s="6" t="s">
        <v>61</v>
      </c>
      <c r="C52" s="6" t="s">
        <v>108</v>
      </c>
      <c r="D52" s="6" t="s">
        <v>152</v>
      </c>
      <c r="E52" s="6" t="s">
        <v>229</v>
      </c>
      <c r="F52" s="6" t="s">
        <v>2157</v>
      </c>
      <c r="G52" s="10">
        <v>17.9</v>
      </c>
      <c r="H52" s="8">
        <v>18</v>
      </c>
      <c r="I52" s="8">
        <v>20</v>
      </c>
      <c r="J52" s="6" t="s">
        <v>2107</v>
      </c>
    </row>
    <row r="53" spans="1:10" x14ac:dyDescent="0.25">
      <c r="A53" s="6" t="s">
        <v>2160</v>
      </c>
      <c r="B53" s="6" t="s">
        <v>61</v>
      </c>
      <c r="C53" s="6" t="s">
        <v>108</v>
      </c>
      <c r="D53" s="6" t="s">
        <v>152</v>
      </c>
      <c r="E53" s="6" t="s">
        <v>241</v>
      </c>
      <c r="F53" s="6" t="s">
        <v>2157</v>
      </c>
      <c r="G53" s="8">
        <v>18</v>
      </c>
      <c r="H53" s="8">
        <v>18</v>
      </c>
      <c r="I53" s="8">
        <v>20</v>
      </c>
      <c r="J53" s="6" t="s">
        <v>2107</v>
      </c>
    </row>
    <row r="54" spans="1:10" x14ac:dyDescent="0.25">
      <c r="A54" s="6" t="s">
        <v>2161</v>
      </c>
      <c r="B54" s="6" t="s">
        <v>61</v>
      </c>
      <c r="C54" s="6" t="s">
        <v>108</v>
      </c>
      <c r="D54" s="6" t="s">
        <v>153</v>
      </c>
      <c r="E54" s="6" t="s">
        <v>254</v>
      </c>
      <c r="F54" s="6" t="s">
        <v>2157</v>
      </c>
      <c r="G54" s="10">
        <v>18.1</v>
      </c>
      <c r="H54" s="8">
        <v>18</v>
      </c>
      <c r="I54" s="8">
        <v>20</v>
      </c>
      <c r="J54" s="6" t="s">
        <v>2107</v>
      </c>
    </row>
    <row r="55" spans="1:10" x14ac:dyDescent="0.25">
      <c r="A55" s="6" t="s">
        <v>2162</v>
      </c>
      <c r="B55" s="6" t="s">
        <v>61</v>
      </c>
      <c r="C55" s="6" t="s">
        <v>108</v>
      </c>
      <c r="D55" s="6" t="s">
        <v>153</v>
      </c>
      <c r="E55" s="6" t="s">
        <v>266</v>
      </c>
      <c r="F55" s="6" t="s">
        <v>2157</v>
      </c>
      <c r="G55" s="10">
        <v>18.2</v>
      </c>
      <c r="H55" s="8">
        <v>18</v>
      </c>
      <c r="I55" s="8">
        <v>20</v>
      </c>
      <c r="J55" s="6" t="s">
        <v>2107</v>
      </c>
    </row>
    <row r="56" spans="1:10" x14ac:dyDescent="0.25">
      <c r="A56" s="6" t="s">
        <v>2163</v>
      </c>
      <c r="B56" s="6" t="s">
        <v>61</v>
      </c>
      <c r="C56" s="6" t="s">
        <v>108</v>
      </c>
      <c r="D56" s="6" t="s">
        <v>157</v>
      </c>
      <c r="E56" s="6" t="s">
        <v>280</v>
      </c>
      <c r="F56" s="6" t="s">
        <v>2157</v>
      </c>
      <c r="G56" s="10">
        <v>18.3</v>
      </c>
      <c r="H56" s="8">
        <v>18</v>
      </c>
      <c r="I56" s="8">
        <v>20</v>
      </c>
      <c r="J56" s="6" t="s">
        <v>2107</v>
      </c>
    </row>
    <row r="57" spans="1:10" x14ac:dyDescent="0.25">
      <c r="A57" s="6" t="s">
        <v>2164</v>
      </c>
      <c r="B57" s="6" t="s">
        <v>61</v>
      </c>
      <c r="C57" s="6" t="s">
        <v>108</v>
      </c>
      <c r="D57" s="6" t="s">
        <v>157</v>
      </c>
      <c r="E57" s="6" t="s">
        <v>292</v>
      </c>
      <c r="F57" s="6" t="s">
        <v>2157</v>
      </c>
      <c r="G57" s="10">
        <v>18.4</v>
      </c>
      <c r="H57" s="8">
        <v>18</v>
      </c>
      <c r="I57" s="8">
        <v>20</v>
      </c>
      <c r="J57" s="6" t="s">
        <v>2107</v>
      </c>
    </row>
    <row r="58" spans="1:10" x14ac:dyDescent="0.25">
      <c r="A58" s="6" t="s">
        <v>2165</v>
      </c>
      <c r="B58" s="6" t="s">
        <v>61</v>
      </c>
      <c r="C58" s="6" t="s">
        <v>108</v>
      </c>
      <c r="D58" s="6" t="s">
        <v>158</v>
      </c>
      <c r="E58" s="6" t="s">
        <v>305</v>
      </c>
      <c r="F58" s="6" t="s">
        <v>2157</v>
      </c>
      <c r="G58" s="10">
        <v>17.6</v>
      </c>
      <c r="H58" s="8">
        <v>18</v>
      </c>
      <c r="I58" s="8">
        <v>20</v>
      </c>
      <c r="J58" s="6" t="s">
        <v>2107</v>
      </c>
    </row>
    <row r="59" spans="1:10" x14ac:dyDescent="0.25">
      <c r="A59" s="6" t="s">
        <v>2166</v>
      </c>
      <c r="B59" s="6" t="s">
        <v>61</v>
      </c>
      <c r="C59" s="6" t="s">
        <v>108</v>
      </c>
      <c r="D59" s="6" t="s">
        <v>158</v>
      </c>
      <c r="E59" s="6" t="s">
        <v>317</v>
      </c>
      <c r="F59" s="6" t="s">
        <v>2157</v>
      </c>
      <c r="G59" s="10">
        <v>17.7</v>
      </c>
      <c r="H59" s="8">
        <v>18</v>
      </c>
      <c r="I59" s="8">
        <v>20</v>
      </c>
      <c r="J59" s="6" t="s">
        <v>2107</v>
      </c>
    </row>
    <row r="60" spans="1:10" x14ac:dyDescent="0.25">
      <c r="A60" s="6" t="s">
        <v>2167</v>
      </c>
      <c r="B60" s="6" t="s">
        <v>61</v>
      </c>
      <c r="C60" s="6" t="s">
        <v>108</v>
      </c>
      <c r="D60" s="6" t="s">
        <v>159</v>
      </c>
      <c r="E60" s="6" t="s">
        <v>330</v>
      </c>
      <c r="F60" s="6" t="s">
        <v>2157</v>
      </c>
      <c r="G60" s="10">
        <v>17.8</v>
      </c>
      <c r="H60" s="8">
        <v>18</v>
      </c>
      <c r="I60" s="8">
        <v>20</v>
      </c>
      <c r="J60" s="6" t="s">
        <v>2107</v>
      </c>
    </row>
    <row r="61" spans="1:10" x14ac:dyDescent="0.25">
      <c r="A61" s="6" t="s">
        <v>2168</v>
      </c>
      <c r="B61" s="6" t="s">
        <v>61</v>
      </c>
      <c r="C61" s="6" t="s">
        <v>108</v>
      </c>
      <c r="D61" s="6" t="s">
        <v>159</v>
      </c>
      <c r="E61" s="6" t="s">
        <v>342</v>
      </c>
      <c r="F61" s="6" t="s">
        <v>2157</v>
      </c>
      <c r="G61" s="10">
        <v>17.9</v>
      </c>
      <c r="H61" s="8">
        <v>18</v>
      </c>
      <c r="I61" s="8">
        <v>20</v>
      </c>
      <c r="J61" s="6" t="s">
        <v>2107</v>
      </c>
    </row>
    <row r="62" spans="1:10" x14ac:dyDescent="0.25">
      <c r="A62" s="6" t="s">
        <v>2169</v>
      </c>
      <c r="B62" s="6" t="s">
        <v>61</v>
      </c>
      <c r="C62" s="6" t="s">
        <v>112</v>
      </c>
      <c r="D62" s="6" t="s">
        <v>160</v>
      </c>
      <c r="E62" s="6" t="s">
        <v>354</v>
      </c>
      <c r="F62" s="6" t="s">
        <v>2157</v>
      </c>
      <c r="G62" s="8">
        <v>18</v>
      </c>
      <c r="H62" s="8">
        <v>18</v>
      </c>
      <c r="I62" s="8">
        <v>20</v>
      </c>
      <c r="J62" s="6" t="s">
        <v>2107</v>
      </c>
    </row>
    <row r="63" spans="1:10" x14ac:dyDescent="0.25">
      <c r="A63" s="6" t="s">
        <v>2170</v>
      </c>
      <c r="B63" s="6" t="s">
        <v>61</v>
      </c>
      <c r="C63" s="6" t="s">
        <v>112</v>
      </c>
      <c r="D63" s="6" t="s">
        <v>160</v>
      </c>
      <c r="E63" s="6" t="s">
        <v>366</v>
      </c>
      <c r="F63" s="6" t="s">
        <v>2157</v>
      </c>
      <c r="G63" s="10">
        <v>18.1</v>
      </c>
      <c r="H63" s="8">
        <v>18</v>
      </c>
      <c r="I63" s="8">
        <v>20</v>
      </c>
      <c r="J63" s="6" t="s">
        <v>2107</v>
      </c>
    </row>
    <row r="64" spans="1:10" x14ac:dyDescent="0.25">
      <c r="A64" s="6" t="s">
        <v>2171</v>
      </c>
      <c r="B64" s="6" t="s">
        <v>61</v>
      </c>
      <c r="C64" s="6" t="s">
        <v>112</v>
      </c>
      <c r="D64" s="6" t="s">
        <v>162</v>
      </c>
      <c r="E64" s="6" t="s">
        <v>378</v>
      </c>
      <c r="F64" s="6" t="s">
        <v>2157</v>
      </c>
      <c r="G64" s="10">
        <v>18.2</v>
      </c>
      <c r="H64" s="8">
        <v>18</v>
      </c>
      <c r="I64" s="8">
        <v>20</v>
      </c>
      <c r="J64" s="6" t="s">
        <v>2107</v>
      </c>
    </row>
    <row r="65" spans="1:10" x14ac:dyDescent="0.25">
      <c r="A65" s="6" t="s">
        <v>2172</v>
      </c>
      <c r="B65" s="6" t="s">
        <v>61</v>
      </c>
      <c r="C65" s="6" t="s">
        <v>112</v>
      </c>
      <c r="D65" s="6" t="s">
        <v>162</v>
      </c>
      <c r="E65" s="6" t="s">
        <v>390</v>
      </c>
      <c r="F65" s="6" t="s">
        <v>2157</v>
      </c>
      <c r="G65" s="10">
        <v>18.3</v>
      </c>
      <c r="H65" s="8">
        <v>18</v>
      </c>
      <c r="I65" s="8">
        <v>20</v>
      </c>
      <c r="J65" s="6" t="s">
        <v>2107</v>
      </c>
    </row>
    <row r="66" spans="1:10" x14ac:dyDescent="0.25">
      <c r="A66" s="6" t="s">
        <v>2173</v>
      </c>
      <c r="B66" s="6" t="s">
        <v>61</v>
      </c>
      <c r="C66" s="6" t="s">
        <v>112</v>
      </c>
      <c r="D66" s="6" t="s">
        <v>163</v>
      </c>
      <c r="E66" s="6" t="s">
        <v>402</v>
      </c>
      <c r="F66" s="6" t="s">
        <v>2157</v>
      </c>
      <c r="G66" s="10">
        <v>18.4</v>
      </c>
      <c r="H66" s="8">
        <v>18</v>
      </c>
      <c r="I66" s="8">
        <v>20</v>
      </c>
      <c r="J66" s="6" t="s">
        <v>2107</v>
      </c>
    </row>
    <row r="67" spans="1:10" x14ac:dyDescent="0.25">
      <c r="A67" s="6" t="s">
        <v>2174</v>
      </c>
      <c r="B67" s="6" t="s">
        <v>61</v>
      </c>
      <c r="C67" s="6" t="s">
        <v>112</v>
      </c>
      <c r="D67" s="6" t="s">
        <v>163</v>
      </c>
      <c r="E67" s="6" t="s">
        <v>414</v>
      </c>
      <c r="F67" s="6" t="s">
        <v>2157</v>
      </c>
      <c r="G67" s="10">
        <v>17.6</v>
      </c>
      <c r="H67" s="8">
        <v>18</v>
      </c>
      <c r="I67" s="8">
        <v>20</v>
      </c>
      <c r="J67" s="6" t="s">
        <v>2107</v>
      </c>
    </row>
    <row r="68" spans="1:10" x14ac:dyDescent="0.25">
      <c r="A68" s="6" t="s">
        <v>2175</v>
      </c>
      <c r="B68" s="6" t="s">
        <v>61</v>
      </c>
      <c r="C68" s="6" t="s">
        <v>112</v>
      </c>
      <c r="D68" s="6" t="s">
        <v>164</v>
      </c>
      <c r="E68" s="6" t="s">
        <v>426</v>
      </c>
      <c r="F68" s="6" t="s">
        <v>2157</v>
      </c>
      <c r="G68" s="10">
        <v>17.7</v>
      </c>
      <c r="H68" s="8">
        <v>18</v>
      </c>
      <c r="I68" s="8">
        <v>20</v>
      </c>
      <c r="J68" s="6" t="s">
        <v>2107</v>
      </c>
    </row>
    <row r="69" spans="1:10" x14ac:dyDescent="0.25">
      <c r="A69" s="6" t="s">
        <v>2176</v>
      </c>
      <c r="B69" s="6" t="s">
        <v>61</v>
      </c>
      <c r="C69" s="6" t="s">
        <v>112</v>
      </c>
      <c r="D69" s="6" t="s">
        <v>164</v>
      </c>
      <c r="E69" s="6" t="s">
        <v>438</v>
      </c>
      <c r="F69" s="6" t="s">
        <v>2157</v>
      </c>
      <c r="G69" s="10">
        <v>17.8</v>
      </c>
      <c r="H69" s="8">
        <v>18</v>
      </c>
      <c r="I69" s="8">
        <v>20</v>
      </c>
      <c r="J69" s="6" t="s">
        <v>2107</v>
      </c>
    </row>
    <row r="70" spans="1:10" x14ac:dyDescent="0.25">
      <c r="A70" s="6" t="s">
        <v>2177</v>
      </c>
      <c r="B70" s="6" t="s">
        <v>61</v>
      </c>
      <c r="C70" s="6" t="s">
        <v>112</v>
      </c>
      <c r="D70" s="6" t="s">
        <v>165</v>
      </c>
      <c r="E70" s="6" t="s">
        <v>451</v>
      </c>
      <c r="F70" s="6" t="s">
        <v>2157</v>
      </c>
      <c r="G70" s="10">
        <v>20.1</v>
      </c>
      <c r="H70" s="8">
        <v>18</v>
      </c>
      <c r="I70" s="8">
        <v>20</v>
      </c>
      <c r="J70" s="6" t="s">
        <v>2107</v>
      </c>
    </row>
    <row r="71" spans="1:10" x14ac:dyDescent="0.25">
      <c r="A71" s="6" t="s">
        <v>2178</v>
      </c>
      <c r="B71" s="6" t="s">
        <v>61</v>
      </c>
      <c r="C71" s="6" t="s">
        <v>112</v>
      </c>
      <c r="D71" s="6" t="s">
        <v>165</v>
      </c>
      <c r="E71" s="6" t="s">
        <v>463</v>
      </c>
      <c r="F71" s="6" t="s">
        <v>2157</v>
      </c>
      <c r="G71" s="8">
        <v>18</v>
      </c>
      <c r="H71" s="8">
        <v>18</v>
      </c>
      <c r="I71" s="8">
        <v>20</v>
      </c>
      <c r="J71" s="6" t="s">
        <v>2107</v>
      </c>
    </row>
    <row r="72" spans="1:10" x14ac:dyDescent="0.25">
      <c r="A72" s="6" t="s">
        <v>2179</v>
      </c>
      <c r="B72" s="6" t="s">
        <v>61</v>
      </c>
      <c r="C72" s="6" t="s">
        <v>112</v>
      </c>
      <c r="D72" s="6" t="s">
        <v>168</v>
      </c>
      <c r="E72" s="6" t="s">
        <v>475</v>
      </c>
      <c r="F72" s="6" t="s">
        <v>2157</v>
      </c>
      <c r="G72" s="10">
        <v>18.1</v>
      </c>
      <c r="H72" s="8">
        <v>18</v>
      </c>
      <c r="I72" s="8">
        <v>20</v>
      </c>
      <c r="J72" s="6" t="s">
        <v>2107</v>
      </c>
    </row>
    <row r="73" spans="1:10" x14ac:dyDescent="0.25">
      <c r="A73" s="6" t="s">
        <v>2180</v>
      </c>
      <c r="B73" s="6" t="s">
        <v>61</v>
      </c>
      <c r="C73" s="6" t="s">
        <v>112</v>
      </c>
      <c r="D73" s="6" t="s">
        <v>168</v>
      </c>
      <c r="E73" s="6" t="s">
        <v>487</v>
      </c>
      <c r="F73" s="6" t="s">
        <v>2157</v>
      </c>
      <c r="G73" s="10">
        <v>18.2</v>
      </c>
      <c r="H73" s="8">
        <v>18</v>
      </c>
      <c r="I73" s="8">
        <v>20</v>
      </c>
      <c r="J73" s="6" t="s">
        <v>2107</v>
      </c>
    </row>
    <row r="74" spans="1:10" x14ac:dyDescent="0.25">
      <c r="A74" s="6" t="s">
        <v>2181</v>
      </c>
      <c r="B74" s="6" t="s">
        <v>61</v>
      </c>
      <c r="C74" s="6" t="s">
        <v>114</v>
      </c>
      <c r="D74" s="6" t="s">
        <v>169</v>
      </c>
      <c r="E74" s="6" t="s">
        <v>499</v>
      </c>
      <c r="F74" s="6" t="s">
        <v>2157</v>
      </c>
      <c r="G74" s="10">
        <v>18.3</v>
      </c>
      <c r="H74" s="8">
        <v>18</v>
      </c>
      <c r="I74" s="8">
        <v>20</v>
      </c>
      <c r="J74" s="6" t="s">
        <v>2107</v>
      </c>
    </row>
    <row r="75" spans="1:10" x14ac:dyDescent="0.25">
      <c r="A75" s="6" t="s">
        <v>2182</v>
      </c>
      <c r="B75" s="6" t="s">
        <v>61</v>
      </c>
      <c r="C75" s="6" t="s">
        <v>114</v>
      </c>
      <c r="D75" s="6" t="s">
        <v>169</v>
      </c>
      <c r="E75" s="6" t="s">
        <v>511</v>
      </c>
      <c r="F75" s="6" t="s">
        <v>2157</v>
      </c>
      <c r="G75" s="10">
        <v>18.4</v>
      </c>
      <c r="H75" s="8">
        <v>18</v>
      </c>
      <c r="I75" s="8">
        <v>20</v>
      </c>
      <c r="J75" s="6" t="s">
        <v>2107</v>
      </c>
    </row>
    <row r="76" spans="1:10" x14ac:dyDescent="0.25">
      <c r="A76" s="6" t="s">
        <v>2183</v>
      </c>
      <c r="B76" s="6" t="s">
        <v>61</v>
      </c>
      <c r="C76" s="6" t="s">
        <v>114</v>
      </c>
      <c r="D76" s="6" t="s">
        <v>170</v>
      </c>
      <c r="E76" s="6" t="s">
        <v>523</v>
      </c>
      <c r="F76" s="6" t="s">
        <v>2157</v>
      </c>
      <c r="G76" s="10">
        <v>17.6</v>
      </c>
      <c r="H76" s="8">
        <v>18</v>
      </c>
      <c r="I76" s="8">
        <v>20</v>
      </c>
      <c r="J76" s="6" t="s">
        <v>2107</v>
      </c>
    </row>
    <row r="77" spans="1:10" x14ac:dyDescent="0.25">
      <c r="A77" s="6" t="s">
        <v>2184</v>
      </c>
      <c r="B77" s="6" t="s">
        <v>61</v>
      </c>
      <c r="C77" s="6" t="s">
        <v>114</v>
      </c>
      <c r="D77" s="6" t="s">
        <v>170</v>
      </c>
      <c r="E77" s="6" t="s">
        <v>535</v>
      </c>
      <c r="F77" s="6" t="s">
        <v>2157</v>
      </c>
      <c r="G77" s="10">
        <v>17.7</v>
      </c>
      <c r="H77" s="8">
        <v>18</v>
      </c>
      <c r="I77" s="8">
        <v>20</v>
      </c>
      <c r="J77" s="6" t="s">
        <v>2107</v>
      </c>
    </row>
    <row r="78" spans="1:10" x14ac:dyDescent="0.25">
      <c r="A78" s="6" t="s">
        <v>2185</v>
      </c>
      <c r="B78" s="6" t="s">
        <v>61</v>
      </c>
      <c r="C78" s="6" t="s">
        <v>114</v>
      </c>
      <c r="D78" s="6" t="s">
        <v>171</v>
      </c>
      <c r="E78" s="6" t="s">
        <v>547</v>
      </c>
      <c r="F78" s="6" t="s">
        <v>2157</v>
      </c>
      <c r="G78" s="10">
        <v>17.8</v>
      </c>
      <c r="H78" s="8">
        <v>18</v>
      </c>
      <c r="I78" s="8">
        <v>20</v>
      </c>
      <c r="J78" s="6" t="s">
        <v>2107</v>
      </c>
    </row>
    <row r="79" spans="1:10" x14ac:dyDescent="0.25">
      <c r="A79" s="6" t="s">
        <v>2186</v>
      </c>
      <c r="B79" s="6" t="s">
        <v>61</v>
      </c>
      <c r="C79" s="6" t="s">
        <v>114</v>
      </c>
      <c r="D79" s="6" t="s">
        <v>171</v>
      </c>
      <c r="E79" s="6" t="s">
        <v>559</v>
      </c>
      <c r="F79" s="6" t="s">
        <v>2157</v>
      </c>
      <c r="G79" s="10">
        <v>17.9</v>
      </c>
      <c r="H79" s="8">
        <v>18</v>
      </c>
      <c r="I79" s="8">
        <v>20</v>
      </c>
      <c r="J79" s="6" t="s">
        <v>2107</v>
      </c>
    </row>
    <row r="80" spans="1:10" x14ac:dyDescent="0.25">
      <c r="A80" s="6" t="s">
        <v>2187</v>
      </c>
      <c r="B80" s="6" t="s">
        <v>61</v>
      </c>
      <c r="C80" s="6" t="s">
        <v>114</v>
      </c>
      <c r="D80" s="6" t="s">
        <v>172</v>
      </c>
      <c r="E80" s="6" t="s">
        <v>571</v>
      </c>
      <c r="F80" s="6" t="s">
        <v>2157</v>
      </c>
      <c r="G80" s="8">
        <v>18</v>
      </c>
      <c r="H80" s="8">
        <v>18</v>
      </c>
      <c r="I80" s="8">
        <v>20</v>
      </c>
      <c r="J80" s="6" t="s">
        <v>2107</v>
      </c>
    </row>
    <row r="81" spans="1:10" x14ac:dyDescent="0.25">
      <c r="A81" s="6" t="s">
        <v>2188</v>
      </c>
      <c r="B81" s="6" t="s">
        <v>61</v>
      </c>
      <c r="C81" s="6" t="s">
        <v>114</v>
      </c>
      <c r="D81" s="6" t="s">
        <v>172</v>
      </c>
      <c r="E81" s="6" t="s">
        <v>583</v>
      </c>
      <c r="F81" s="6" t="s">
        <v>2157</v>
      </c>
      <c r="G81" s="10">
        <v>18.1</v>
      </c>
      <c r="H81" s="8">
        <v>18</v>
      </c>
      <c r="I81" s="8">
        <v>20</v>
      </c>
      <c r="J81" s="6" t="s">
        <v>2107</v>
      </c>
    </row>
    <row r="82" spans="1:10" x14ac:dyDescent="0.25">
      <c r="A82" s="6" t="s">
        <v>2189</v>
      </c>
      <c r="B82" s="6" t="s">
        <v>61</v>
      </c>
      <c r="C82" s="6" t="s">
        <v>114</v>
      </c>
      <c r="D82" s="6" t="s">
        <v>174</v>
      </c>
      <c r="E82" s="6" t="s">
        <v>595</v>
      </c>
      <c r="F82" s="6" t="s">
        <v>2157</v>
      </c>
      <c r="G82" s="10">
        <v>18.2</v>
      </c>
      <c r="H82" s="8">
        <v>18</v>
      </c>
      <c r="I82" s="8">
        <v>20</v>
      </c>
      <c r="J82" s="6" t="s">
        <v>2107</v>
      </c>
    </row>
    <row r="83" spans="1:10" x14ac:dyDescent="0.25">
      <c r="A83" s="6" t="s">
        <v>2190</v>
      </c>
      <c r="B83" s="6" t="s">
        <v>61</v>
      </c>
      <c r="C83" s="6" t="s">
        <v>114</v>
      </c>
      <c r="D83" s="6" t="s">
        <v>174</v>
      </c>
      <c r="E83" s="6" t="s">
        <v>607</v>
      </c>
      <c r="F83" s="6" t="s">
        <v>2157</v>
      </c>
      <c r="G83" s="10">
        <v>18.3</v>
      </c>
      <c r="H83" s="8">
        <v>18</v>
      </c>
      <c r="I83" s="8">
        <v>20</v>
      </c>
      <c r="J83" s="6" t="s">
        <v>2107</v>
      </c>
    </row>
    <row r="84" spans="1:10" x14ac:dyDescent="0.25">
      <c r="A84" s="6" t="s">
        <v>2191</v>
      </c>
      <c r="B84" s="6" t="s">
        <v>61</v>
      </c>
      <c r="C84" s="6" t="s">
        <v>114</v>
      </c>
      <c r="D84" s="6" t="s">
        <v>176</v>
      </c>
      <c r="E84" s="6" t="s">
        <v>619</v>
      </c>
      <c r="F84" s="6" t="s">
        <v>2157</v>
      </c>
      <c r="G84" s="10">
        <v>18.4</v>
      </c>
      <c r="H84" s="8">
        <v>18</v>
      </c>
      <c r="I84" s="8">
        <v>20</v>
      </c>
      <c r="J84" s="6" t="s">
        <v>2107</v>
      </c>
    </row>
    <row r="85" spans="1:10" x14ac:dyDescent="0.25">
      <c r="A85" s="6" t="s">
        <v>2192</v>
      </c>
      <c r="B85" s="6" t="s">
        <v>61</v>
      </c>
      <c r="C85" s="6" t="s">
        <v>114</v>
      </c>
      <c r="D85" s="6" t="s">
        <v>176</v>
      </c>
      <c r="E85" s="6" t="s">
        <v>631</v>
      </c>
      <c r="F85" s="6" t="s">
        <v>2157</v>
      </c>
      <c r="G85" s="10">
        <v>17.6</v>
      </c>
      <c r="H85" s="8">
        <v>18</v>
      </c>
      <c r="I85" s="8">
        <v>20</v>
      </c>
      <c r="J85" s="6" t="s">
        <v>2107</v>
      </c>
    </row>
    <row r="86" spans="1:10" x14ac:dyDescent="0.25">
      <c r="A86" s="6" t="s">
        <v>2193</v>
      </c>
      <c r="B86" s="6" t="s">
        <v>61</v>
      </c>
      <c r="C86" s="6" t="s">
        <v>116</v>
      </c>
      <c r="D86" s="6" t="s">
        <v>177</v>
      </c>
      <c r="E86" s="6" t="s">
        <v>643</v>
      </c>
      <c r="F86" s="6" t="s">
        <v>2157</v>
      </c>
      <c r="G86" s="10">
        <v>17.7</v>
      </c>
      <c r="H86" s="8">
        <v>18</v>
      </c>
      <c r="I86" s="8">
        <v>20</v>
      </c>
      <c r="J86" s="6" t="s">
        <v>2107</v>
      </c>
    </row>
    <row r="87" spans="1:10" x14ac:dyDescent="0.25">
      <c r="A87" s="6" t="s">
        <v>2194</v>
      </c>
      <c r="B87" s="6" t="s">
        <v>61</v>
      </c>
      <c r="C87" s="6" t="s">
        <v>116</v>
      </c>
      <c r="D87" s="6" t="s">
        <v>177</v>
      </c>
      <c r="E87" s="6" t="s">
        <v>655</v>
      </c>
      <c r="F87" s="6" t="s">
        <v>2157</v>
      </c>
      <c r="G87" s="10">
        <v>17.8</v>
      </c>
      <c r="H87" s="8">
        <v>18</v>
      </c>
      <c r="I87" s="8">
        <v>20</v>
      </c>
      <c r="J87" s="6" t="s">
        <v>2107</v>
      </c>
    </row>
    <row r="88" spans="1:10" x14ac:dyDescent="0.25">
      <c r="A88" s="6" t="s">
        <v>2195</v>
      </c>
      <c r="B88" s="6" t="s">
        <v>61</v>
      </c>
      <c r="C88" s="6" t="s">
        <v>116</v>
      </c>
      <c r="D88" s="6" t="s">
        <v>180</v>
      </c>
      <c r="E88" s="6" t="s">
        <v>667</v>
      </c>
      <c r="F88" s="6" t="s">
        <v>2157</v>
      </c>
      <c r="G88" s="10">
        <v>17.9</v>
      </c>
      <c r="H88" s="8">
        <v>18</v>
      </c>
      <c r="I88" s="8">
        <v>20</v>
      </c>
      <c r="J88" s="6" t="s">
        <v>2107</v>
      </c>
    </row>
    <row r="89" spans="1:10" x14ac:dyDescent="0.25">
      <c r="A89" s="6" t="s">
        <v>2196</v>
      </c>
      <c r="B89" s="6" t="s">
        <v>61</v>
      </c>
      <c r="C89" s="6" t="s">
        <v>116</v>
      </c>
      <c r="D89" s="6" t="s">
        <v>180</v>
      </c>
      <c r="E89" s="6" t="s">
        <v>679</v>
      </c>
      <c r="F89" s="6" t="s">
        <v>2157</v>
      </c>
      <c r="G89" s="8">
        <v>18</v>
      </c>
      <c r="H89" s="8">
        <v>18</v>
      </c>
      <c r="I89" s="8">
        <v>20</v>
      </c>
      <c r="J89" s="6" t="s">
        <v>2107</v>
      </c>
    </row>
    <row r="90" spans="1:10" x14ac:dyDescent="0.25">
      <c r="A90" s="6" t="s">
        <v>2197</v>
      </c>
      <c r="B90" s="6" t="s">
        <v>61</v>
      </c>
      <c r="C90" s="6" t="s">
        <v>116</v>
      </c>
      <c r="D90" s="6" t="s">
        <v>181</v>
      </c>
      <c r="E90" s="6" t="s">
        <v>691</v>
      </c>
      <c r="F90" s="6" t="s">
        <v>2157</v>
      </c>
      <c r="G90" s="10">
        <v>18.1</v>
      </c>
      <c r="H90" s="8">
        <v>18</v>
      </c>
      <c r="I90" s="8">
        <v>20</v>
      </c>
      <c r="J90" s="6" t="s">
        <v>2107</v>
      </c>
    </row>
    <row r="91" spans="1:10" x14ac:dyDescent="0.25">
      <c r="A91" s="6" t="s">
        <v>2198</v>
      </c>
      <c r="B91" s="6" t="s">
        <v>61</v>
      </c>
      <c r="C91" s="6" t="s">
        <v>116</v>
      </c>
      <c r="D91" s="6" t="s">
        <v>181</v>
      </c>
      <c r="E91" s="6" t="s">
        <v>703</v>
      </c>
      <c r="F91" s="6" t="s">
        <v>2157</v>
      </c>
      <c r="G91" s="10">
        <v>18.2</v>
      </c>
      <c r="H91" s="8">
        <v>18</v>
      </c>
      <c r="I91" s="8">
        <v>20</v>
      </c>
      <c r="J91" s="6" t="s">
        <v>2107</v>
      </c>
    </row>
    <row r="92" spans="1:10" x14ac:dyDescent="0.25">
      <c r="A92" s="6" t="s">
        <v>2199</v>
      </c>
      <c r="B92" s="6" t="s">
        <v>61</v>
      </c>
      <c r="C92" s="6" t="s">
        <v>116</v>
      </c>
      <c r="D92" s="6" t="s">
        <v>182</v>
      </c>
      <c r="E92" s="6" t="s">
        <v>715</v>
      </c>
      <c r="F92" s="6" t="s">
        <v>2157</v>
      </c>
      <c r="G92" s="10">
        <v>18.3</v>
      </c>
      <c r="H92" s="8">
        <v>18</v>
      </c>
      <c r="I92" s="8">
        <v>20</v>
      </c>
      <c r="J92" s="6" t="s">
        <v>2107</v>
      </c>
    </row>
    <row r="93" spans="1:10" x14ac:dyDescent="0.25">
      <c r="A93" s="6" t="s">
        <v>2200</v>
      </c>
      <c r="B93" s="6" t="s">
        <v>61</v>
      </c>
      <c r="C93" s="6" t="s">
        <v>116</v>
      </c>
      <c r="D93" s="6" t="s">
        <v>182</v>
      </c>
      <c r="E93" s="6" t="s">
        <v>727</v>
      </c>
      <c r="F93" s="6" t="s">
        <v>2157</v>
      </c>
      <c r="G93" s="10">
        <v>18.4</v>
      </c>
      <c r="H93" s="8">
        <v>18</v>
      </c>
      <c r="I93" s="8">
        <v>20</v>
      </c>
      <c r="J93" s="6" t="s">
        <v>2107</v>
      </c>
    </row>
    <row r="94" spans="1:10" x14ac:dyDescent="0.25">
      <c r="A94" s="6" t="s">
        <v>2201</v>
      </c>
      <c r="B94" s="6" t="s">
        <v>61</v>
      </c>
      <c r="C94" s="6" t="s">
        <v>116</v>
      </c>
      <c r="D94" s="6" t="s">
        <v>183</v>
      </c>
      <c r="E94" s="6" t="s">
        <v>739</v>
      </c>
      <c r="F94" s="6" t="s">
        <v>2157</v>
      </c>
      <c r="G94" s="10">
        <v>17.6</v>
      </c>
      <c r="H94" s="8">
        <v>18</v>
      </c>
      <c r="I94" s="8">
        <v>20</v>
      </c>
      <c r="J94" s="6" t="s">
        <v>2107</v>
      </c>
    </row>
    <row r="95" spans="1:10" x14ac:dyDescent="0.25">
      <c r="A95" s="6" t="s">
        <v>2202</v>
      </c>
      <c r="B95" s="6" t="s">
        <v>61</v>
      </c>
      <c r="C95" s="6" t="s">
        <v>116</v>
      </c>
      <c r="D95" s="6" t="s">
        <v>183</v>
      </c>
      <c r="E95" s="6" t="s">
        <v>751</v>
      </c>
      <c r="F95" s="6" t="s">
        <v>2157</v>
      </c>
      <c r="G95" s="10">
        <v>17.7</v>
      </c>
      <c r="H95" s="8">
        <v>18</v>
      </c>
      <c r="I95" s="8">
        <v>20</v>
      </c>
      <c r="J95" s="6" t="s">
        <v>2107</v>
      </c>
    </row>
    <row r="96" spans="1:10" x14ac:dyDescent="0.25">
      <c r="A96" s="6" t="s">
        <v>2203</v>
      </c>
      <c r="B96" s="6" t="s">
        <v>61</v>
      </c>
      <c r="C96" s="6" t="s">
        <v>116</v>
      </c>
      <c r="D96" s="6" t="s">
        <v>184</v>
      </c>
      <c r="E96" s="6" t="s">
        <v>763</v>
      </c>
      <c r="F96" s="6" t="s">
        <v>2157</v>
      </c>
      <c r="G96" s="10">
        <v>17.8</v>
      </c>
      <c r="H96" s="8">
        <v>18</v>
      </c>
      <c r="I96" s="8">
        <v>20</v>
      </c>
      <c r="J96" s="6" t="s">
        <v>2107</v>
      </c>
    </row>
    <row r="97" spans="1:10" x14ac:dyDescent="0.25">
      <c r="A97" s="6" t="s">
        <v>2204</v>
      </c>
      <c r="B97" s="6" t="s">
        <v>61</v>
      </c>
      <c r="C97" s="6" t="s">
        <v>116</v>
      </c>
      <c r="D97" s="6" t="s">
        <v>184</v>
      </c>
      <c r="E97" s="6" t="s">
        <v>775</v>
      </c>
      <c r="F97" s="6" t="s">
        <v>2157</v>
      </c>
      <c r="G97" s="10">
        <v>17.9</v>
      </c>
      <c r="H97" s="8">
        <v>18</v>
      </c>
      <c r="I97" s="8">
        <v>20</v>
      </c>
      <c r="J97" s="6" t="s">
        <v>2107</v>
      </c>
    </row>
    <row r="99" spans="1:1" x14ac:dyDescent="0.25">
      <c r="A99" s="9" t="s">
        <v>2205</v>
      </c>
    </row>
    <row r="100" spans="1:1" x14ac:dyDescent="0.25">
      <c r="A100" s="9" t="s">
        <v>2206</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26"/>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2" customWidth="1"/>
    <col min="3" max="3" width="11" customWidth="1"/>
    <col min="4" max="4" width="17" customWidth="1"/>
    <col min="5" max="5" width="14" customWidth="1"/>
    <col min="6" max="6" width="10" customWidth="1"/>
    <col min="7" max="7" width="18" customWidth="1"/>
    <col min="8" max="8" width="15" customWidth="1"/>
    <col min="9" max="9" width="12" customWidth="1"/>
    <col min="10" max="10" width="11" customWidth="1"/>
    <col min="11" max="12" width="13" customWidth="1"/>
  </cols>
  <sheetData>
    <row r="1" spans="1:12" x14ac:dyDescent="0.25">
      <c r="A1" s="5" t="s">
        <v>42</v>
      </c>
      <c r="B1" s="5" t="s">
        <v>2207</v>
      </c>
      <c r="C1" s="5" t="s">
        <v>2208</v>
      </c>
      <c r="D1" s="5" t="s">
        <v>1430</v>
      </c>
      <c r="E1" s="5" t="s">
        <v>2209</v>
      </c>
      <c r="F1" s="5" t="s">
        <v>2210</v>
      </c>
      <c r="G1" s="5" t="s">
        <v>2211</v>
      </c>
      <c r="H1" s="5" t="s">
        <v>2212</v>
      </c>
      <c r="I1" s="5" t="s">
        <v>2213</v>
      </c>
      <c r="J1" s="5" t="s">
        <v>2214</v>
      </c>
      <c r="K1" s="5" t="s">
        <v>2215</v>
      </c>
      <c r="L1" s="5" t="s">
        <v>2216</v>
      </c>
    </row>
    <row r="2" spans="1:12" x14ac:dyDescent="0.25">
      <c r="A2" s="6" t="s">
        <v>61</v>
      </c>
      <c r="B2" s="6" t="s">
        <v>2217</v>
      </c>
      <c r="C2" s="8">
        <v>0</v>
      </c>
      <c r="D2" s="6" t="s">
        <v>2218</v>
      </c>
      <c r="E2" s="6" t="s">
        <v>2219</v>
      </c>
      <c r="F2" s="8">
        <v>9950</v>
      </c>
      <c r="G2" s="8">
        <v>0</v>
      </c>
      <c r="H2" s="8">
        <v>38500</v>
      </c>
      <c r="I2" s="8">
        <v>9950</v>
      </c>
      <c r="J2" s="8">
        <v>0</v>
      </c>
      <c r="K2" s="8">
        <v>9950</v>
      </c>
      <c r="L2" s="8">
        <v>0</v>
      </c>
    </row>
    <row r="3" spans="1:12" x14ac:dyDescent="0.25">
      <c r="A3" s="6" t="s">
        <v>61</v>
      </c>
      <c r="B3" s="6" t="s">
        <v>2217</v>
      </c>
      <c r="C3" s="8">
        <v>1</v>
      </c>
      <c r="D3" s="6" t="s">
        <v>2220</v>
      </c>
      <c r="E3" s="6" t="s">
        <v>2219</v>
      </c>
      <c r="F3" s="8">
        <v>9894</v>
      </c>
      <c r="G3" s="8">
        <v>0</v>
      </c>
      <c r="H3" s="8">
        <v>38500</v>
      </c>
      <c r="I3" s="8">
        <v>9894</v>
      </c>
      <c r="J3" s="8">
        <v>0</v>
      </c>
      <c r="K3" s="8">
        <v>9894</v>
      </c>
      <c r="L3" s="8">
        <v>0</v>
      </c>
    </row>
    <row r="4" spans="1:12" x14ac:dyDescent="0.25">
      <c r="A4" s="6" t="s">
        <v>61</v>
      </c>
      <c r="B4" s="6" t="s">
        <v>2217</v>
      </c>
      <c r="C4" s="8">
        <v>2</v>
      </c>
      <c r="D4" s="6" t="s">
        <v>2221</v>
      </c>
      <c r="E4" s="6" t="s">
        <v>2219</v>
      </c>
      <c r="F4" s="8">
        <v>9858</v>
      </c>
      <c r="G4" s="8">
        <v>0</v>
      </c>
      <c r="H4" s="8">
        <v>38500</v>
      </c>
      <c r="I4" s="8">
        <v>9858</v>
      </c>
      <c r="J4" s="8">
        <v>0</v>
      </c>
      <c r="K4" s="8">
        <v>9858</v>
      </c>
      <c r="L4" s="8">
        <v>0</v>
      </c>
    </row>
    <row r="5" spans="1:12" x14ac:dyDescent="0.25">
      <c r="A5" s="6" t="s">
        <v>61</v>
      </c>
      <c r="B5" s="6" t="s">
        <v>2217</v>
      </c>
      <c r="C5" s="8">
        <v>3</v>
      </c>
      <c r="D5" s="6" t="s">
        <v>2222</v>
      </c>
      <c r="E5" s="6" t="s">
        <v>2219</v>
      </c>
      <c r="F5" s="8">
        <v>9846</v>
      </c>
      <c r="G5" s="8">
        <v>0</v>
      </c>
      <c r="H5" s="8">
        <v>38500</v>
      </c>
      <c r="I5" s="8">
        <v>9846</v>
      </c>
      <c r="J5" s="8">
        <v>0</v>
      </c>
      <c r="K5" s="8">
        <v>9846</v>
      </c>
      <c r="L5" s="8">
        <v>0</v>
      </c>
    </row>
    <row r="6" spans="1:12" x14ac:dyDescent="0.25">
      <c r="A6" s="6" t="s">
        <v>61</v>
      </c>
      <c r="B6" s="6" t="s">
        <v>2217</v>
      </c>
      <c r="C6" s="8">
        <v>4</v>
      </c>
      <c r="D6" s="6" t="s">
        <v>2223</v>
      </c>
      <c r="E6" s="6" t="s">
        <v>2219</v>
      </c>
      <c r="F6" s="8">
        <v>9858</v>
      </c>
      <c r="G6" s="8">
        <v>0</v>
      </c>
      <c r="H6" s="8">
        <v>38500</v>
      </c>
      <c r="I6" s="8">
        <v>9858</v>
      </c>
      <c r="J6" s="8">
        <v>0</v>
      </c>
      <c r="K6" s="8">
        <v>9858</v>
      </c>
      <c r="L6" s="8">
        <v>0</v>
      </c>
    </row>
    <row r="7" spans="1:12" x14ac:dyDescent="0.25">
      <c r="A7" s="6" t="s">
        <v>61</v>
      </c>
      <c r="B7" s="6" t="s">
        <v>2217</v>
      </c>
      <c r="C7" s="8">
        <v>5</v>
      </c>
      <c r="D7" s="6" t="s">
        <v>2224</v>
      </c>
      <c r="E7" s="6" t="s">
        <v>2219</v>
      </c>
      <c r="F7" s="8">
        <v>9894</v>
      </c>
      <c r="G7" s="8">
        <v>0</v>
      </c>
      <c r="H7" s="8">
        <v>38500</v>
      </c>
      <c r="I7" s="8">
        <v>9894</v>
      </c>
      <c r="J7" s="8">
        <v>0</v>
      </c>
      <c r="K7" s="8">
        <v>9894</v>
      </c>
      <c r="L7" s="8">
        <v>0</v>
      </c>
    </row>
    <row r="8" spans="1:12" x14ac:dyDescent="0.25">
      <c r="A8" s="6" t="s">
        <v>61</v>
      </c>
      <c r="B8" s="6" t="s">
        <v>2217</v>
      </c>
      <c r="C8" s="8">
        <v>6</v>
      </c>
      <c r="D8" s="6" t="s">
        <v>2225</v>
      </c>
      <c r="E8" s="6" t="s">
        <v>2219</v>
      </c>
      <c r="F8" s="8">
        <v>9950</v>
      </c>
      <c r="G8" s="8">
        <v>922</v>
      </c>
      <c r="H8" s="8">
        <v>38500</v>
      </c>
      <c r="I8" s="8">
        <v>9028</v>
      </c>
      <c r="J8" s="8">
        <v>922</v>
      </c>
      <c r="K8" s="8">
        <v>9028</v>
      </c>
      <c r="L8" s="10">
        <v>9.3</v>
      </c>
    </row>
    <row r="9" spans="1:12" x14ac:dyDescent="0.25">
      <c r="A9" s="6" t="s">
        <v>61</v>
      </c>
      <c r="B9" s="6" t="s">
        <v>2217</v>
      </c>
      <c r="C9" s="8">
        <v>7</v>
      </c>
      <c r="D9" s="6" t="s">
        <v>2226</v>
      </c>
      <c r="E9" s="6" t="s">
        <v>2219</v>
      </c>
      <c r="F9" s="8">
        <v>10024</v>
      </c>
      <c r="G9" s="8">
        <v>5775</v>
      </c>
      <c r="H9" s="8">
        <v>38500</v>
      </c>
      <c r="I9" s="8">
        <v>4249</v>
      </c>
      <c r="J9" s="8">
        <v>5775</v>
      </c>
      <c r="K9" s="8">
        <v>4249</v>
      </c>
      <c r="L9" s="10">
        <v>57.6</v>
      </c>
    </row>
    <row r="10" spans="1:12" x14ac:dyDescent="0.25">
      <c r="A10" s="6" t="s">
        <v>61</v>
      </c>
      <c r="B10" s="6" t="s">
        <v>2217</v>
      </c>
      <c r="C10" s="8">
        <v>8</v>
      </c>
      <c r="D10" s="6" t="s">
        <v>2227</v>
      </c>
      <c r="E10" s="6" t="s">
        <v>2219</v>
      </c>
      <c r="F10" s="8">
        <v>10111</v>
      </c>
      <c r="G10" s="8">
        <v>12866</v>
      </c>
      <c r="H10" s="8">
        <v>38500</v>
      </c>
      <c r="I10" s="8">
        <v>0</v>
      </c>
      <c r="J10" s="8">
        <v>10111</v>
      </c>
      <c r="K10" s="8">
        <v>0</v>
      </c>
      <c r="L10" s="8">
        <v>100</v>
      </c>
    </row>
    <row r="11" spans="1:12" x14ac:dyDescent="0.25">
      <c r="A11" s="6" t="s">
        <v>61</v>
      </c>
      <c r="B11" s="6" t="s">
        <v>2217</v>
      </c>
      <c r="C11" s="8">
        <v>9</v>
      </c>
      <c r="D11" s="6" t="s">
        <v>2228</v>
      </c>
      <c r="E11" s="6" t="s">
        <v>2219</v>
      </c>
      <c r="F11" s="8">
        <v>10203</v>
      </c>
      <c r="G11" s="8">
        <v>20564</v>
      </c>
      <c r="H11" s="8">
        <v>38500</v>
      </c>
      <c r="I11" s="8">
        <v>0</v>
      </c>
      <c r="J11" s="8">
        <v>10203</v>
      </c>
      <c r="K11" s="8">
        <v>0</v>
      </c>
      <c r="L11" s="8">
        <v>100</v>
      </c>
    </row>
    <row r="12" spans="1:12" x14ac:dyDescent="0.25">
      <c r="A12" s="6" t="s">
        <v>61</v>
      </c>
      <c r="B12" s="6" t="s">
        <v>2217</v>
      </c>
      <c r="C12" s="8">
        <v>10</v>
      </c>
      <c r="D12" s="6" t="s">
        <v>2229</v>
      </c>
      <c r="E12" s="6" t="s">
        <v>2219</v>
      </c>
      <c r="F12" s="8">
        <v>10295</v>
      </c>
      <c r="G12" s="8">
        <v>27363</v>
      </c>
      <c r="H12" s="8">
        <v>38500</v>
      </c>
      <c r="I12" s="8">
        <v>0</v>
      </c>
      <c r="J12" s="8">
        <v>10295</v>
      </c>
      <c r="K12" s="8">
        <v>0</v>
      </c>
      <c r="L12" s="8">
        <v>100</v>
      </c>
    </row>
    <row r="13" spans="1:12" x14ac:dyDescent="0.25">
      <c r="A13" s="6" t="s">
        <v>61</v>
      </c>
      <c r="B13" s="6" t="s">
        <v>2217</v>
      </c>
      <c r="C13" s="8">
        <v>11</v>
      </c>
      <c r="D13" s="6" t="s">
        <v>2230</v>
      </c>
      <c r="E13" s="6" t="s">
        <v>2219</v>
      </c>
      <c r="F13" s="8">
        <v>10382</v>
      </c>
      <c r="G13" s="8">
        <v>32004</v>
      </c>
      <c r="H13" s="8">
        <v>38500</v>
      </c>
      <c r="I13" s="8">
        <v>0</v>
      </c>
      <c r="J13" s="8">
        <v>10382</v>
      </c>
      <c r="K13" s="8">
        <v>0</v>
      </c>
      <c r="L13" s="8">
        <v>100</v>
      </c>
    </row>
    <row r="14" spans="1:12" x14ac:dyDescent="0.25">
      <c r="A14" s="6" t="s">
        <v>61</v>
      </c>
      <c r="B14" s="6" t="s">
        <v>2217</v>
      </c>
      <c r="C14" s="8">
        <v>12</v>
      </c>
      <c r="D14" s="6" t="s">
        <v>2231</v>
      </c>
      <c r="E14" s="6" t="s">
        <v>2219</v>
      </c>
      <c r="F14" s="8">
        <v>10455</v>
      </c>
      <c r="G14" s="8">
        <v>33649</v>
      </c>
      <c r="H14" s="8">
        <v>38500</v>
      </c>
      <c r="I14" s="8">
        <v>0</v>
      </c>
      <c r="J14" s="8">
        <v>10455</v>
      </c>
      <c r="K14" s="8">
        <v>0</v>
      </c>
      <c r="L14" s="8">
        <v>100</v>
      </c>
    </row>
    <row r="15" spans="1:12" x14ac:dyDescent="0.25">
      <c r="A15" s="6" t="s">
        <v>61</v>
      </c>
      <c r="B15" s="6" t="s">
        <v>2217</v>
      </c>
      <c r="C15" s="8">
        <v>13</v>
      </c>
      <c r="D15" s="6" t="s">
        <v>2232</v>
      </c>
      <c r="E15" s="6" t="s">
        <v>2219</v>
      </c>
      <c r="F15" s="8">
        <v>10512</v>
      </c>
      <c r="G15" s="8">
        <v>32004</v>
      </c>
      <c r="H15" s="8">
        <v>38500</v>
      </c>
      <c r="I15" s="8">
        <v>0</v>
      </c>
      <c r="J15" s="8">
        <v>10512</v>
      </c>
      <c r="K15" s="8">
        <v>0</v>
      </c>
      <c r="L15" s="8">
        <v>100</v>
      </c>
    </row>
    <row r="16" spans="1:12" x14ac:dyDescent="0.25">
      <c r="A16" s="6" t="s">
        <v>61</v>
      </c>
      <c r="B16" s="6" t="s">
        <v>2217</v>
      </c>
      <c r="C16" s="8">
        <v>14</v>
      </c>
      <c r="D16" s="6" t="s">
        <v>2233</v>
      </c>
      <c r="E16" s="6" t="s">
        <v>2219</v>
      </c>
      <c r="F16" s="8">
        <v>10548</v>
      </c>
      <c r="G16" s="8">
        <v>27363</v>
      </c>
      <c r="H16" s="8">
        <v>38500</v>
      </c>
      <c r="I16" s="8">
        <v>0</v>
      </c>
      <c r="J16" s="8">
        <v>10548</v>
      </c>
      <c r="K16" s="8">
        <v>0</v>
      </c>
      <c r="L16" s="8">
        <v>100</v>
      </c>
    </row>
    <row r="17" spans="1:12" x14ac:dyDescent="0.25">
      <c r="A17" s="6" t="s">
        <v>61</v>
      </c>
      <c r="B17" s="6" t="s">
        <v>2217</v>
      </c>
      <c r="C17" s="8">
        <v>15</v>
      </c>
      <c r="D17" s="6" t="s">
        <v>2234</v>
      </c>
      <c r="E17" s="6" t="s">
        <v>2219</v>
      </c>
      <c r="F17" s="8">
        <v>10560</v>
      </c>
      <c r="G17" s="8">
        <v>20564</v>
      </c>
      <c r="H17" s="8">
        <v>38500</v>
      </c>
      <c r="I17" s="8">
        <v>0</v>
      </c>
      <c r="J17" s="8">
        <v>10560</v>
      </c>
      <c r="K17" s="8">
        <v>0</v>
      </c>
      <c r="L17" s="8">
        <v>100</v>
      </c>
    </row>
    <row r="18" spans="1:12" x14ac:dyDescent="0.25">
      <c r="A18" s="6" t="s">
        <v>61</v>
      </c>
      <c r="B18" s="6" t="s">
        <v>2217</v>
      </c>
      <c r="C18" s="8">
        <v>16</v>
      </c>
      <c r="D18" s="6" t="s">
        <v>2235</v>
      </c>
      <c r="E18" s="6" t="s">
        <v>2219</v>
      </c>
      <c r="F18" s="8">
        <v>10548</v>
      </c>
      <c r="G18" s="8">
        <v>12866</v>
      </c>
      <c r="H18" s="8">
        <v>38500</v>
      </c>
      <c r="I18" s="8">
        <v>0</v>
      </c>
      <c r="J18" s="8">
        <v>10548</v>
      </c>
      <c r="K18" s="8">
        <v>0</v>
      </c>
      <c r="L18" s="8">
        <v>100</v>
      </c>
    </row>
    <row r="19" spans="1:12" x14ac:dyDescent="0.25">
      <c r="A19" s="6" t="s">
        <v>61</v>
      </c>
      <c r="B19" s="6" t="s">
        <v>2217</v>
      </c>
      <c r="C19" s="8">
        <v>17</v>
      </c>
      <c r="D19" s="6" t="s">
        <v>2236</v>
      </c>
      <c r="E19" s="6" t="s">
        <v>2219</v>
      </c>
      <c r="F19" s="8">
        <v>10512</v>
      </c>
      <c r="G19" s="8">
        <v>5775</v>
      </c>
      <c r="H19" s="8">
        <v>38500</v>
      </c>
      <c r="I19" s="8">
        <v>4737</v>
      </c>
      <c r="J19" s="8">
        <v>5775</v>
      </c>
      <c r="K19" s="8">
        <v>4737</v>
      </c>
      <c r="L19" s="10">
        <v>54.9</v>
      </c>
    </row>
    <row r="20" spans="1:12" x14ac:dyDescent="0.25">
      <c r="A20" s="6" t="s">
        <v>61</v>
      </c>
      <c r="B20" s="6" t="s">
        <v>2217</v>
      </c>
      <c r="C20" s="8">
        <v>18</v>
      </c>
      <c r="D20" s="6" t="s">
        <v>2237</v>
      </c>
      <c r="E20" s="6" t="s">
        <v>2219</v>
      </c>
      <c r="F20" s="8">
        <v>10455</v>
      </c>
      <c r="G20" s="8">
        <v>922</v>
      </c>
      <c r="H20" s="8">
        <v>38500</v>
      </c>
      <c r="I20" s="8">
        <v>9533</v>
      </c>
      <c r="J20" s="8">
        <v>922</v>
      </c>
      <c r="K20" s="8">
        <v>9533</v>
      </c>
      <c r="L20" s="10">
        <v>8.8</v>
      </c>
    </row>
    <row r="21" spans="1:12" x14ac:dyDescent="0.25">
      <c r="A21" s="6" t="s">
        <v>61</v>
      </c>
      <c r="B21" s="6" t="s">
        <v>2217</v>
      </c>
      <c r="C21" s="8">
        <v>19</v>
      </c>
      <c r="D21" s="6" t="s">
        <v>2238</v>
      </c>
      <c r="E21" s="6" t="s">
        <v>2219</v>
      </c>
      <c r="F21" s="8">
        <v>10382</v>
      </c>
      <c r="G21" s="8">
        <v>0</v>
      </c>
      <c r="H21" s="8">
        <v>38500</v>
      </c>
      <c r="I21" s="8">
        <v>10382</v>
      </c>
      <c r="J21" s="8">
        <v>0</v>
      </c>
      <c r="K21" s="8">
        <v>10382</v>
      </c>
      <c r="L21" s="8">
        <v>0</v>
      </c>
    </row>
    <row r="22" spans="1:12" x14ac:dyDescent="0.25">
      <c r="A22" s="6" t="s">
        <v>61</v>
      </c>
      <c r="B22" s="6" t="s">
        <v>2217</v>
      </c>
      <c r="C22" s="8">
        <v>20</v>
      </c>
      <c r="D22" s="6" t="s">
        <v>2239</v>
      </c>
      <c r="E22" s="6" t="s">
        <v>2219</v>
      </c>
      <c r="F22" s="8">
        <v>10295</v>
      </c>
      <c r="G22" s="8">
        <v>0</v>
      </c>
      <c r="H22" s="8">
        <v>38500</v>
      </c>
      <c r="I22" s="8">
        <v>10295</v>
      </c>
      <c r="J22" s="8">
        <v>0</v>
      </c>
      <c r="K22" s="8">
        <v>10295</v>
      </c>
      <c r="L22" s="8">
        <v>0</v>
      </c>
    </row>
    <row r="23" spans="1:12" x14ac:dyDescent="0.25">
      <c r="A23" s="6" t="s">
        <v>61</v>
      </c>
      <c r="B23" s="6" t="s">
        <v>2217</v>
      </c>
      <c r="C23" s="8">
        <v>21</v>
      </c>
      <c r="D23" s="6" t="s">
        <v>2240</v>
      </c>
      <c r="E23" s="6" t="s">
        <v>2219</v>
      </c>
      <c r="F23" s="8">
        <v>10203</v>
      </c>
      <c r="G23" s="8">
        <v>0</v>
      </c>
      <c r="H23" s="8">
        <v>38500</v>
      </c>
      <c r="I23" s="8">
        <v>10203</v>
      </c>
      <c r="J23" s="8">
        <v>0</v>
      </c>
      <c r="K23" s="8">
        <v>10203</v>
      </c>
      <c r="L23" s="8">
        <v>0</v>
      </c>
    </row>
    <row r="24" spans="1:12" x14ac:dyDescent="0.25">
      <c r="A24" s="6" t="s">
        <v>61</v>
      </c>
      <c r="B24" s="6" t="s">
        <v>2217</v>
      </c>
      <c r="C24" s="8">
        <v>22</v>
      </c>
      <c r="D24" s="6" t="s">
        <v>2241</v>
      </c>
      <c r="E24" s="6" t="s">
        <v>2219</v>
      </c>
      <c r="F24" s="8">
        <v>10111</v>
      </c>
      <c r="G24" s="8">
        <v>0</v>
      </c>
      <c r="H24" s="8">
        <v>38500</v>
      </c>
      <c r="I24" s="8">
        <v>10111</v>
      </c>
      <c r="J24" s="8">
        <v>0</v>
      </c>
      <c r="K24" s="8">
        <v>10111</v>
      </c>
      <c r="L24" s="8">
        <v>0</v>
      </c>
    </row>
    <row r="25" spans="1:12" x14ac:dyDescent="0.25">
      <c r="A25" s="6" t="s">
        <v>61</v>
      </c>
      <c r="B25" s="6" t="s">
        <v>2217</v>
      </c>
      <c r="C25" s="8">
        <v>23</v>
      </c>
      <c r="D25" s="6" t="s">
        <v>2242</v>
      </c>
      <c r="E25" s="6" t="s">
        <v>2219</v>
      </c>
      <c r="F25" s="8">
        <v>10024</v>
      </c>
      <c r="G25" s="8">
        <v>0</v>
      </c>
      <c r="H25" s="8">
        <v>38500</v>
      </c>
      <c r="I25" s="8">
        <v>10024</v>
      </c>
      <c r="J25" s="8">
        <v>0</v>
      </c>
      <c r="K25" s="8">
        <v>10024</v>
      </c>
      <c r="L25" s="8">
        <v>0</v>
      </c>
    </row>
    <row r="26" spans="1:12" x14ac:dyDescent="0.25">
      <c r="A26" s="6" t="s">
        <v>61</v>
      </c>
      <c r="B26" s="6" t="s">
        <v>1806</v>
      </c>
      <c r="C26" s="8">
        <v>0</v>
      </c>
      <c r="D26" s="6" t="s">
        <v>2243</v>
      </c>
      <c r="E26" s="6" t="s">
        <v>2219</v>
      </c>
      <c r="F26" s="8">
        <v>9950</v>
      </c>
      <c r="G26" s="8">
        <v>0</v>
      </c>
      <c r="H26" s="8">
        <v>38500</v>
      </c>
      <c r="I26" s="8">
        <v>9950</v>
      </c>
      <c r="J26" s="8">
        <v>0</v>
      </c>
      <c r="K26" s="8">
        <v>9950</v>
      </c>
      <c r="L26" s="8">
        <v>0</v>
      </c>
    </row>
    <row r="27" spans="1:12" x14ac:dyDescent="0.25">
      <c r="A27" s="6" t="s">
        <v>61</v>
      </c>
      <c r="B27" s="6" t="s">
        <v>1806</v>
      </c>
      <c r="C27" s="8">
        <v>1</v>
      </c>
      <c r="D27" s="6" t="s">
        <v>2244</v>
      </c>
      <c r="E27" s="6" t="s">
        <v>2219</v>
      </c>
      <c r="F27" s="8">
        <v>9894</v>
      </c>
      <c r="G27" s="8">
        <v>0</v>
      </c>
      <c r="H27" s="8">
        <v>38500</v>
      </c>
      <c r="I27" s="8">
        <v>9894</v>
      </c>
      <c r="J27" s="8">
        <v>0</v>
      </c>
      <c r="K27" s="8">
        <v>9894</v>
      </c>
      <c r="L27" s="8">
        <v>0</v>
      </c>
    </row>
    <row r="28" spans="1:12" x14ac:dyDescent="0.25">
      <c r="A28" s="6" t="s">
        <v>61</v>
      </c>
      <c r="B28" s="6" t="s">
        <v>1806</v>
      </c>
      <c r="C28" s="8">
        <v>2</v>
      </c>
      <c r="D28" s="6" t="s">
        <v>2245</v>
      </c>
      <c r="E28" s="6" t="s">
        <v>2219</v>
      </c>
      <c r="F28" s="8">
        <v>9858</v>
      </c>
      <c r="G28" s="8">
        <v>0</v>
      </c>
      <c r="H28" s="8">
        <v>38500</v>
      </c>
      <c r="I28" s="8">
        <v>9858</v>
      </c>
      <c r="J28" s="8">
        <v>0</v>
      </c>
      <c r="K28" s="8">
        <v>9858</v>
      </c>
      <c r="L28" s="8">
        <v>0</v>
      </c>
    </row>
    <row r="29" spans="1:12" x14ac:dyDescent="0.25">
      <c r="A29" s="6" t="s">
        <v>61</v>
      </c>
      <c r="B29" s="6" t="s">
        <v>1806</v>
      </c>
      <c r="C29" s="8">
        <v>3</v>
      </c>
      <c r="D29" s="6" t="s">
        <v>2246</v>
      </c>
      <c r="E29" s="6" t="s">
        <v>2219</v>
      </c>
      <c r="F29" s="8">
        <v>9846</v>
      </c>
      <c r="G29" s="8">
        <v>0</v>
      </c>
      <c r="H29" s="8">
        <v>38500</v>
      </c>
      <c r="I29" s="8">
        <v>9846</v>
      </c>
      <c r="J29" s="8">
        <v>0</v>
      </c>
      <c r="K29" s="8">
        <v>9846</v>
      </c>
      <c r="L29" s="8">
        <v>0</v>
      </c>
    </row>
    <row r="30" spans="1:12" x14ac:dyDescent="0.25">
      <c r="A30" s="6" t="s">
        <v>61</v>
      </c>
      <c r="B30" s="6" t="s">
        <v>1806</v>
      </c>
      <c r="C30" s="8">
        <v>4</v>
      </c>
      <c r="D30" s="6" t="s">
        <v>2247</v>
      </c>
      <c r="E30" s="6" t="s">
        <v>2219</v>
      </c>
      <c r="F30" s="8">
        <v>9858</v>
      </c>
      <c r="G30" s="8">
        <v>0</v>
      </c>
      <c r="H30" s="8">
        <v>38500</v>
      </c>
      <c r="I30" s="8">
        <v>9858</v>
      </c>
      <c r="J30" s="8">
        <v>0</v>
      </c>
      <c r="K30" s="8">
        <v>9858</v>
      </c>
      <c r="L30" s="8">
        <v>0</v>
      </c>
    </row>
    <row r="31" spans="1:12" x14ac:dyDescent="0.25">
      <c r="A31" s="6" t="s">
        <v>61</v>
      </c>
      <c r="B31" s="6" t="s">
        <v>1806</v>
      </c>
      <c r="C31" s="8">
        <v>5</v>
      </c>
      <c r="D31" s="6" t="s">
        <v>2248</v>
      </c>
      <c r="E31" s="6" t="s">
        <v>2219</v>
      </c>
      <c r="F31" s="8">
        <v>9894</v>
      </c>
      <c r="G31" s="8">
        <v>0</v>
      </c>
      <c r="H31" s="8">
        <v>38500</v>
      </c>
      <c r="I31" s="8">
        <v>9894</v>
      </c>
      <c r="J31" s="8">
        <v>0</v>
      </c>
      <c r="K31" s="8">
        <v>9894</v>
      </c>
      <c r="L31" s="8">
        <v>0</v>
      </c>
    </row>
    <row r="32" spans="1:12" x14ac:dyDescent="0.25">
      <c r="A32" s="6" t="s">
        <v>61</v>
      </c>
      <c r="B32" s="6" t="s">
        <v>1806</v>
      </c>
      <c r="C32" s="8">
        <v>6</v>
      </c>
      <c r="D32" s="6" t="s">
        <v>2249</v>
      </c>
      <c r="E32" s="6" t="s">
        <v>2219</v>
      </c>
      <c r="F32" s="8">
        <v>9950</v>
      </c>
      <c r="G32" s="8">
        <v>1019</v>
      </c>
      <c r="H32" s="8">
        <v>38500</v>
      </c>
      <c r="I32" s="8">
        <v>8931</v>
      </c>
      <c r="J32" s="8">
        <v>1019</v>
      </c>
      <c r="K32" s="8">
        <v>8931</v>
      </c>
      <c r="L32" s="10">
        <v>10.2</v>
      </c>
    </row>
    <row r="33" spans="1:12" x14ac:dyDescent="0.25">
      <c r="A33" s="6" t="s">
        <v>61</v>
      </c>
      <c r="B33" s="6" t="s">
        <v>1806</v>
      </c>
      <c r="C33" s="8">
        <v>7</v>
      </c>
      <c r="D33" s="6" t="s">
        <v>2250</v>
      </c>
      <c r="E33" s="6" t="s">
        <v>2219</v>
      </c>
      <c r="F33" s="8">
        <v>10024</v>
      </c>
      <c r="G33" s="8">
        <v>6383</v>
      </c>
      <c r="H33" s="8">
        <v>38500</v>
      </c>
      <c r="I33" s="8">
        <v>3641</v>
      </c>
      <c r="J33" s="8">
        <v>6383</v>
      </c>
      <c r="K33" s="8">
        <v>3641</v>
      </c>
      <c r="L33" s="10">
        <v>63.7</v>
      </c>
    </row>
    <row r="34" spans="1:12" x14ac:dyDescent="0.25">
      <c r="A34" s="6" t="s">
        <v>61</v>
      </c>
      <c r="B34" s="6" t="s">
        <v>1806</v>
      </c>
      <c r="C34" s="8">
        <v>8</v>
      </c>
      <c r="D34" s="6" t="s">
        <v>2251</v>
      </c>
      <c r="E34" s="6" t="s">
        <v>2219</v>
      </c>
      <c r="F34" s="8">
        <v>10111</v>
      </c>
      <c r="G34" s="8">
        <v>14220</v>
      </c>
      <c r="H34" s="8">
        <v>38500</v>
      </c>
      <c r="I34" s="8">
        <v>0</v>
      </c>
      <c r="J34" s="8">
        <v>10111</v>
      </c>
      <c r="K34" s="8">
        <v>0</v>
      </c>
      <c r="L34" s="8">
        <v>100</v>
      </c>
    </row>
    <row r="35" spans="1:12" x14ac:dyDescent="0.25">
      <c r="A35" s="6" t="s">
        <v>61</v>
      </c>
      <c r="B35" s="6" t="s">
        <v>1806</v>
      </c>
      <c r="C35" s="8">
        <v>9</v>
      </c>
      <c r="D35" s="6" t="s">
        <v>2252</v>
      </c>
      <c r="E35" s="6" t="s">
        <v>2219</v>
      </c>
      <c r="F35" s="8">
        <v>10203</v>
      </c>
      <c r="G35" s="8">
        <v>22729</v>
      </c>
      <c r="H35" s="8">
        <v>38500</v>
      </c>
      <c r="I35" s="8">
        <v>0</v>
      </c>
      <c r="J35" s="8">
        <v>10203</v>
      </c>
      <c r="K35" s="8">
        <v>0</v>
      </c>
      <c r="L35" s="8">
        <v>100</v>
      </c>
    </row>
    <row r="36" spans="1:12" x14ac:dyDescent="0.25">
      <c r="A36" s="6" t="s">
        <v>61</v>
      </c>
      <c r="B36" s="6" t="s">
        <v>1806</v>
      </c>
      <c r="C36" s="8">
        <v>10</v>
      </c>
      <c r="D36" s="6" t="s">
        <v>2253</v>
      </c>
      <c r="E36" s="6" t="s">
        <v>2219</v>
      </c>
      <c r="F36" s="8">
        <v>10295</v>
      </c>
      <c r="G36" s="8">
        <v>30243</v>
      </c>
      <c r="H36" s="8">
        <v>38500</v>
      </c>
      <c r="I36" s="8">
        <v>0</v>
      </c>
      <c r="J36" s="8">
        <v>10295</v>
      </c>
      <c r="K36" s="8">
        <v>0</v>
      </c>
      <c r="L36" s="8">
        <v>100</v>
      </c>
    </row>
    <row r="37" spans="1:12" x14ac:dyDescent="0.25">
      <c r="A37" s="6" t="s">
        <v>61</v>
      </c>
      <c r="B37" s="6" t="s">
        <v>1806</v>
      </c>
      <c r="C37" s="8">
        <v>11</v>
      </c>
      <c r="D37" s="6" t="s">
        <v>2254</v>
      </c>
      <c r="E37" s="6" t="s">
        <v>2219</v>
      </c>
      <c r="F37" s="8">
        <v>10382</v>
      </c>
      <c r="G37" s="8">
        <v>35373</v>
      </c>
      <c r="H37" s="8">
        <v>38500</v>
      </c>
      <c r="I37" s="8">
        <v>0</v>
      </c>
      <c r="J37" s="8">
        <v>10382</v>
      </c>
      <c r="K37" s="8">
        <v>0</v>
      </c>
      <c r="L37" s="8">
        <v>100</v>
      </c>
    </row>
    <row r="38" spans="1:12" x14ac:dyDescent="0.25">
      <c r="A38" s="6" t="s">
        <v>61</v>
      </c>
      <c r="B38" s="6" t="s">
        <v>1806</v>
      </c>
      <c r="C38" s="8">
        <v>12</v>
      </c>
      <c r="D38" s="6" t="s">
        <v>2255</v>
      </c>
      <c r="E38" s="6" t="s">
        <v>2219</v>
      </c>
      <c r="F38" s="8">
        <v>10455</v>
      </c>
      <c r="G38" s="8">
        <v>37191</v>
      </c>
      <c r="H38" s="8">
        <v>38500</v>
      </c>
      <c r="I38" s="8">
        <v>0</v>
      </c>
      <c r="J38" s="8">
        <v>10455</v>
      </c>
      <c r="K38" s="8">
        <v>0</v>
      </c>
      <c r="L38" s="8">
        <v>100</v>
      </c>
    </row>
    <row r="39" spans="1:12" x14ac:dyDescent="0.25">
      <c r="A39" s="6" t="s">
        <v>61</v>
      </c>
      <c r="B39" s="6" t="s">
        <v>1806</v>
      </c>
      <c r="C39" s="8">
        <v>13</v>
      </c>
      <c r="D39" s="6" t="s">
        <v>2256</v>
      </c>
      <c r="E39" s="6" t="s">
        <v>2219</v>
      </c>
      <c r="F39" s="8">
        <v>10512</v>
      </c>
      <c r="G39" s="8">
        <v>35373</v>
      </c>
      <c r="H39" s="8">
        <v>38500</v>
      </c>
      <c r="I39" s="8">
        <v>0</v>
      </c>
      <c r="J39" s="8">
        <v>10512</v>
      </c>
      <c r="K39" s="8">
        <v>0</v>
      </c>
      <c r="L39" s="8">
        <v>100</v>
      </c>
    </row>
    <row r="40" spans="1:12" x14ac:dyDescent="0.25">
      <c r="A40" s="6" t="s">
        <v>61</v>
      </c>
      <c r="B40" s="6" t="s">
        <v>1806</v>
      </c>
      <c r="C40" s="8">
        <v>14</v>
      </c>
      <c r="D40" s="6" t="s">
        <v>2257</v>
      </c>
      <c r="E40" s="6" t="s">
        <v>2219</v>
      </c>
      <c r="F40" s="8">
        <v>10548</v>
      </c>
      <c r="G40" s="8">
        <v>30243</v>
      </c>
      <c r="H40" s="8">
        <v>38500</v>
      </c>
      <c r="I40" s="8">
        <v>0</v>
      </c>
      <c r="J40" s="8">
        <v>10548</v>
      </c>
      <c r="K40" s="8">
        <v>0</v>
      </c>
      <c r="L40" s="8">
        <v>100</v>
      </c>
    </row>
    <row r="41" spans="1:12" x14ac:dyDescent="0.25">
      <c r="A41" s="6" t="s">
        <v>61</v>
      </c>
      <c r="B41" s="6" t="s">
        <v>1806</v>
      </c>
      <c r="C41" s="8">
        <v>15</v>
      </c>
      <c r="D41" s="6" t="s">
        <v>2258</v>
      </c>
      <c r="E41" s="6" t="s">
        <v>2219</v>
      </c>
      <c r="F41" s="8">
        <v>10560</v>
      </c>
      <c r="G41" s="8">
        <v>22729</v>
      </c>
      <c r="H41" s="8">
        <v>38500</v>
      </c>
      <c r="I41" s="8">
        <v>0</v>
      </c>
      <c r="J41" s="8">
        <v>10560</v>
      </c>
      <c r="K41" s="8">
        <v>0</v>
      </c>
      <c r="L41" s="8">
        <v>100</v>
      </c>
    </row>
    <row r="42" spans="1:12" x14ac:dyDescent="0.25">
      <c r="A42" s="6" t="s">
        <v>61</v>
      </c>
      <c r="B42" s="6" t="s">
        <v>1806</v>
      </c>
      <c r="C42" s="8">
        <v>16</v>
      </c>
      <c r="D42" s="6" t="s">
        <v>2259</v>
      </c>
      <c r="E42" s="6" t="s">
        <v>2219</v>
      </c>
      <c r="F42" s="8">
        <v>10548</v>
      </c>
      <c r="G42" s="8">
        <v>14220</v>
      </c>
      <c r="H42" s="8">
        <v>38500</v>
      </c>
      <c r="I42" s="8">
        <v>0</v>
      </c>
      <c r="J42" s="8">
        <v>10548</v>
      </c>
      <c r="K42" s="8">
        <v>0</v>
      </c>
      <c r="L42" s="8">
        <v>100</v>
      </c>
    </row>
    <row r="43" spans="1:12" x14ac:dyDescent="0.25">
      <c r="A43" s="6" t="s">
        <v>61</v>
      </c>
      <c r="B43" s="6" t="s">
        <v>1806</v>
      </c>
      <c r="C43" s="8">
        <v>17</v>
      </c>
      <c r="D43" s="6" t="s">
        <v>2260</v>
      </c>
      <c r="E43" s="6" t="s">
        <v>2219</v>
      </c>
      <c r="F43" s="8">
        <v>10512</v>
      </c>
      <c r="G43" s="8">
        <v>6383</v>
      </c>
      <c r="H43" s="8">
        <v>38500</v>
      </c>
      <c r="I43" s="8">
        <v>4129</v>
      </c>
      <c r="J43" s="8">
        <v>6383</v>
      </c>
      <c r="K43" s="8">
        <v>4129</v>
      </c>
      <c r="L43" s="10">
        <v>60.7</v>
      </c>
    </row>
    <row r="44" spans="1:12" x14ac:dyDescent="0.25">
      <c r="A44" s="6" t="s">
        <v>61</v>
      </c>
      <c r="B44" s="6" t="s">
        <v>1806</v>
      </c>
      <c r="C44" s="8">
        <v>18</v>
      </c>
      <c r="D44" s="6" t="s">
        <v>2261</v>
      </c>
      <c r="E44" s="6" t="s">
        <v>2219</v>
      </c>
      <c r="F44" s="8">
        <v>10455</v>
      </c>
      <c r="G44" s="8">
        <v>1019</v>
      </c>
      <c r="H44" s="8">
        <v>38500</v>
      </c>
      <c r="I44" s="8">
        <v>9436</v>
      </c>
      <c r="J44" s="8">
        <v>1019</v>
      </c>
      <c r="K44" s="8">
        <v>9436</v>
      </c>
      <c r="L44" s="10">
        <v>9.7</v>
      </c>
    </row>
    <row r="45" spans="1:12" x14ac:dyDescent="0.25">
      <c r="A45" s="6" t="s">
        <v>61</v>
      </c>
      <c r="B45" s="6" t="s">
        <v>1806</v>
      </c>
      <c r="C45" s="8">
        <v>19</v>
      </c>
      <c r="D45" s="6" t="s">
        <v>2262</v>
      </c>
      <c r="E45" s="6" t="s">
        <v>2219</v>
      </c>
      <c r="F45" s="8">
        <v>10382</v>
      </c>
      <c r="G45" s="8">
        <v>0</v>
      </c>
      <c r="H45" s="8">
        <v>38500</v>
      </c>
      <c r="I45" s="8">
        <v>10382</v>
      </c>
      <c r="J45" s="8">
        <v>0</v>
      </c>
      <c r="K45" s="8">
        <v>10382</v>
      </c>
      <c r="L45" s="8">
        <v>0</v>
      </c>
    </row>
    <row r="46" spans="1:12" x14ac:dyDescent="0.25">
      <c r="A46" s="6" t="s">
        <v>61</v>
      </c>
      <c r="B46" s="6" t="s">
        <v>1806</v>
      </c>
      <c r="C46" s="8">
        <v>20</v>
      </c>
      <c r="D46" s="6" t="s">
        <v>2263</v>
      </c>
      <c r="E46" s="6" t="s">
        <v>2219</v>
      </c>
      <c r="F46" s="8">
        <v>10295</v>
      </c>
      <c r="G46" s="8">
        <v>0</v>
      </c>
      <c r="H46" s="8">
        <v>38500</v>
      </c>
      <c r="I46" s="8">
        <v>10295</v>
      </c>
      <c r="J46" s="8">
        <v>0</v>
      </c>
      <c r="K46" s="8">
        <v>10295</v>
      </c>
      <c r="L46" s="8">
        <v>0</v>
      </c>
    </row>
    <row r="47" spans="1:12" x14ac:dyDescent="0.25">
      <c r="A47" s="6" t="s">
        <v>61</v>
      </c>
      <c r="B47" s="6" t="s">
        <v>1806</v>
      </c>
      <c r="C47" s="8">
        <v>21</v>
      </c>
      <c r="D47" s="6" t="s">
        <v>2264</v>
      </c>
      <c r="E47" s="6" t="s">
        <v>2219</v>
      </c>
      <c r="F47" s="8">
        <v>10203</v>
      </c>
      <c r="G47" s="8">
        <v>0</v>
      </c>
      <c r="H47" s="8">
        <v>38500</v>
      </c>
      <c r="I47" s="8">
        <v>10203</v>
      </c>
      <c r="J47" s="8">
        <v>0</v>
      </c>
      <c r="K47" s="8">
        <v>10203</v>
      </c>
      <c r="L47" s="8">
        <v>0</v>
      </c>
    </row>
    <row r="48" spans="1:12" x14ac:dyDescent="0.25">
      <c r="A48" s="6" t="s">
        <v>61</v>
      </c>
      <c r="B48" s="6" t="s">
        <v>1806</v>
      </c>
      <c r="C48" s="8">
        <v>22</v>
      </c>
      <c r="D48" s="6" t="s">
        <v>2265</v>
      </c>
      <c r="E48" s="6" t="s">
        <v>2219</v>
      </c>
      <c r="F48" s="8">
        <v>10111</v>
      </c>
      <c r="G48" s="8">
        <v>0</v>
      </c>
      <c r="H48" s="8">
        <v>38500</v>
      </c>
      <c r="I48" s="8">
        <v>10111</v>
      </c>
      <c r="J48" s="8">
        <v>0</v>
      </c>
      <c r="K48" s="8">
        <v>10111</v>
      </c>
      <c r="L48" s="8">
        <v>0</v>
      </c>
    </row>
    <row r="49" spans="1:12" x14ac:dyDescent="0.25">
      <c r="A49" s="6" t="s">
        <v>61</v>
      </c>
      <c r="B49" s="6" t="s">
        <v>1806</v>
      </c>
      <c r="C49" s="8">
        <v>23</v>
      </c>
      <c r="D49" s="6" t="s">
        <v>2266</v>
      </c>
      <c r="E49" s="6" t="s">
        <v>2219</v>
      </c>
      <c r="F49" s="8">
        <v>10024</v>
      </c>
      <c r="G49" s="8">
        <v>0</v>
      </c>
      <c r="H49" s="8">
        <v>38500</v>
      </c>
      <c r="I49" s="8">
        <v>10024</v>
      </c>
      <c r="J49" s="8">
        <v>0</v>
      </c>
      <c r="K49" s="8">
        <v>10024</v>
      </c>
      <c r="L49" s="8">
        <v>0</v>
      </c>
    </row>
    <row r="50" spans="1:12" x14ac:dyDescent="0.25">
      <c r="A50" s="6" t="s">
        <v>61</v>
      </c>
      <c r="B50" s="6" t="s">
        <v>2267</v>
      </c>
      <c r="C50" s="8">
        <v>0</v>
      </c>
      <c r="D50" s="6" t="s">
        <v>2268</v>
      </c>
      <c r="E50" s="6" t="s">
        <v>2269</v>
      </c>
      <c r="F50" s="8">
        <v>9950</v>
      </c>
      <c r="G50" s="8">
        <v>0</v>
      </c>
      <c r="H50" s="8">
        <v>38500</v>
      </c>
      <c r="I50" s="8">
        <v>9950</v>
      </c>
      <c r="J50" s="8">
        <v>0</v>
      </c>
      <c r="K50" s="8">
        <v>9950</v>
      </c>
      <c r="L50" s="8">
        <v>0</v>
      </c>
    </row>
    <row r="51" spans="1:12" x14ac:dyDescent="0.25">
      <c r="A51" s="6" t="s">
        <v>61</v>
      </c>
      <c r="B51" s="6" t="s">
        <v>2267</v>
      </c>
      <c r="C51" s="8">
        <v>1</v>
      </c>
      <c r="D51" s="6" t="s">
        <v>2270</v>
      </c>
      <c r="E51" s="6" t="s">
        <v>2269</v>
      </c>
      <c r="F51" s="8">
        <v>9894</v>
      </c>
      <c r="G51" s="8">
        <v>0</v>
      </c>
      <c r="H51" s="8">
        <v>38500</v>
      </c>
      <c r="I51" s="8">
        <v>9894</v>
      </c>
      <c r="J51" s="8">
        <v>0</v>
      </c>
      <c r="K51" s="8">
        <v>9894</v>
      </c>
      <c r="L51" s="8">
        <v>0</v>
      </c>
    </row>
    <row r="52" spans="1:12" x14ac:dyDescent="0.25">
      <c r="A52" s="6" t="s">
        <v>61</v>
      </c>
      <c r="B52" s="6" t="s">
        <v>2267</v>
      </c>
      <c r="C52" s="8">
        <v>2</v>
      </c>
      <c r="D52" s="6" t="s">
        <v>2271</v>
      </c>
      <c r="E52" s="6" t="s">
        <v>2269</v>
      </c>
      <c r="F52" s="8">
        <v>9858</v>
      </c>
      <c r="G52" s="8">
        <v>0</v>
      </c>
      <c r="H52" s="8">
        <v>38500</v>
      </c>
      <c r="I52" s="8">
        <v>9858</v>
      </c>
      <c r="J52" s="8">
        <v>0</v>
      </c>
      <c r="K52" s="8">
        <v>9858</v>
      </c>
      <c r="L52" s="8">
        <v>0</v>
      </c>
    </row>
    <row r="53" spans="1:12" x14ac:dyDescent="0.25">
      <c r="A53" s="6" t="s">
        <v>61</v>
      </c>
      <c r="B53" s="6" t="s">
        <v>2267</v>
      </c>
      <c r="C53" s="8">
        <v>3</v>
      </c>
      <c r="D53" s="6" t="s">
        <v>2272</v>
      </c>
      <c r="E53" s="6" t="s">
        <v>2269</v>
      </c>
      <c r="F53" s="8">
        <v>9846</v>
      </c>
      <c r="G53" s="8">
        <v>0</v>
      </c>
      <c r="H53" s="8">
        <v>38500</v>
      </c>
      <c r="I53" s="8">
        <v>9846</v>
      </c>
      <c r="J53" s="8">
        <v>0</v>
      </c>
      <c r="K53" s="8">
        <v>9846</v>
      </c>
      <c r="L53" s="8">
        <v>0</v>
      </c>
    </row>
    <row r="54" spans="1:12" x14ac:dyDescent="0.25">
      <c r="A54" s="6" t="s">
        <v>61</v>
      </c>
      <c r="B54" s="6" t="s">
        <v>2267</v>
      </c>
      <c r="C54" s="8">
        <v>4</v>
      </c>
      <c r="D54" s="6" t="s">
        <v>2273</v>
      </c>
      <c r="E54" s="6" t="s">
        <v>2269</v>
      </c>
      <c r="F54" s="8">
        <v>9858</v>
      </c>
      <c r="G54" s="8">
        <v>0</v>
      </c>
      <c r="H54" s="8">
        <v>38500</v>
      </c>
      <c r="I54" s="8">
        <v>9858</v>
      </c>
      <c r="J54" s="8">
        <v>0</v>
      </c>
      <c r="K54" s="8">
        <v>9858</v>
      </c>
      <c r="L54" s="8">
        <v>0</v>
      </c>
    </row>
    <row r="55" spans="1:12" x14ac:dyDescent="0.25">
      <c r="A55" s="6" t="s">
        <v>61</v>
      </c>
      <c r="B55" s="6" t="s">
        <v>2267</v>
      </c>
      <c r="C55" s="8">
        <v>5</v>
      </c>
      <c r="D55" s="6" t="s">
        <v>2274</v>
      </c>
      <c r="E55" s="6" t="s">
        <v>2269</v>
      </c>
      <c r="F55" s="8">
        <v>9894</v>
      </c>
      <c r="G55" s="8">
        <v>0</v>
      </c>
      <c r="H55" s="8">
        <v>38500</v>
      </c>
      <c r="I55" s="8">
        <v>9894</v>
      </c>
      <c r="J55" s="8">
        <v>0</v>
      </c>
      <c r="K55" s="8">
        <v>9894</v>
      </c>
      <c r="L55" s="8">
        <v>0</v>
      </c>
    </row>
    <row r="56" spans="1:12" x14ac:dyDescent="0.25">
      <c r="A56" s="6" t="s">
        <v>61</v>
      </c>
      <c r="B56" s="6" t="s">
        <v>2267</v>
      </c>
      <c r="C56" s="8">
        <v>6</v>
      </c>
      <c r="D56" s="6" t="s">
        <v>2275</v>
      </c>
      <c r="E56" s="6" t="s">
        <v>2269</v>
      </c>
      <c r="F56" s="8">
        <v>9950</v>
      </c>
      <c r="G56" s="8">
        <v>747</v>
      </c>
      <c r="H56" s="8">
        <v>38500</v>
      </c>
      <c r="I56" s="8">
        <v>9203</v>
      </c>
      <c r="J56" s="8">
        <v>747</v>
      </c>
      <c r="K56" s="8">
        <v>9203</v>
      </c>
      <c r="L56" s="10">
        <v>7.5</v>
      </c>
    </row>
    <row r="57" spans="1:12" x14ac:dyDescent="0.25">
      <c r="A57" s="6" t="s">
        <v>61</v>
      </c>
      <c r="B57" s="6" t="s">
        <v>2267</v>
      </c>
      <c r="C57" s="8">
        <v>7</v>
      </c>
      <c r="D57" s="6" t="s">
        <v>2276</v>
      </c>
      <c r="E57" s="6" t="s">
        <v>2269</v>
      </c>
      <c r="F57" s="8">
        <v>10024</v>
      </c>
      <c r="G57" s="8">
        <v>4678</v>
      </c>
      <c r="H57" s="8">
        <v>38500</v>
      </c>
      <c r="I57" s="8">
        <v>5346</v>
      </c>
      <c r="J57" s="8">
        <v>4678</v>
      </c>
      <c r="K57" s="8">
        <v>5346</v>
      </c>
      <c r="L57" s="10">
        <v>46.7</v>
      </c>
    </row>
    <row r="58" spans="1:12" x14ac:dyDescent="0.25">
      <c r="A58" s="6" t="s">
        <v>61</v>
      </c>
      <c r="B58" s="6" t="s">
        <v>2267</v>
      </c>
      <c r="C58" s="8">
        <v>8</v>
      </c>
      <c r="D58" s="6" t="s">
        <v>2277</v>
      </c>
      <c r="E58" s="6" t="s">
        <v>2269</v>
      </c>
      <c r="F58" s="8">
        <v>10111</v>
      </c>
      <c r="G58" s="8">
        <v>10423</v>
      </c>
      <c r="H58" s="8">
        <v>38500</v>
      </c>
      <c r="I58" s="8">
        <v>0</v>
      </c>
      <c r="J58" s="8">
        <v>10111</v>
      </c>
      <c r="K58" s="8">
        <v>0</v>
      </c>
      <c r="L58" s="8">
        <v>100</v>
      </c>
    </row>
    <row r="59" spans="1:12" x14ac:dyDescent="0.25">
      <c r="A59" s="6" t="s">
        <v>61</v>
      </c>
      <c r="B59" s="6" t="s">
        <v>2267</v>
      </c>
      <c r="C59" s="8">
        <v>9</v>
      </c>
      <c r="D59" s="6" t="s">
        <v>2278</v>
      </c>
      <c r="E59" s="6" t="s">
        <v>2269</v>
      </c>
      <c r="F59" s="8">
        <v>10203</v>
      </c>
      <c r="G59" s="8">
        <v>16659</v>
      </c>
      <c r="H59" s="8">
        <v>38500</v>
      </c>
      <c r="I59" s="8">
        <v>0</v>
      </c>
      <c r="J59" s="8">
        <v>10203</v>
      </c>
      <c r="K59" s="8">
        <v>0</v>
      </c>
      <c r="L59" s="8">
        <v>100</v>
      </c>
    </row>
    <row r="60" spans="1:12" x14ac:dyDescent="0.25">
      <c r="A60" s="6" t="s">
        <v>61</v>
      </c>
      <c r="B60" s="6" t="s">
        <v>2267</v>
      </c>
      <c r="C60" s="8">
        <v>10</v>
      </c>
      <c r="D60" s="6" t="s">
        <v>2279</v>
      </c>
      <c r="E60" s="6" t="s">
        <v>2269</v>
      </c>
      <c r="F60" s="8">
        <v>10295</v>
      </c>
      <c r="G60" s="8">
        <v>22167</v>
      </c>
      <c r="H60" s="8">
        <v>38500</v>
      </c>
      <c r="I60" s="8">
        <v>0</v>
      </c>
      <c r="J60" s="8">
        <v>10295</v>
      </c>
      <c r="K60" s="8">
        <v>0</v>
      </c>
      <c r="L60" s="8">
        <v>100</v>
      </c>
    </row>
    <row r="61" spans="1:12" x14ac:dyDescent="0.25">
      <c r="A61" s="6" t="s">
        <v>61</v>
      </c>
      <c r="B61" s="6" t="s">
        <v>2267</v>
      </c>
      <c r="C61" s="8">
        <v>11</v>
      </c>
      <c r="D61" s="6" t="s">
        <v>2280</v>
      </c>
      <c r="E61" s="6" t="s">
        <v>2269</v>
      </c>
      <c r="F61" s="8">
        <v>10382</v>
      </c>
      <c r="G61" s="8">
        <v>25926</v>
      </c>
      <c r="H61" s="8">
        <v>38500</v>
      </c>
      <c r="I61" s="8">
        <v>0</v>
      </c>
      <c r="J61" s="8">
        <v>10382</v>
      </c>
      <c r="K61" s="8">
        <v>0</v>
      </c>
      <c r="L61" s="8">
        <v>100</v>
      </c>
    </row>
    <row r="62" spans="1:12" x14ac:dyDescent="0.25">
      <c r="A62" s="6" t="s">
        <v>61</v>
      </c>
      <c r="B62" s="6" t="s">
        <v>2267</v>
      </c>
      <c r="C62" s="8">
        <v>12</v>
      </c>
      <c r="D62" s="6" t="s">
        <v>2281</v>
      </c>
      <c r="E62" s="6" t="s">
        <v>2269</v>
      </c>
      <c r="F62" s="8">
        <v>10455</v>
      </c>
      <c r="G62" s="8">
        <v>27259</v>
      </c>
      <c r="H62" s="8">
        <v>38500</v>
      </c>
      <c r="I62" s="8">
        <v>0</v>
      </c>
      <c r="J62" s="8">
        <v>10455</v>
      </c>
      <c r="K62" s="8">
        <v>0</v>
      </c>
      <c r="L62" s="8">
        <v>100</v>
      </c>
    </row>
    <row r="63" spans="1:12" x14ac:dyDescent="0.25">
      <c r="A63" s="6" t="s">
        <v>61</v>
      </c>
      <c r="B63" s="6" t="s">
        <v>2267</v>
      </c>
      <c r="C63" s="8">
        <v>13</v>
      </c>
      <c r="D63" s="6" t="s">
        <v>2282</v>
      </c>
      <c r="E63" s="6" t="s">
        <v>2269</v>
      </c>
      <c r="F63" s="8">
        <v>10512</v>
      </c>
      <c r="G63" s="8">
        <v>25926</v>
      </c>
      <c r="H63" s="8">
        <v>38500</v>
      </c>
      <c r="I63" s="8">
        <v>0</v>
      </c>
      <c r="J63" s="8">
        <v>10512</v>
      </c>
      <c r="K63" s="8">
        <v>0</v>
      </c>
      <c r="L63" s="8">
        <v>100</v>
      </c>
    </row>
    <row r="64" spans="1:12" x14ac:dyDescent="0.25">
      <c r="A64" s="6" t="s">
        <v>61</v>
      </c>
      <c r="B64" s="6" t="s">
        <v>2267</v>
      </c>
      <c r="C64" s="8">
        <v>14</v>
      </c>
      <c r="D64" s="6" t="s">
        <v>2283</v>
      </c>
      <c r="E64" s="6" t="s">
        <v>2269</v>
      </c>
      <c r="F64" s="8">
        <v>10548</v>
      </c>
      <c r="G64" s="8">
        <v>22167</v>
      </c>
      <c r="H64" s="8">
        <v>38500</v>
      </c>
      <c r="I64" s="8">
        <v>0</v>
      </c>
      <c r="J64" s="8">
        <v>10548</v>
      </c>
      <c r="K64" s="8">
        <v>0</v>
      </c>
      <c r="L64" s="8">
        <v>100</v>
      </c>
    </row>
    <row r="65" spans="1:12" x14ac:dyDescent="0.25">
      <c r="A65" s="6" t="s">
        <v>61</v>
      </c>
      <c r="B65" s="6" t="s">
        <v>2267</v>
      </c>
      <c r="C65" s="8">
        <v>15</v>
      </c>
      <c r="D65" s="6" t="s">
        <v>2284</v>
      </c>
      <c r="E65" s="6" t="s">
        <v>2269</v>
      </c>
      <c r="F65" s="8">
        <v>10560</v>
      </c>
      <c r="G65" s="8">
        <v>16659</v>
      </c>
      <c r="H65" s="8">
        <v>38500</v>
      </c>
      <c r="I65" s="8">
        <v>0</v>
      </c>
      <c r="J65" s="8">
        <v>10560</v>
      </c>
      <c r="K65" s="8">
        <v>0</v>
      </c>
      <c r="L65" s="8">
        <v>100</v>
      </c>
    </row>
    <row r="66" spans="1:12" x14ac:dyDescent="0.25">
      <c r="A66" s="6" t="s">
        <v>61</v>
      </c>
      <c r="B66" s="6" t="s">
        <v>2267</v>
      </c>
      <c r="C66" s="8">
        <v>16</v>
      </c>
      <c r="D66" s="6" t="s">
        <v>2285</v>
      </c>
      <c r="E66" s="6" t="s">
        <v>2269</v>
      </c>
      <c r="F66" s="8">
        <v>10548</v>
      </c>
      <c r="G66" s="8">
        <v>10423</v>
      </c>
      <c r="H66" s="8">
        <v>38500</v>
      </c>
      <c r="I66" s="8">
        <v>125</v>
      </c>
      <c r="J66" s="8">
        <v>10423</v>
      </c>
      <c r="K66" s="8">
        <v>125</v>
      </c>
      <c r="L66" s="10">
        <v>98.8</v>
      </c>
    </row>
    <row r="67" spans="1:12" x14ac:dyDescent="0.25">
      <c r="A67" s="6" t="s">
        <v>61</v>
      </c>
      <c r="B67" s="6" t="s">
        <v>2267</v>
      </c>
      <c r="C67" s="8">
        <v>17</v>
      </c>
      <c r="D67" s="6" t="s">
        <v>2286</v>
      </c>
      <c r="E67" s="6" t="s">
        <v>2269</v>
      </c>
      <c r="F67" s="8">
        <v>10512</v>
      </c>
      <c r="G67" s="8">
        <v>4678</v>
      </c>
      <c r="H67" s="8">
        <v>38500</v>
      </c>
      <c r="I67" s="8">
        <v>5834</v>
      </c>
      <c r="J67" s="8">
        <v>4678</v>
      </c>
      <c r="K67" s="8">
        <v>5834</v>
      </c>
      <c r="L67" s="10">
        <v>44.5</v>
      </c>
    </row>
    <row r="68" spans="1:12" x14ac:dyDescent="0.25">
      <c r="A68" s="6" t="s">
        <v>61</v>
      </c>
      <c r="B68" s="6" t="s">
        <v>2267</v>
      </c>
      <c r="C68" s="8">
        <v>18</v>
      </c>
      <c r="D68" s="6" t="s">
        <v>2287</v>
      </c>
      <c r="E68" s="6" t="s">
        <v>2269</v>
      </c>
      <c r="F68" s="8">
        <v>10455</v>
      </c>
      <c r="G68" s="8">
        <v>747</v>
      </c>
      <c r="H68" s="8">
        <v>38500</v>
      </c>
      <c r="I68" s="8">
        <v>9708</v>
      </c>
      <c r="J68" s="8">
        <v>747</v>
      </c>
      <c r="K68" s="8">
        <v>9708</v>
      </c>
      <c r="L68" s="10">
        <v>7.1</v>
      </c>
    </row>
    <row r="69" spans="1:12" x14ac:dyDescent="0.25">
      <c r="A69" s="6" t="s">
        <v>61</v>
      </c>
      <c r="B69" s="6" t="s">
        <v>2267</v>
      </c>
      <c r="C69" s="8">
        <v>19</v>
      </c>
      <c r="D69" s="6" t="s">
        <v>2288</v>
      </c>
      <c r="E69" s="6" t="s">
        <v>2269</v>
      </c>
      <c r="F69" s="8">
        <v>10382</v>
      </c>
      <c r="G69" s="8">
        <v>0</v>
      </c>
      <c r="H69" s="8">
        <v>38500</v>
      </c>
      <c r="I69" s="8">
        <v>10382</v>
      </c>
      <c r="J69" s="8">
        <v>0</v>
      </c>
      <c r="K69" s="8">
        <v>10382</v>
      </c>
      <c r="L69" s="8">
        <v>0</v>
      </c>
    </row>
    <row r="70" spans="1:12" x14ac:dyDescent="0.25">
      <c r="A70" s="6" t="s">
        <v>61</v>
      </c>
      <c r="B70" s="6" t="s">
        <v>2267</v>
      </c>
      <c r="C70" s="8">
        <v>20</v>
      </c>
      <c r="D70" s="6" t="s">
        <v>2289</v>
      </c>
      <c r="E70" s="6" t="s">
        <v>2269</v>
      </c>
      <c r="F70" s="8">
        <v>10295</v>
      </c>
      <c r="G70" s="8">
        <v>0</v>
      </c>
      <c r="H70" s="8">
        <v>38500</v>
      </c>
      <c r="I70" s="8">
        <v>10295</v>
      </c>
      <c r="J70" s="8">
        <v>0</v>
      </c>
      <c r="K70" s="8">
        <v>10295</v>
      </c>
      <c r="L70" s="8">
        <v>0</v>
      </c>
    </row>
    <row r="71" spans="1:12" x14ac:dyDescent="0.25">
      <c r="A71" s="6" t="s">
        <v>61</v>
      </c>
      <c r="B71" s="6" t="s">
        <v>2267</v>
      </c>
      <c r="C71" s="8">
        <v>21</v>
      </c>
      <c r="D71" s="6" t="s">
        <v>2290</v>
      </c>
      <c r="E71" s="6" t="s">
        <v>2269</v>
      </c>
      <c r="F71" s="8">
        <v>10203</v>
      </c>
      <c r="G71" s="8">
        <v>0</v>
      </c>
      <c r="H71" s="8">
        <v>38500</v>
      </c>
      <c r="I71" s="8">
        <v>10203</v>
      </c>
      <c r="J71" s="8">
        <v>0</v>
      </c>
      <c r="K71" s="8">
        <v>10203</v>
      </c>
      <c r="L71" s="8">
        <v>0</v>
      </c>
    </row>
    <row r="72" spans="1:12" x14ac:dyDescent="0.25">
      <c r="A72" s="6" t="s">
        <v>61</v>
      </c>
      <c r="B72" s="6" t="s">
        <v>2267</v>
      </c>
      <c r="C72" s="8">
        <v>22</v>
      </c>
      <c r="D72" s="6" t="s">
        <v>2291</v>
      </c>
      <c r="E72" s="6" t="s">
        <v>2269</v>
      </c>
      <c r="F72" s="8">
        <v>10111</v>
      </c>
      <c r="G72" s="8">
        <v>0</v>
      </c>
      <c r="H72" s="8">
        <v>38500</v>
      </c>
      <c r="I72" s="8">
        <v>10111</v>
      </c>
      <c r="J72" s="8">
        <v>0</v>
      </c>
      <c r="K72" s="8">
        <v>10111</v>
      </c>
      <c r="L72" s="8">
        <v>0</v>
      </c>
    </row>
    <row r="73" spans="1:12" x14ac:dyDescent="0.25">
      <c r="A73" s="6" t="s">
        <v>61</v>
      </c>
      <c r="B73" s="6" t="s">
        <v>2267</v>
      </c>
      <c r="C73" s="8">
        <v>23</v>
      </c>
      <c r="D73" s="6" t="s">
        <v>2292</v>
      </c>
      <c r="E73" s="6" t="s">
        <v>2269</v>
      </c>
      <c r="F73" s="8">
        <v>10024</v>
      </c>
      <c r="G73" s="8">
        <v>0</v>
      </c>
      <c r="H73" s="8">
        <v>38500</v>
      </c>
      <c r="I73" s="8">
        <v>10024</v>
      </c>
      <c r="J73" s="8">
        <v>0</v>
      </c>
      <c r="K73" s="8">
        <v>10024</v>
      </c>
      <c r="L73" s="8">
        <v>0</v>
      </c>
    </row>
    <row r="74" spans="1:12" x14ac:dyDescent="0.25">
      <c r="A74" s="6" t="s">
        <v>61</v>
      </c>
      <c r="B74" s="6" t="s">
        <v>2293</v>
      </c>
      <c r="C74" s="8">
        <v>0</v>
      </c>
      <c r="D74" s="6" t="s">
        <v>2294</v>
      </c>
      <c r="E74" s="6" t="s">
        <v>2219</v>
      </c>
      <c r="F74" s="8">
        <v>10030</v>
      </c>
      <c r="G74" s="8">
        <v>0</v>
      </c>
      <c r="H74" s="8">
        <v>38500</v>
      </c>
      <c r="I74" s="8">
        <v>10030</v>
      </c>
      <c r="J74" s="8">
        <v>0</v>
      </c>
      <c r="K74" s="8">
        <v>10030</v>
      </c>
      <c r="L74" s="8">
        <v>0</v>
      </c>
    </row>
    <row r="75" spans="1:12" x14ac:dyDescent="0.25">
      <c r="A75" s="6" t="s">
        <v>61</v>
      </c>
      <c r="B75" s="6" t="s">
        <v>2293</v>
      </c>
      <c r="C75" s="8">
        <v>1</v>
      </c>
      <c r="D75" s="6" t="s">
        <v>2295</v>
      </c>
      <c r="E75" s="6" t="s">
        <v>2219</v>
      </c>
      <c r="F75" s="8">
        <v>9973</v>
      </c>
      <c r="G75" s="8">
        <v>0</v>
      </c>
      <c r="H75" s="8">
        <v>38500</v>
      </c>
      <c r="I75" s="8">
        <v>9973</v>
      </c>
      <c r="J75" s="8">
        <v>0</v>
      </c>
      <c r="K75" s="8">
        <v>9973</v>
      </c>
      <c r="L75" s="8">
        <v>0</v>
      </c>
    </row>
    <row r="76" spans="1:12" x14ac:dyDescent="0.25">
      <c r="A76" s="6" t="s">
        <v>61</v>
      </c>
      <c r="B76" s="6" t="s">
        <v>2293</v>
      </c>
      <c r="C76" s="8">
        <v>2</v>
      </c>
      <c r="D76" s="6" t="s">
        <v>2296</v>
      </c>
      <c r="E76" s="6" t="s">
        <v>2219</v>
      </c>
      <c r="F76" s="8">
        <v>9937</v>
      </c>
      <c r="G76" s="8">
        <v>0</v>
      </c>
      <c r="H76" s="8">
        <v>38500</v>
      </c>
      <c r="I76" s="8">
        <v>9937</v>
      </c>
      <c r="J76" s="8">
        <v>0</v>
      </c>
      <c r="K76" s="8">
        <v>9937</v>
      </c>
      <c r="L76" s="8">
        <v>0</v>
      </c>
    </row>
    <row r="77" spans="1:12" x14ac:dyDescent="0.25">
      <c r="A77" s="6" t="s">
        <v>61</v>
      </c>
      <c r="B77" s="6" t="s">
        <v>2293</v>
      </c>
      <c r="C77" s="8">
        <v>3</v>
      </c>
      <c r="D77" s="6" t="s">
        <v>2297</v>
      </c>
      <c r="E77" s="6" t="s">
        <v>2219</v>
      </c>
      <c r="F77" s="8">
        <v>9925</v>
      </c>
      <c r="G77" s="8">
        <v>0</v>
      </c>
      <c r="H77" s="8">
        <v>38500</v>
      </c>
      <c r="I77" s="8">
        <v>9925</v>
      </c>
      <c r="J77" s="8">
        <v>0</v>
      </c>
      <c r="K77" s="8">
        <v>9925</v>
      </c>
      <c r="L77" s="8">
        <v>0</v>
      </c>
    </row>
    <row r="78" spans="1:12" x14ac:dyDescent="0.25">
      <c r="A78" s="6" t="s">
        <v>61</v>
      </c>
      <c r="B78" s="6" t="s">
        <v>2293</v>
      </c>
      <c r="C78" s="8">
        <v>4</v>
      </c>
      <c r="D78" s="6" t="s">
        <v>2298</v>
      </c>
      <c r="E78" s="6" t="s">
        <v>2219</v>
      </c>
      <c r="F78" s="8">
        <v>9937</v>
      </c>
      <c r="G78" s="8">
        <v>0</v>
      </c>
      <c r="H78" s="8">
        <v>38500</v>
      </c>
      <c r="I78" s="8">
        <v>9937</v>
      </c>
      <c r="J78" s="8">
        <v>0</v>
      </c>
      <c r="K78" s="8">
        <v>9937</v>
      </c>
      <c r="L78" s="8">
        <v>0</v>
      </c>
    </row>
    <row r="79" spans="1:12" x14ac:dyDescent="0.25">
      <c r="A79" s="6" t="s">
        <v>61</v>
      </c>
      <c r="B79" s="6" t="s">
        <v>2293</v>
      </c>
      <c r="C79" s="8">
        <v>5</v>
      </c>
      <c r="D79" s="6" t="s">
        <v>2299</v>
      </c>
      <c r="E79" s="6" t="s">
        <v>2219</v>
      </c>
      <c r="F79" s="8">
        <v>9973</v>
      </c>
      <c r="G79" s="8">
        <v>0</v>
      </c>
      <c r="H79" s="8">
        <v>38500</v>
      </c>
      <c r="I79" s="8">
        <v>9973</v>
      </c>
      <c r="J79" s="8">
        <v>0</v>
      </c>
      <c r="K79" s="8">
        <v>9973</v>
      </c>
      <c r="L79" s="8">
        <v>0</v>
      </c>
    </row>
    <row r="80" spans="1:12" x14ac:dyDescent="0.25">
      <c r="A80" s="6" t="s">
        <v>61</v>
      </c>
      <c r="B80" s="6" t="s">
        <v>2293</v>
      </c>
      <c r="C80" s="8">
        <v>6</v>
      </c>
      <c r="D80" s="6" t="s">
        <v>2300</v>
      </c>
      <c r="E80" s="6" t="s">
        <v>2219</v>
      </c>
      <c r="F80" s="8">
        <v>10030</v>
      </c>
      <c r="G80" s="8">
        <v>1000</v>
      </c>
      <c r="H80" s="8">
        <v>38500</v>
      </c>
      <c r="I80" s="8">
        <v>9030</v>
      </c>
      <c r="J80" s="8">
        <v>1000</v>
      </c>
      <c r="K80" s="8">
        <v>9030</v>
      </c>
      <c r="L80" s="8">
        <v>10</v>
      </c>
    </row>
    <row r="81" spans="1:12" x14ac:dyDescent="0.25">
      <c r="A81" s="6" t="s">
        <v>61</v>
      </c>
      <c r="B81" s="6" t="s">
        <v>2293</v>
      </c>
      <c r="C81" s="8">
        <v>7</v>
      </c>
      <c r="D81" s="6" t="s">
        <v>2301</v>
      </c>
      <c r="E81" s="6" t="s">
        <v>2219</v>
      </c>
      <c r="F81" s="8">
        <v>10105</v>
      </c>
      <c r="G81" s="8">
        <v>6261</v>
      </c>
      <c r="H81" s="8">
        <v>38500</v>
      </c>
      <c r="I81" s="8">
        <v>3844</v>
      </c>
      <c r="J81" s="8">
        <v>6261</v>
      </c>
      <c r="K81" s="8">
        <v>3844</v>
      </c>
      <c r="L81" s="8">
        <v>62</v>
      </c>
    </row>
    <row r="82" spans="1:12" x14ac:dyDescent="0.25">
      <c r="A82" s="6" t="s">
        <v>61</v>
      </c>
      <c r="B82" s="6" t="s">
        <v>2293</v>
      </c>
      <c r="C82" s="8">
        <v>8</v>
      </c>
      <c r="D82" s="6" t="s">
        <v>2302</v>
      </c>
      <c r="E82" s="6" t="s">
        <v>2219</v>
      </c>
      <c r="F82" s="8">
        <v>10191</v>
      </c>
      <c r="G82" s="8">
        <v>13950</v>
      </c>
      <c r="H82" s="8">
        <v>38500</v>
      </c>
      <c r="I82" s="8">
        <v>0</v>
      </c>
      <c r="J82" s="8">
        <v>10191</v>
      </c>
      <c r="K82" s="8">
        <v>0</v>
      </c>
      <c r="L82" s="8">
        <v>100</v>
      </c>
    </row>
    <row r="83" spans="1:12" x14ac:dyDescent="0.25">
      <c r="A83" s="6" t="s">
        <v>61</v>
      </c>
      <c r="B83" s="6" t="s">
        <v>2293</v>
      </c>
      <c r="C83" s="8">
        <v>9</v>
      </c>
      <c r="D83" s="6" t="s">
        <v>2303</v>
      </c>
      <c r="E83" s="6" t="s">
        <v>2219</v>
      </c>
      <c r="F83" s="8">
        <v>10285</v>
      </c>
      <c r="G83" s="8">
        <v>22296</v>
      </c>
      <c r="H83" s="8">
        <v>38500</v>
      </c>
      <c r="I83" s="8">
        <v>0</v>
      </c>
      <c r="J83" s="8">
        <v>10285</v>
      </c>
      <c r="K83" s="8">
        <v>0</v>
      </c>
      <c r="L83" s="8">
        <v>100</v>
      </c>
    </row>
    <row r="84" spans="1:12" x14ac:dyDescent="0.25">
      <c r="A84" s="6" t="s">
        <v>61</v>
      </c>
      <c r="B84" s="6" t="s">
        <v>2293</v>
      </c>
      <c r="C84" s="8">
        <v>10</v>
      </c>
      <c r="D84" s="6" t="s">
        <v>2304</v>
      </c>
      <c r="E84" s="6" t="s">
        <v>2219</v>
      </c>
      <c r="F84" s="8">
        <v>10378</v>
      </c>
      <c r="G84" s="8">
        <v>29667</v>
      </c>
      <c r="H84" s="8">
        <v>38500</v>
      </c>
      <c r="I84" s="8">
        <v>0</v>
      </c>
      <c r="J84" s="8">
        <v>10378</v>
      </c>
      <c r="K84" s="8">
        <v>0</v>
      </c>
      <c r="L84" s="8">
        <v>100</v>
      </c>
    </row>
    <row r="85" spans="1:12" x14ac:dyDescent="0.25">
      <c r="A85" s="6" t="s">
        <v>61</v>
      </c>
      <c r="B85" s="6" t="s">
        <v>2293</v>
      </c>
      <c r="C85" s="8">
        <v>11</v>
      </c>
      <c r="D85" s="6" t="s">
        <v>2305</v>
      </c>
      <c r="E85" s="6" t="s">
        <v>2219</v>
      </c>
      <c r="F85" s="8">
        <v>10464</v>
      </c>
      <c r="G85" s="8">
        <v>34699</v>
      </c>
      <c r="H85" s="8">
        <v>38500</v>
      </c>
      <c r="I85" s="8">
        <v>0</v>
      </c>
      <c r="J85" s="8">
        <v>10464</v>
      </c>
      <c r="K85" s="8">
        <v>0</v>
      </c>
      <c r="L85" s="8">
        <v>100</v>
      </c>
    </row>
    <row r="86" spans="1:12" x14ac:dyDescent="0.25">
      <c r="A86" s="6" t="s">
        <v>61</v>
      </c>
      <c r="B86" s="6" t="s">
        <v>2293</v>
      </c>
      <c r="C86" s="8">
        <v>12</v>
      </c>
      <c r="D86" s="6" t="s">
        <v>2306</v>
      </c>
      <c r="E86" s="6" t="s">
        <v>2219</v>
      </c>
      <c r="F86" s="8">
        <v>10539</v>
      </c>
      <c r="G86" s="8">
        <v>36483</v>
      </c>
      <c r="H86" s="8">
        <v>38500</v>
      </c>
      <c r="I86" s="8">
        <v>0</v>
      </c>
      <c r="J86" s="8">
        <v>10539</v>
      </c>
      <c r="K86" s="8">
        <v>0</v>
      </c>
      <c r="L86" s="8">
        <v>100</v>
      </c>
    </row>
    <row r="87" spans="1:12" x14ac:dyDescent="0.25">
      <c r="A87" s="6" t="s">
        <v>61</v>
      </c>
      <c r="B87" s="6" t="s">
        <v>2293</v>
      </c>
      <c r="C87" s="8">
        <v>13</v>
      </c>
      <c r="D87" s="6" t="s">
        <v>2307</v>
      </c>
      <c r="E87" s="6" t="s">
        <v>2219</v>
      </c>
      <c r="F87" s="8">
        <v>10596</v>
      </c>
      <c r="G87" s="8">
        <v>34699</v>
      </c>
      <c r="H87" s="8">
        <v>38500</v>
      </c>
      <c r="I87" s="8">
        <v>0</v>
      </c>
      <c r="J87" s="8">
        <v>10596</v>
      </c>
      <c r="K87" s="8">
        <v>0</v>
      </c>
      <c r="L87" s="8">
        <v>100</v>
      </c>
    </row>
    <row r="88" spans="1:12" x14ac:dyDescent="0.25">
      <c r="A88" s="6" t="s">
        <v>61</v>
      </c>
      <c r="B88" s="6" t="s">
        <v>2293</v>
      </c>
      <c r="C88" s="8">
        <v>14</v>
      </c>
      <c r="D88" s="6" t="s">
        <v>2308</v>
      </c>
      <c r="E88" s="6" t="s">
        <v>2219</v>
      </c>
      <c r="F88" s="8">
        <v>10632</v>
      </c>
      <c r="G88" s="8">
        <v>29667</v>
      </c>
      <c r="H88" s="8">
        <v>38500</v>
      </c>
      <c r="I88" s="8">
        <v>0</v>
      </c>
      <c r="J88" s="8">
        <v>10632</v>
      </c>
      <c r="K88" s="8">
        <v>0</v>
      </c>
      <c r="L88" s="8">
        <v>100</v>
      </c>
    </row>
    <row r="89" spans="1:12" x14ac:dyDescent="0.25">
      <c r="A89" s="6" t="s">
        <v>61</v>
      </c>
      <c r="B89" s="6" t="s">
        <v>2293</v>
      </c>
      <c r="C89" s="8">
        <v>15</v>
      </c>
      <c r="D89" s="6" t="s">
        <v>2309</v>
      </c>
      <c r="E89" s="6" t="s">
        <v>2219</v>
      </c>
      <c r="F89" s="8">
        <v>10644</v>
      </c>
      <c r="G89" s="8">
        <v>22296</v>
      </c>
      <c r="H89" s="8">
        <v>38500</v>
      </c>
      <c r="I89" s="8">
        <v>0</v>
      </c>
      <c r="J89" s="8">
        <v>10644</v>
      </c>
      <c r="K89" s="8">
        <v>0</v>
      </c>
      <c r="L89" s="8">
        <v>100</v>
      </c>
    </row>
    <row r="90" spans="1:12" x14ac:dyDescent="0.25">
      <c r="A90" s="6" t="s">
        <v>61</v>
      </c>
      <c r="B90" s="6" t="s">
        <v>2293</v>
      </c>
      <c r="C90" s="8">
        <v>16</v>
      </c>
      <c r="D90" s="6" t="s">
        <v>2310</v>
      </c>
      <c r="E90" s="6" t="s">
        <v>2219</v>
      </c>
      <c r="F90" s="8">
        <v>10632</v>
      </c>
      <c r="G90" s="8">
        <v>13950</v>
      </c>
      <c r="H90" s="8">
        <v>38500</v>
      </c>
      <c r="I90" s="8">
        <v>0</v>
      </c>
      <c r="J90" s="8">
        <v>10632</v>
      </c>
      <c r="K90" s="8">
        <v>0</v>
      </c>
      <c r="L90" s="8">
        <v>100</v>
      </c>
    </row>
    <row r="91" spans="1:12" x14ac:dyDescent="0.25">
      <c r="A91" s="6" t="s">
        <v>61</v>
      </c>
      <c r="B91" s="6" t="s">
        <v>2293</v>
      </c>
      <c r="C91" s="8">
        <v>17</v>
      </c>
      <c r="D91" s="6" t="s">
        <v>2311</v>
      </c>
      <c r="E91" s="6" t="s">
        <v>2219</v>
      </c>
      <c r="F91" s="8">
        <v>10596</v>
      </c>
      <c r="G91" s="8">
        <v>6261</v>
      </c>
      <c r="H91" s="8">
        <v>38500</v>
      </c>
      <c r="I91" s="8">
        <v>4335</v>
      </c>
      <c r="J91" s="8">
        <v>6261</v>
      </c>
      <c r="K91" s="8">
        <v>4335</v>
      </c>
      <c r="L91" s="10">
        <v>59.1</v>
      </c>
    </row>
    <row r="92" spans="1:12" x14ac:dyDescent="0.25">
      <c r="A92" s="6" t="s">
        <v>61</v>
      </c>
      <c r="B92" s="6" t="s">
        <v>2293</v>
      </c>
      <c r="C92" s="8">
        <v>18</v>
      </c>
      <c r="D92" s="6" t="s">
        <v>2312</v>
      </c>
      <c r="E92" s="6" t="s">
        <v>2219</v>
      </c>
      <c r="F92" s="8">
        <v>10539</v>
      </c>
      <c r="G92" s="8">
        <v>1000</v>
      </c>
      <c r="H92" s="8">
        <v>38500</v>
      </c>
      <c r="I92" s="8">
        <v>9539</v>
      </c>
      <c r="J92" s="8">
        <v>1000</v>
      </c>
      <c r="K92" s="8">
        <v>9539</v>
      </c>
      <c r="L92" s="10">
        <v>9.5</v>
      </c>
    </row>
    <row r="93" spans="1:12" x14ac:dyDescent="0.25">
      <c r="A93" s="6" t="s">
        <v>61</v>
      </c>
      <c r="B93" s="6" t="s">
        <v>2293</v>
      </c>
      <c r="C93" s="8">
        <v>19</v>
      </c>
      <c r="D93" s="6" t="s">
        <v>2313</v>
      </c>
      <c r="E93" s="6" t="s">
        <v>2219</v>
      </c>
      <c r="F93" s="8">
        <v>10464</v>
      </c>
      <c r="G93" s="8">
        <v>0</v>
      </c>
      <c r="H93" s="8">
        <v>38500</v>
      </c>
      <c r="I93" s="8">
        <v>10464</v>
      </c>
      <c r="J93" s="8">
        <v>0</v>
      </c>
      <c r="K93" s="8">
        <v>10464</v>
      </c>
      <c r="L93" s="8">
        <v>0</v>
      </c>
    </row>
    <row r="94" spans="1:12" x14ac:dyDescent="0.25">
      <c r="A94" s="6" t="s">
        <v>61</v>
      </c>
      <c r="B94" s="6" t="s">
        <v>2293</v>
      </c>
      <c r="C94" s="8">
        <v>20</v>
      </c>
      <c r="D94" s="6" t="s">
        <v>2314</v>
      </c>
      <c r="E94" s="6" t="s">
        <v>2219</v>
      </c>
      <c r="F94" s="8">
        <v>10378</v>
      </c>
      <c r="G94" s="8">
        <v>0</v>
      </c>
      <c r="H94" s="8">
        <v>38500</v>
      </c>
      <c r="I94" s="8">
        <v>10378</v>
      </c>
      <c r="J94" s="8">
        <v>0</v>
      </c>
      <c r="K94" s="8">
        <v>10378</v>
      </c>
      <c r="L94" s="8">
        <v>0</v>
      </c>
    </row>
    <row r="95" spans="1:12" x14ac:dyDescent="0.25">
      <c r="A95" s="6" t="s">
        <v>61</v>
      </c>
      <c r="B95" s="6" t="s">
        <v>2293</v>
      </c>
      <c r="C95" s="8">
        <v>21</v>
      </c>
      <c r="D95" s="6" t="s">
        <v>2315</v>
      </c>
      <c r="E95" s="6" t="s">
        <v>2219</v>
      </c>
      <c r="F95" s="8">
        <v>10285</v>
      </c>
      <c r="G95" s="8">
        <v>0</v>
      </c>
      <c r="H95" s="8">
        <v>38500</v>
      </c>
      <c r="I95" s="8">
        <v>10285</v>
      </c>
      <c r="J95" s="8">
        <v>0</v>
      </c>
      <c r="K95" s="8">
        <v>10285</v>
      </c>
      <c r="L95" s="8">
        <v>0</v>
      </c>
    </row>
    <row r="96" spans="1:12" x14ac:dyDescent="0.25">
      <c r="A96" s="6" t="s">
        <v>61</v>
      </c>
      <c r="B96" s="6" t="s">
        <v>2293</v>
      </c>
      <c r="C96" s="8">
        <v>22</v>
      </c>
      <c r="D96" s="6" t="s">
        <v>2316</v>
      </c>
      <c r="E96" s="6" t="s">
        <v>2219</v>
      </c>
      <c r="F96" s="8">
        <v>10191</v>
      </c>
      <c r="G96" s="8">
        <v>0</v>
      </c>
      <c r="H96" s="8">
        <v>38500</v>
      </c>
      <c r="I96" s="8">
        <v>10191</v>
      </c>
      <c r="J96" s="8">
        <v>0</v>
      </c>
      <c r="K96" s="8">
        <v>10191</v>
      </c>
      <c r="L96" s="8">
        <v>0</v>
      </c>
    </row>
    <row r="97" spans="1:12" x14ac:dyDescent="0.25">
      <c r="A97" s="6" t="s">
        <v>61</v>
      </c>
      <c r="B97" s="6" t="s">
        <v>2293</v>
      </c>
      <c r="C97" s="8">
        <v>23</v>
      </c>
      <c r="D97" s="6" t="s">
        <v>2317</v>
      </c>
      <c r="E97" s="6" t="s">
        <v>2219</v>
      </c>
      <c r="F97" s="8">
        <v>10105</v>
      </c>
      <c r="G97" s="8">
        <v>0</v>
      </c>
      <c r="H97" s="8">
        <v>38500</v>
      </c>
      <c r="I97" s="8">
        <v>10105</v>
      </c>
      <c r="J97" s="8">
        <v>0</v>
      </c>
      <c r="K97" s="8">
        <v>10105</v>
      </c>
      <c r="L97" s="8">
        <v>0</v>
      </c>
    </row>
    <row r="98" spans="1:12" x14ac:dyDescent="0.25">
      <c r="A98" s="6" t="s">
        <v>61</v>
      </c>
      <c r="B98" s="6" t="s">
        <v>2318</v>
      </c>
      <c r="C98" s="8">
        <v>0</v>
      </c>
      <c r="D98" s="6" t="s">
        <v>2319</v>
      </c>
      <c r="E98" s="6" t="s">
        <v>2219</v>
      </c>
      <c r="F98" s="8">
        <v>10030</v>
      </c>
      <c r="G98" s="8">
        <v>0</v>
      </c>
      <c r="H98" s="8">
        <v>38500</v>
      </c>
      <c r="I98" s="8">
        <v>10030</v>
      </c>
      <c r="J98" s="8">
        <v>0</v>
      </c>
      <c r="K98" s="8">
        <v>10030</v>
      </c>
      <c r="L98" s="8">
        <v>0</v>
      </c>
    </row>
    <row r="99" spans="1:12" x14ac:dyDescent="0.25">
      <c r="A99" s="6" t="s">
        <v>61</v>
      </c>
      <c r="B99" s="6" t="s">
        <v>2318</v>
      </c>
      <c r="C99" s="8">
        <v>1</v>
      </c>
      <c r="D99" s="6" t="s">
        <v>2320</v>
      </c>
      <c r="E99" s="6" t="s">
        <v>2219</v>
      </c>
      <c r="F99" s="8">
        <v>9973</v>
      </c>
      <c r="G99" s="8">
        <v>0</v>
      </c>
      <c r="H99" s="8">
        <v>38500</v>
      </c>
      <c r="I99" s="8">
        <v>9973</v>
      </c>
      <c r="J99" s="8">
        <v>0</v>
      </c>
      <c r="K99" s="8">
        <v>9973</v>
      </c>
      <c r="L99" s="8">
        <v>0</v>
      </c>
    </row>
    <row r="100" spans="1:12" x14ac:dyDescent="0.25">
      <c r="A100" s="6" t="s">
        <v>61</v>
      </c>
      <c r="B100" s="6" t="s">
        <v>2318</v>
      </c>
      <c r="C100" s="8">
        <v>2</v>
      </c>
      <c r="D100" s="6" t="s">
        <v>2321</v>
      </c>
      <c r="E100" s="6" t="s">
        <v>2219</v>
      </c>
      <c r="F100" s="8">
        <v>9937</v>
      </c>
      <c r="G100" s="8">
        <v>0</v>
      </c>
      <c r="H100" s="8">
        <v>38500</v>
      </c>
      <c r="I100" s="8">
        <v>9937</v>
      </c>
      <c r="J100" s="8">
        <v>0</v>
      </c>
      <c r="K100" s="8">
        <v>9937</v>
      </c>
      <c r="L100" s="8">
        <v>0</v>
      </c>
    </row>
    <row r="101" spans="1:12" x14ac:dyDescent="0.25">
      <c r="A101" s="6" t="s">
        <v>61</v>
      </c>
      <c r="B101" s="6" t="s">
        <v>2318</v>
      </c>
      <c r="C101" s="8">
        <v>3</v>
      </c>
      <c r="D101" s="6" t="s">
        <v>2322</v>
      </c>
      <c r="E101" s="6" t="s">
        <v>2219</v>
      </c>
      <c r="F101" s="8">
        <v>9925</v>
      </c>
      <c r="G101" s="8">
        <v>0</v>
      </c>
      <c r="H101" s="8">
        <v>38500</v>
      </c>
      <c r="I101" s="8">
        <v>9925</v>
      </c>
      <c r="J101" s="8">
        <v>0</v>
      </c>
      <c r="K101" s="8">
        <v>9925</v>
      </c>
      <c r="L101" s="8">
        <v>0</v>
      </c>
    </row>
    <row r="102" spans="1:12" x14ac:dyDescent="0.25">
      <c r="A102" s="6" t="s">
        <v>61</v>
      </c>
      <c r="B102" s="6" t="s">
        <v>2318</v>
      </c>
      <c r="C102" s="8">
        <v>4</v>
      </c>
      <c r="D102" s="6" t="s">
        <v>2323</v>
      </c>
      <c r="E102" s="6" t="s">
        <v>2219</v>
      </c>
      <c r="F102" s="8">
        <v>9937</v>
      </c>
      <c r="G102" s="8">
        <v>0</v>
      </c>
      <c r="H102" s="8">
        <v>38500</v>
      </c>
      <c r="I102" s="8">
        <v>9937</v>
      </c>
      <c r="J102" s="8">
        <v>0</v>
      </c>
      <c r="K102" s="8">
        <v>9937</v>
      </c>
      <c r="L102" s="8">
        <v>0</v>
      </c>
    </row>
    <row r="103" spans="1:12" x14ac:dyDescent="0.25">
      <c r="A103" s="6" t="s">
        <v>61</v>
      </c>
      <c r="B103" s="6" t="s">
        <v>2318</v>
      </c>
      <c r="C103" s="8">
        <v>5</v>
      </c>
      <c r="D103" s="6" t="s">
        <v>2324</v>
      </c>
      <c r="E103" s="6" t="s">
        <v>2219</v>
      </c>
      <c r="F103" s="8">
        <v>9973</v>
      </c>
      <c r="G103" s="8">
        <v>0</v>
      </c>
      <c r="H103" s="8">
        <v>38500</v>
      </c>
      <c r="I103" s="8">
        <v>9973</v>
      </c>
      <c r="J103" s="8">
        <v>0</v>
      </c>
      <c r="K103" s="8">
        <v>9973</v>
      </c>
      <c r="L103" s="8">
        <v>0</v>
      </c>
    </row>
    <row r="104" spans="1:12" x14ac:dyDescent="0.25">
      <c r="A104" s="6" t="s">
        <v>61</v>
      </c>
      <c r="B104" s="6" t="s">
        <v>2318</v>
      </c>
      <c r="C104" s="8">
        <v>6</v>
      </c>
      <c r="D104" s="6" t="s">
        <v>2325</v>
      </c>
      <c r="E104" s="6" t="s">
        <v>2219</v>
      </c>
      <c r="F104" s="8">
        <v>10030</v>
      </c>
      <c r="G104" s="8">
        <v>990</v>
      </c>
      <c r="H104" s="8">
        <v>38500</v>
      </c>
      <c r="I104" s="8">
        <v>9040</v>
      </c>
      <c r="J104" s="8">
        <v>990</v>
      </c>
      <c r="K104" s="8">
        <v>9040</v>
      </c>
      <c r="L104" s="10">
        <v>9.9</v>
      </c>
    </row>
    <row r="105" spans="1:12" x14ac:dyDescent="0.25">
      <c r="A105" s="6" t="s">
        <v>61</v>
      </c>
      <c r="B105" s="6" t="s">
        <v>2318</v>
      </c>
      <c r="C105" s="8">
        <v>7</v>
      </c>
      <c r="D105" s="6" t="s">
        <v>2326</v>
      </c>
      <c r="E105" s="6" t="s">
        <v>2219</v>
      </c>
      <c r="F105" s="8">
        <v>10105</v>
      </c>
      <c r="G105" s="8">
        <v>6200</v>
      </c>
      <c r="H105" s="8">
        <v>38500</v>
      </c>
      <c r="I105" s="8">
        <v>3905</v>
      </c>
      <c r="J105" s="8">
        <v>6200</v>
      </c>
      <c r="K105" s="8">
        <v>3905</v>
      </c>
      <c r="L105" s="10">
        <v>61.4</v>
      </c>
    </row>
    <row r="106" spans="1:12" x14ac:dyDescent="0.25">
      <c r="A106" s="6" t="s">
        <v>61</v>
      </c>
      <c r="B106" s="6" t="s">
        <v>2318</v>
      </c>
      <c r="C106" s="8">
        <v>8</v>
      </c>
      <c r="D106" s="6" t="s">
        <v>2327</v>
      </c>
      <c r="E106" s="6" t="s">
        <v>2219</v>
      </c>
      <c r="F106" s="8">
        <v>10191</v>
      </c>
      <c r="G106" s="8">
        <v>13814</v>
      </c>
      <c r="H106" s="8">
        <v>38500</v>
      </c>
      <c r="I106" s="8">
        <v>0</v>
      </c>
      <c r="J106" s="8">
        <v>10191</v>
      </c>
      <c r="K106" s="8">
        <v>0</v>
      </c>
      <c r="L106" s="8">
        <v>100</v>
      </c>
    </row>
    <row r="107" spans="1:12" x14ac:dyDescent="0.25">
      <c r="A107" s="6" t="s">
        <v>61</v>
      </c>
      <c r="B107" s="6" t="s">
        <v>2318</v>
      </c>
      <c r="C107" s="8">
        <v>9</v>
      </c>
      <c r="D107" s="6" t="s">
        <v>2328</v>
      </c>
      <c r="E107" s="6" t="s">
        <v>2219</v>
      </c>
      <c r="F107" s="8">
        <v>10285</v>
      </c>
      <c r="G107" s="8">
        <v>22079</v>
      </c>
      <c r="H107" s="8">
        <v>38500</v>
      </c>
      <c r="I107" s="8">
        <v>0</v>
      </c>
      <c r="J107" s="8">
        <v>10285</v>
      </c>
      <c r="K107" s="8">
        <v>0</v>
      </c>
      <c r="L107" s="8">
        <v>100</v>
      </c>
    </row>
    <row r="108" spans="1:12" x14ac:dyDescent="0.25">
      <c r="A108" s="6" t="s">
        <v>61</v>
      </c>
      <c r="B108" s="6" t="s">
        <v>2318</v>
      </c>
      <c r="C108" s="8">
        <v>10</v>
      </c>
      <c r="D108" s="6" t="s">
        <v>2329</v>
      </c>
      <c r="E108" s="6" t="s">
        <v>2219</v>
      </c>
      <c r="F108" s="8">
        <v>10378</v>
      </c>
      <c r="G108" s="8">
        <v>29379</v>
      </c>
      <c r="H108" s="8">
        <v>38500</v>
      </c>
      <c r="I108" s="8">
        <v>0</v>
      </c>
      <c r="J108" s="8">
        <v>10378</v>
      </c>
      <c r="K108" s="8">
        <v>0</v>
      </c>
      <c r="L108" s="8">
        <v>100</v>
      </c>
    </row>
    <row r="109" spans="1:12" x14ac:dyDescent="0.25">
      <c r="A109" s="6" t="s">
        <v>61</v>
      </c>
      <c r="B109" s="6" t="s">
        <v>2318</v>
      </c>
      <c r="C109" s="8">
        <v>11</v>
      </c>
      <c r="D109" s="6" t="s">
        <v>2330</v>
      </c>
      <c r="E109" s="6" t="s">
        <v>2219</v>
      </c>
      <c r="F109" s="8">
        <v>10464</v>
      </c>
      <c r="G109" s="8">
        <v>34362</v>
      </c>
      <c r="H109" s="8">
        <v>38500</v>
      </c>
      <c r="I109" s="8">
        <v>0</v>
      </c>
      <c r="J109" s="8">
        <v>10464</v>
      </c>
      <c r="K109" s="8">
        <v>0</v>
      </c>
      <c r="L109" s="8">
        <v>100</v>
      </c>
    </row>
    <row r="110" spans="1:12" x14ac:dyDescent="0.25">
      <c r="A110" s="6" t="s">
        <v>61</v>
      </c>
      <c r="B110" s="6" t="s">
        <v>2318</v>
      </c>
      <c r="C110" s="8">
        <v>12</v>
      </c>
      <c r="D110" s="6" t="s">
        <v>2331</v>
      </c>
      <c r="E110" s="6" t="s">
        <v>2219</v>
      </c>
      <c r="F110" s="8">
        <v>10539</v>
      </c>
      <c r="G110" s="8">
        <v>36128</v>
      </c>
      <c r="H110" s="8">
        <v>38500</v>
      </c>
      <c r="I110" s="8">
        <v>0</v>
      </c>
      <c r="J110" s="8">
        <v>10539</v>
      </c>
      <c r="K110" s="8">
        <v>0</v>
      </c>
      <c r="L110" s="8">
        <v>100</v>
      </c>
    </row>
    <row r="111" spans="1:12" x14ac:dyDescent="0.25">
      <c r="A111" s="6" t="s">
        <v>61</v>
      </c>
      <c r="B111" s="6" t="s">
        <v>2318</v>
      </c>
      <c r="C111" s="8">
        <v>13</v>
      </c>
      <c r="D111" s="6" t="s">
        <v>2332</v>
      </c>
      <c r="E111" s="6" t="s">
        <v>2219</v>
      </c>
      <c r="F111" s="8">
        <v>10596</v>
      </c>
      <c r="G111" s="8">
        <v>34362</v>
      </c>
      <c r="H111" s="8">
        <v>38500</v>
      </c>
      <c r="I111" s="8">
        <v>0</v>
      </c>
      <c r="J111" s="8">
        <v>10596</v>
      </c>
      <c r="K111" s="8">
        <v>0</v>
      </c>
      <c r="L111" s="8">
        <v>100</v>
      </c>
    </row>
    <row r="112" spans="1:12" x14ac:dyDescent="0.25">
      <c r="A112" s="6" t="s">
        <v>61</v>
      </c>
      <c r="B112" s="6" t="s">
        <v>2318</v>
      </c>
      <c r="C112" s="8">
        <v>14</v>
      </c>
      <c r="D112" s="6" t="s">
        <v>2333</v>
      </c>
      <c r="E112" s="6" t="s">
        <v>2219</v>
      </c>
      <c r="F112" s="8">
        <v>10632</v>
      </c>
      <c r="G112" s="8">
        <v>29379</v>
      </c>
      <c r="H112" s="8">
        <v>38500</v>
      </c>
      <c r="I112" s="8">
        <v>0</v>
      </c>
      <c r="J112" s="8">
        <v>10632</v>
      </c>
      <c r="K112" s="8">
        <v>0</v>
      </c>
      <c r="L112" s="8">
        <v>100</v>
      </c>
    </row>
    <row r="113" spans="1:12" x14ac:dyDescent="0.25">
      <c r="A113" s="6" t="s">
        <v>61</v>
      </c>
      <c r="B113" s="6" t="s">
        <v>2318</v>
      </c>
      <c r="C113" s="8">
        <v>15</v>
      </c>
      <c r="D113" s="6" t="s">
        <v>2334</v>
      </c>
      <c r="E113" s="6" t="s">
        <v>2219</v>
      </c>
      <c r="F113" s="8">
        <v>10644</v>
      </c>
      <c r="G113" s="8">
        <v>22079</v>
      </c>
      <c r="H113" s="8">
        <v>38500</v>
      </c>
      <c r="I113" s="8">
        <v>0</v>
      </c>
      <c r="J113" s="8">
        <v>10644</v>
      </c>
      <c r="K113" s="8">
        <v>0</v>
      </c>
      <c r="L113" s="8">
        <v>100</v>
      </c>
    </row>
    <row r="114" spans="1:12" x14ac:dyDescent="0.25">
      <c r="A114" s="6" t="s">
        <v>61</v>
      </c>
      <c r="B114" s="6" t="s">
        <v>2318</v>
      </c>
      <c r="C114" s="8">
        <v>16</v>
      </c>
      <c r="D114" s="6" t="s">
        <v>2335</v>
      </c>
      <c r="E114" s="6" t="s">
        <v>2219</v>
      </c>
      <c r="F114" s="8">
        <v>10632</v>
      </c>
      <c r="G114" s="8">
        <v>13814</v>
      </c>
      <c r="H114" s="8">
        <v>38500</v>
      </c>
      <c r="I114" s="8">
        <v>0</v>
      </c>
      <c r="J114" s="8">
        <v>10632</v>
      </c>
      <c r="K114" s="8">
        <v>0</v>
      </c>
      <c r="L114" s="8">
        <v>100</v>
      </c>
    </row>
    <row r="115" spans="1:12" x14ac:dyDescent="0.25">
      <c r="A115" s="6" t="s">
        <v>61</v>
      </c>
      <c r="B115" s="6" t="s">
        <v>2318</v>
      </c>
      <c r="C115" s="8">
        <v>17</v>
      </c>
      <c r="D115" s="6" t="s">
        <v>2336</v>
      </c>
      <c r="E115" s="6" t="s">
        <v>2219</v>
      </c>
      <c r="F115" s="8">
        <v>10596</v>
      </c>
      <c r="G115" s="8">
        <v>6200</v>
      </c>
      <c r="H115" s="8">
        <v>38500</v>
      </c>
      <c r="I115" s="8">
        <v>4396</v>
      </c>
      <c r="J115" s="8">
        <v>6200</v>
      </c>
      <c r="K115" s="8">
        <v>4396</v>
      </c>
      <c r="L115" s="10">
        <v>58.5</v>
      </c>
    </row>
    <row r="116" spans="1:12" x14ac:dyDescent="0.25">
      <c r="A116" s="6" t="s">
        <v>61</v>
      </c>
      <c r="B116" s="6" t="s">
        <v>2318</v>
      </c>
      <c r="C116" s="8">
        <v>18</v>
      </c>
      <c r="D116" s="6" t="s">
        <v>2337</v>
      </c>
      <c r="E116" s="6" t="s">
        <v>2219</v>
      </c>
      <c r="F116" s="8">
        <v>10539</v>
      </c>
      <c r="G116" s="8">
        <v>990</v>
      </c>
      <c r="H116" s="8">
        <v>38500</v>
      </c>
      <c r="I116" s="8">
        <v>9549</v>
      </c>
      <c r="J116" s="8">
        <v>990</v>
      </c>
      <c r="K116" s="8">
        <v>9549</v>
      </c>
      <c r="L116" s="10">
        <v>9.4</v>
      </c>
    </row>
    <row r="117" spans="1:12" x14ac:dyDescent="0.25">
      <c r="A117" s="6" t="s">
        <v>61</v>
      </c>
      <c r="B117" s="6" t="s">
        <v>2318</v>
      </c>
      <c r="C117" s="8">
        <v>19</v>
      </c>
      <c r="D117" s="6" t="s">
        <v>2338</v>
      </c>
      <c r="E117" s="6" t="s">
        <v>2219</v>
      </c>
      <c r="F117" s="8">
        <v>10464</v>
      </c>
      <c r="G117" s="8">
        <v>0</v>
      </c>
      <c r="H117" s="8">
        <v>38500</v>
      </c>
      <c r="I117" s="8">
        <v>10464</v>
      </c>
      <c r="J117" s="8">
        <v>0</v>
      </c>
      <c r="K117" s="8">
        <v>10464</v>
      </c>
      <c r="L117" s="8">
        <v>0</v>
      </c>
    </row>
    <row r="118" spans="1:12" x14ac:dyDescent="0.25">
      <c r="A118" s="6" t="s">
        <v>61</v>
      </c>
      <c r="B118" s="6" t="s">
        <v>2318</v>
      </c>
      <c r="C118" s="8">
        <v>20</v>
      </c>
      <c r="D118" s="6" t="s">
        <v>2339</v>
      </c>
      <c r="E118" s="6" t="s">
        <v>2219</v>
      </c>
      <c r="F118" s="8">
        <v>10378</v>
      </c>
      <c r="G118" s="8">
        <v>0</v>
      </c>
      <c r="H118" s="8">
        <v>38500</v>
      </c>
      <c r="I118" s="8">
        <v>10378</v>
      </c>
      <c r="J118" s="8">
        <v>0</v>
      </c>
      <c r="K118" s="8">
        <v>10378</v>
      </c>
      <c r="L118" s="8">
        <v>0</v>
      </c>
    </row>
    <row r="119" spans="1:12" x14ac:dyDescent="0.25">
      <c r="A119" s="6" t="s">
        <v>61</v>
      </c>
      <c r="B119" s="6" t="s">
        <v>2318</v>
      </c>
      <c r="C119" s="8">
        <v>21</v>
      </c>
      <c r="D119" s="6" t="s">
        <v>2340</v>
      </c>
      <c r="E119" s="6" t="s">
        <v>2219</v>
      </c>
      <c r="F119" s="8">
        <v>10285</v>
      </c>
      <c r="G119" s="8">
        <v>0</v>
      </c>
      <c r="H119" s="8">
        <v>38500</v>
      </c>
      <c r="I119" s="8">
        <v>10285</v>
      </c>
      <c r="J119" s="8">
        <v>0</v>
      </c>
      <c r="K119" s="8">
        <v>10285</v>
      </c>
      <c r="L119" s="8">
        <v>0</v>
      </c>
    </row>
    <row r="120" spans="1:12" x14ac:dyDescent="0.25">
      <c r="A120" s="6" t="s">
        <v>61</v>
      </c>
      <c r="B120" s="6" t="s">
        <v>2318</v>
      </c>
      <c r="C120" s="8">
        <v>22</v>
      </c>
      <c r="D120" s="6" t="s">
        <v>2341</v>
      </c>
      <c r="E120" s="6" t="s">
        <v>2219</v>
      </c>
      <c r="F120" s="8">
        <v>10191</v>
      </c>
      <c r="G120" s="8">
        <v>0</v>
      </c>
      <c r="H120" s="8">
        <v>38500</v>
      </c>
      <c r="I120" s="8">
        <v>10191</v>
      </c>
      <c r="J120" s="8">
        <v>0</v>
      </c>
      <c r="K120" s="8">
        <v>10191</v>
      </c>
      <c r="L120" s="8">
        <v>0</v>
      </c>
    </row>
    <row r="121" spans="1:12" x14ac:dyDescent="0.25">
      <c r="A121" s="6" t="s">
        <v>61</v>
      </c>
      <c r="B121" s="6" t="s">
        <v>2318</v>
      </c>
      <c r="C121" s="8">
        <v>23</v>
      </c>
      <c r="D121" s="6" t="s">
        <v>2342</v>
      </c>
      <c r="E121" s="6" t="s">
        <v>2219</v>
      </c>
      <c r="F121" s="8">
        <v>10105</v>
      </c>
      <c r="G121" s="8">
        <v>0</v>
      </c>
      <c r="H121" s="8">
        <v>38500</v>
      </c>
      <c r="I121" s="8">
        <v>10105</v>
      </c>
      <c r="J121" s="8">
        <v>0</v>
      </c>
      <c r="K121" s="8">
        <v>10105</v>
      </c>
      <c r="L121" s="8">
        <v>0</v>
      </c>
    </row>
    <row r="122" spans="1:12" x14ac:dyDescent="0.25">
      <c r="A122" s="6" t="s">
        <v>61</v>
      </c>
      <c r="B122" s="6" t="s">
        <v>2343</v>
      </c>
      <c r="C122" s="8">
        <v>0</v>
      </c>
      <c r="D122" s="6" t="s">
        <v>2344</v>
      </c>
      <c r="E122" s="6" t="s">
        <v>2219</v>
      </c>
      <c r="F122" s="8">
        <v>10030</v>
      </c>
      <c r="G122" s="8">
        <v>0</v>
      </c>
      <c r="H122" s="8">
        <v>38500</v>
      </c>
      <c r="I122" s="8">
        <v>10030</v>
      </c>
      <c r="J122" s="8">
        <v>0</v>
      </c>
      <c r="K122" s="8">
        <v>10030</v>
      </c>
      <c r="L122" s="8">
        <v>0</v>
      </c>
    </row>
    <row r="123" spans="1:12" x14ac:dyDescent="0.25">
      <c r="A123" s="6" t="s">
        <v>61</v>
      </c>
      <c r="B123" s="6" t="s">
        <v>2343</v>
      </c>
      <c r="C123" s="8">
        <v>1</v>
      </c>
      <c r="D123" s="6" t="s">
        <v>2345</v>
      </c>
      <c r="E123" s="6" t="s">
        <v>2219</v>
      </c>
      <c r="F123" s="8">
        <v>9973</v>
      </c>
      <c r="G123" s="8">
        <v>0</v>
      </c>
      <c r="H123" s="8">
        <v>38500</v>
      </c>
      <c r="I123" s="8">
        <v>9973</v>
      </c>
      <c r="J123" s="8">
        <v>0</v>
      </c>
      <c r="K123" s="8">
        <v>9973</v>
      </c>
      <c r="L123" s="8">
        <v>0</v>
      </c>
    </row>
    <row r="124" spans="1:12" x14ac:dyDescent="0.25">
      <c r="A124" s="6" t="s">
        <v>61</v>
      </c>
      <c r="B124" s="6" t="s">
        <v>2343</v>
      </c>
      <c r="C124" s="8">
        <v>2</v>
      </c>
      <c r="D124" s="6" t="s">
        <v>2346</v>
      </c>
      <c r="E124" s="6" t="s">
        <v>2219</v>
      </c>
      <c r="F124" s="8">
        <v>9937</v>
      </c>
      <c r="G124" s="8">
        <v>0</v>
      </c>
      <c r="H124" s="8">
        <v>38500</v>
      </c>
      <c r="I124" s="8">
        <v>9937</v>
      </c>
      <c r="J124" s="8">
        <v>0</v>
      </c>
      <c r="K124" s="8">
        <v>9937</v>
      </c>
      <c r="L124" s="8">
        <v>0</v>
      </c>
    </row>
    <row r="125" spans="1:12" x14ac:dyDescent="0.25">
      <c r="A125" s="6" t="s">
        <v>61</v>
      </c>
      <c r="B125" s="6" t="s">
        <v>2343</v>
      </c>
      <c r="C125" s="8">
        <v>3</v>
      </c>
      <c r="D125" s="6" t="s">
        <v>2347</v>
      </c>
      <c r="E125" s="6" t="s">
        <v>2219</v>
      </c>
      <c r="F125" s="8">
        <v>9925</v>
      </c>
      <c r="G125" s="8">
        <v>0</v>
      </c>
      <c r="H125" s="8">
        <v>38500</v>
      </c>
      <c r="I125" s="8">
        <v>9925</v>
      </c>
      <c r="J125" s="8">
        <v>0</v>
      </c>
      <c r="K125" s="8">
        <v>9925</v>
      </c>
      <c r="L125" s="8">
        <v>0</v>
      </c>
    </row>
    <row r="126" spans="1:12" x14ac:dyDescent="0.25">
      <c r="A126" s="6" t="s">
        <v>61</v>
      </c>
      <c r="B126" s="6" t="s">
        <v>2343</v>
      </c>
      <c r="C126" s="8">
        <v>4</v>
      </c>
      <c r="D126" s="6" t="s">
        <v>2348</v>
      </c>
      <c r="E126" s="6" t="s">
        <v>2219</v>
      </c>
      <c r="F126" s="8">
        <v>9937</v>
      </c>
      <c r="G126" s="8">
        <v>0</v>
      </c>
      <c r="H126" s="8">
        <v>38500</v>
      </c>
      <c r="I126" s="8">
        <v>9937</v>
      </c>
      <c r="J126" s="8">
        <v>0</v>
      </c>
      <c r="K126" s="8">
        <v>9937</v>
      </c>
      <c r="L126" s="8">
        <v>0</v>
      </c>
    </row>
    <row r="127" spans="1:12" x14ac:dyDescent="0.25">
      <c r="A127" s="6" t="s">
        <v>61</v>
      </c>
      <c r="B127" s="6" t="s">
        <v>2343</v>
      </c>
      <c r="C127" s="8">
        <v>5</v>
      </c>
      <c r="D127" s="6" t="s">
        <v>2349</v>
      </c>
      <c r="E127" s="6" t="s">
        <v>2219</v>
      </c>
      <c r="F127" s="8">
        <v>9973</v>
      </c>
      <c r="G127" s="8">
        <v>0</v>
      </c>
      <c r="H127" s="8">
        <v>38500</v>
      </c>
      <c r="I127" s="8">
        <v>9973</v>
      </c>
      <c r="J127" s="8">
        <v>0</v>
      </c>
      <c r="K127" s="8">
        <v>9973</v>
      </c>
      <c r="L127" s="8">
        <v>0</v>
      </c>
    </row>
    <row r="128" spans="1:12" x14ac:dyDescent="0.25">
      <c r="A128" s="6" t="s">
        <v>61</v>
      </c>
      <c r="B128" s="6" t="s">
        <v>2343</v>
      </c>
      <c r="C128" s="8">
        <v>6</v>
      </c>
      <c r="D128" s="6" t="s">
        <v>2350</v>
      </c>
      <c r="E128" s="6" t="s">
        <v>2219</v>
      </c>
      <c r="F128" s="8">
        <v>10030</v>
      </c>
      <c r="G128" s="8">
        <v>981</v>
      </c>
      <c r="H128" s="8">
        <v>38500</v>
      </c>
      <c r="I128" s="8">
        <v>9049</v>
      </c>
      <c r="J128" s="8">
        <v>981</v>
      </c>
      <c r="K128" s="8">
        <v>9049</v>
      </c>
      <c r="L128" s="10">
        <v>9.8</v>
      </c>
    </row>
    <row r="129" spans="1:12" x14ac:dyDescent="0.25">
      <c r="A129" s="6" t="s">
        <v>61</v>
      </c>
      <c r="B129" s="6" t="s">
        <v>2343</v>
      </c>
      <c r="C129" s="8">
        <v>7</v>
      </c>
      <c r="D129" s="6" t="s">
        <v>2351</v>
      </c>
      <c r="E129" s="6" t="s">
        <v>2219</v>
      </c>
      <c r="F129" s="8">
        <v>10105</v>
      </c>
      <c r="G129" s="8">
        <v>6140</v>
      </c>
      <c r="H129" s="8">
        <v>38500</v>
      </c>
      <c r="I129" s="8">
        <v>3965</v>
      </c>
      <c r="J129" s="8">
        <v>6140</v>
      </c>
      <c r="K129" s="8">
        <v>3965</v>
      </c>
      <c r="L129" s="10">
        <v>60.8</v>
      </c>
    </row>
    <row r="130" spans="1:12" x14ac:dyDescent="0.25">
      <c r="A130" s="6" t="s">
        <v>61</v>
      </c>
      <c r="B130" s="6" t="s">
        <v>2343</v>
      </c>
      <c r="C130" s="8">
        <v>8</v>
      </c>
      <c r="D130" s="6" t="s">
        <v>2352</v>
      </c>
      <c r="E130" s="6" t="s">
        <v>2219</v>
      </c>
      <c r="F130" s="8">
        <v>10191</v>
      </c>
      <c r="G130" s="8">
        <v>13679</v>
      </c>
      <c r="H130" s="8">
        <v>38500</v>
      </c>
      <c r="I130" s="8">
        <v>0</v>
      </c>
      <c r="J130" s="8">
        <v>10191</v>
      </c>
      <c r="K130" s="8">
        <v>0</v>
      </c>
      <c r="L130" s="8">
        <v>100</v>
      </c>
    </row>
    <row r="131" spans="1:12" x14ac:dyDescent="0.25">
      <c r="A131" s="6" t="s">
        <v>61</v>
      </c>
      <c r="B131" s="6" t="s">
        <v>2343</v>
      </c>
      <c r="C131" s="8">
        <v>9</v>
      </c>
      <c r="D131" s="6" t="s">
        <v>2353</v>
      </c>
      <c r="E131" s="6" t="s">
        <v>2219</v>
      </c>
      <c r="F131" s="8">
        <v>10285</v>
      </c>
      <c r="G131" s="8">
        <v>21863</v>
      </c>
      <c r="H131" s="8">
        <v>38500</v>
      </c>
      <c r="I131" s="8">
        <v>0</v>
      </c>
      <c r="J131" s="8">
        <v>10285</v>
      </c>
      <c r="K131" s="8">
        <v>0</v>
      </c>
      <c r="L131" s="8">
        <v>100</v>
      </c>
    </row>
    <row r="132" spans="1:12" x14ac:dyDescent="0.25">
      <c r="A132" s="6" t="s">
        <v>61</v>
      </c>
      <c r="B132" s="6" t="s">
        <v>2343</v>
      </c>
      <c r="C132" s="8">
        <v>10</v>
      </c>
      <c r="D132" s="6" t="s">
        <v>2354</v>
      </c>
      <c r="E132" s="6" t="s">
        <v>2219</v>
      </c>
      <c r="F132" s="8">
        <v>10378</v>
      </c>
      <c r="G132" s="8">
        <v>29091</v>
      </c>
      <c r="H132" s="8">
        <v>38500</v>
      </c>
      <c r="I132" s="8">
        <v>0</v>
      </c>
      <c r="J132" s="8">
        <v>10378</v>
      </c>
      <c r="K132" s="8">
        <v>0</v>
      </c>
      <c r="L132" s="8">
        <v>100</v>
      </c>
    </row>
    <row r="133" spans="1:12" x14ac:dyDescent="0.25">
      <c r="A133" s="6" t="s">
        <v>61</v>
      </c>
      <c r="B133" s="6" t="s">
        <v>2343</v>
      </c>
      <c r="C133" s="8">
        <v>11</v>
      </c>
      <c r="D133" s="6" t="s">
        <v>2355</v>
      </c>
      <c r="E133" s="6" t="s">
        <v>2219</v>
      </c>
      <c r="F133" s="8">
        <v>10464</v>
      </c>
      <c r="G133" s="8">
        <v>34025</v>
      </c>
      <c r="H133" s="8">
        <v>38500</v>
      </c>
      <c r="I133" s="8">
        <v>0</v>
      </c>
      <c r="J133" s="8">
        <v>10464</v>
      </c>
      <c r="K133" s="8">
        <v>0</v>
      </c>
      <c r="L133" s="8">
        <v>100</v>
      </c>
    </row>
    <row r="134" spans="1:12" x14ac:dyDescent="0.25">
      <c r="A134" s="6" t="s">
        <v>61</v>
      </c>
      <c r="B134" s="6" t="s">
        <v>2343</v>
      </c>
      <c r="C134" s="8">
        <v>12</v>
      </c>
      <c r="D134" s="6" t="s">
        <v>2356</v>
      </c>
      <c r="E134" s="6" t="s">
        <v>2219</v>
      </c>
      <c r="F134" s="8">
        <v>10539</v>
      </c>
      <c r="G134" s="8">
        <v>35774</v>
      </c>
      <c r="H134" s="8">
        <v>38500</v>
      </c>
      <c r="I134" s="8">
        <v>0</v>
      </c>
      <c r="J134" s="8">
        <v>10539</v>
      </c>
      <c r="K134" s="8">
        <v>0</v>
      </c>
      <c r="L134" s="8">
        <v>100</v>
      </c>
    </row>
    <row r="135" spans="1:12" x14ac:dyDescent="0.25">
      <c r="A135" s="6" t="s">
        <v>61</v>
      </c>
      <c r="B135" s="6" t="s">
        <v>2343</v>
      </c>
      <c r="C135" s="8">
        <v>13</v>
      </c>
      <c r="D135" s="6" t="s">
        <v>2357</v>
      </c>
      <c r="E135" s="6" t="s">
        <v>2219</v>
      </c>
      <c r="F135" s="8">
        <v>10596</v>
      </c>
      <c r="G135" s="8">
        <v>34025</v>
      </c>
      <c r="H135" s="8">
        <v>38500</v>
      </c>
      <c r="I135" s="8">
        <v>0</v>
      </c>
      <c r="J135" s="8">
        <v>10596</v>
      </c>
      <c r="K135" s="8">
        <v>0</v>
      </c>
      <c r="L135" s="8">
        <v>100</v>
      </c>
    </row>
    <row r="136" spans="1:12" x14ac:dyDescent="0.25">
      <c r="A136" s="6" t="s">
        <v>61</v>
      </c>
      <c r="B136" s="6" t="s">
        <v>2343</v>
      </c>
      <c r="C136" s="8">
        <v>14</v>
      </c>
      <c r="D136" s="6" t="s">
        <v>2358</v>
      </c>
      <c r="E136" s="6" t="s">
        <v>2219</v>
      </c>
      <c r="F136" s="8">
        <v>10632</v>
      </c>
      <c r="G136" s="8">
        <v>29091</v>
      </c>
      <c r="H136" s="8">
        <v>38500</v>
      </c>
      <c r="I136" s="8">
        <v>0</v>
      </c>
      <c r="J136" s="8">
        <v>10632</v>
      </c>
      <c r="K136" s="8">
        <v>0</v>
      </c>
      <c r="L136" s="8">
        <v>100</v>
      </c>
    </row>
    <row r="137" spans="1:12" x14ac:dyDescent="0.25">
      <c r="A137" s="6" t="s">
        <v>61</v>
      </c>
      <c r="B137" s="6" t="s">
        <v>2343</v>
      </c>
      <c r="C137" s="8">
        <v>15</v>
      </c>
      <c r="D137" s="6" t="s">
        <v>2359</v>
      </c>
      <c r="E137" s="6" t="s">
        <v>2219</v>
      </c>
      <c r="F137" s="8">
        <v>10644</v>
      </c>
      <c r="G137" s="8">
        <v>21863</v>
      </c>
      <c r="H137" s="8">
        <v>38500</v>
      </c>
      <c r="I137" s="8">
        <v>0</v>
      </c>
      <c r="J137" s="8">
        <v>10644</v>
      </c>
      <c r="K137" s="8">
        <v>0</v>
      </c>
      <c r="L137" s="8">
        <v>100</v>
      </c>
    </row>
    <row r="138" spans="1:12" x14ac:dyDescent="0.25">
      <c r="A138" s="6" t="s">
        <v>61</v>
      </c>
      <c r="B138" s="6" t="s">
        <v>2343</v>
      </c>
      <c r="C138" s="8">
        <v>16</v>
      </c>
      <c r="D138" s="6" t="s">
        <v>2360</v>
      </c>
      <c r="E138" s="6" t="s">
        <v>2219</v>
      </c>
      <c r="F138" s="8">
        <v>10632</v>
      </c>
      <c r="G138" s="8">
        <v>13679</v>
      </c>
      <c r="H138" s="8">
        <v>38500</v>
      </c>
      <c r="I138" s="8">
        <v>0</v>
      </c>
      <c r="J138" s="8">
        <v>10632</v>
      </c>
      <c r="K138" s="8">
        <v>0</v>
      </c>
      <c r="L138" s="8">
        <v>100</v>
      </c>
    </row>
    <row r="139" spans="1:12" x14ac:dyDescent="0.25">
      <c r="A139" s="6" t="s">
        <v>61</v>
      </c>
      <c r="B139" s="6" t="s">
        <v>2343</v>
      </c>
      <c r="C139" s="8">
        <v>17</v>
      </c>
      <c r="D139" s="6" t="s">
        <v>2361</v>
      </c>
      <c r="E139" s="6" t="s">
        <v>2219</v>
      </c>
      <c r="F139" s="8">
        <v>10596</v>
      </c>
      <c r="G139" s="8">
        <v>6140</v>
      </c>
      <c r="H139" s="8">
        <v>38500</v>
      </c>
      <c r="I139" s="8">
        <v>4456</v>
      </c>
      <c r="J139" s="8">
        <v>6140</v>
      </c>
      <c r="K139" s="8">
        <v>4456</v>
      </c>
      <c r="L139" s="10">
        <v>57.9</v>
      </c>
    </row>
    <row r="140" spans="1:12" x14ac:dyDescent="0.25">
      <c r="A140" s="6" t="s">
        <v>61</v>
      </c>
      <c r="B140" s="6" t="s">
        <v>2343</v>
      </c>
      <c r="C140" s="8">
        <v>18</v>
      </c>
      <c r="D140" s="6" t="s">
        <v>2362</v>
      </c>
      <c r="E140" s="6" t="s">
        <v>2219</v>
      </c>
      <c r="F140" s="8">
        <v>10539</v>
      </c>
      <c r="G140" s="8">
        <v>981</v>
      </c>
      <c r="H140" s="8">
        <v>38500</v>
      </c>
      <c r="I140" s="8">
        <v>9558</v>
      </c>
      <c r="J140" s="8">
        <v>981</v>
      </c>
      <c r="K140" s="8">
        <v>9558</v>
      </c>
      <c r="L140" s="10">
        <v>9.3</v>
      </c>
    </row>
    <row r="141" spans="1:12" x14ac:dyDescent="0.25">
      <c r="A141" s="6" t="s">
        <v>61</v>
      </c>
      <c r="B141" s="6" t="s">
        <v>2343</v>
      </c>
      <c r="C141" s="8">
        <v>19</v>
      </c>
      <c r="D141" s="6" t="s">
        <v>2363</v>
      </c>
      <c r="E141" s="6" t="s">
        <v>2219</v>
      </c>
      <c r="F141" s="8">
        <v>10464</v>
      </c>
      <c r="G141" s="8">
        <v>0</v>
      </c>
      <c r="H141" s="8">
        <v>38500</v>
      </c>
      <c r="I141" s="8">
        <v>10464</v>
      </c>
      <c r="J141" s="8">
        <v>0</v>
      </c>
      <c r="K141" s="8">
        <v>10464</v>
      </c>
      <c r="L141" s="8">
        <v>0</v>
      </c>
    </row>
    <row r="142" spans="1:12" x14ac:dyDescent="0.25">
      <c r="A142" s="6" t="s">
        <v>61</v>
      </c>
      <c r="B142" s="6" t="s">
        <v>2343</v>
      </c>
      <c r="C142" s="8">
        <v>20</v>
      </c>
      <c r="D142" s="6" t="s">
        <v>2364</v>
      </c>
      <c r="E142" s="6" t="s">
        <v>2219</v>
      </c>
      <c r="F142" s="8">
        <v>10378</v>
      </c>
      <c r="G142" s="8">
        <v>0</v>
      </c>
      <c r="H142" s="8">
        <v>38500</v>
      </c>
      <c r="I142" s="8">
        <v>10378</v>
      </c>
      <c r="J142" s="8">
        <v>0</v>
      </c>
      <c r="K142" s="8">
        <v>10378</v>
      </c>
      <c r="L142" s="8">
        <v>0</v>
      </c>
    </row>
    <row r="143" spans="1:12" x14ac:dyDescent="0.25">
      <c r="A143" s="6" t="s">
        <v>61</v>
      </c>
      <c r="B143" s="6" t="s">
        <v>2343</v>
      </c>
      <c r="C143" s="8">
        <v>21</v>
      </c>
      <c r="D143" s="6" t="s">
        <v>2365</v>
      </c>
      <c r="E143" s="6" t="s">
        <v>2219</v>
      </c>
      <c r="F143" s="8">
        <v>10285</v>
      </c>
      <c r="G143" s="8">
        <v>0</v>
      </c>
      <c r="H143" s="8">
        <v>38500</v>
      </c>
      <c r="I143" s="8">
        <v>10285</v>
      </c>
      <c r="J143" s="8">
        <v>0</v>
      </c>
      <c r="K143" s="8">
        <v>10285</v>
      </c>
      <c r="L143" s="8">
        <v>0</v>
      </c>
    </row>
    <row r="144" spans="1:12" x14ac:dyDescent="0.25">
      <c r="A144" s="6" t="s">
        <v>61</v>
      </c>
      <c r="B144" s="6" t="s">
        <v>2343</v>
      </c>
      <c r="C144" s="8">
        <v>22</v>
      </c>
      <c r="D144" s="6" t="s">
        <v>2366</v>
      </c>
      <c r="E144" s="6" t="s">
        <v>2219</v>
      </c>
      <c r="F144" s="8">
        <v>10191</v>
      </c>
      <c r="G144" s="8">
        <v>0</v>
      </c>
      <c r="H144" s="8">
        <v>38500</v>
      </c>
      <c r="I144" s="8">
        <v>10191</v>
      </c>
      <c r="J144" s="8">
        <v>0</v>
      </c>
      <c r="K144" s="8">
        <v>10191</v>
      </c>
      <c r="L144" s="8">
        <v>0</v>
      </c>
    </row>
    <row r="145" spans="1:12" x14ac:dyDescent="0.25">
      <c r="A145" s="6" t="s">
        <v>61</v>
      </c>
      <c r="B145" s="6" t="s">
        <v>2343</v>
      </c>
      <c r="C145" s="8">
        <v>23</v>
      </c>
      <c r="D145" s="6" t="s">
        <v>2367</v>
      </c>
      <c r="E145" s="6" t="s">
        <v>2219</v>
      </c>
      <c r="F145" s="8">
        <v>10105</v>
      </c>
      <c r="G145" s="8">
        <v>0</v>
      </c>
      <c r="H145" s="8">
        <v>38500</v>
      </c>
      <c r="I145" s="8">
        <v>10105</v>
      </c>
      <c r="J145" s="8">
        <v>0</v>
      </c>
      <c r="K145" s="8">
        <v>10105</v>
      </c>
      <c r="L145" s="8">
        <v>0</v>
      </c>
    </row>
    <row r="146" spans="1:12" x14ac:dyDescent="0.25">
      <c r="A146" s="6" t="s">
        <v>61</v>
      </c>
      <c r="B146" s="6" t="s">
        <v>2368</v>
      </c>
      <c r="C146" s="8">
        <v>0</v>
      </c>
      <c r="D146" s="6" t="s">
        <v>2369</v>
      </c>
      <c r="E146" s="6" t="s">
        <v>2219</v>
      </c>
      <c r="F146" s="8">
        <v>10029</v>
      </c>
      <c r="G146" s="8">
        <v>0</v>
      </c>
      <c r="H146" s="8">
        <v>38500</v>
      </c>
      <c r="I146" s="8">
        <v>10029</v>
      </c>
      <c r="J146" s="8">
        <v>0</v>
      </c>
      <c r="K146" s="8">
        <v>10029</v>
      </c>
      <c r="L146" s="8">
        <v>0</v>
      </c>
    </row>
    <row r="147" spans="1:12" x14ac:dyDescent="0.25">
      <c r="A147" s="6" t="s">
        <v>61</v>
      </c>
      <c r="B147" s="6" t="s">
        <v>2368</v>
      </c>
      <c r="C147" s="8">
        <v>1</v>
      </c>
      <c r="D147" s="6" t="s">
        <v>2370</v>
      </c>
      <c r="E147" s="6" t="s">
        <v>2219</v>
      </c>
      <c r="F147" s="8">
        <v>9971</v>
      </c>
      <c r="G147" s="8">
        <v>0</v>
      </c>
      <c r="H147" s="8">
        <v>38500</v>
      </c>
      <c r="I147" s="8">
        <v>9971</v>
      </c>
      <c r="J147" s="8">
        <v>0</v>
      </c>
      <c r="K147" s="8">
        <v>9971</v>
      </c>
      <c r="L147" s="8">
        <v>0</v>
      </c>
    </row>
    <row r="148" spans="1:12" x14ac:dyDescent="0.25">
      <c r="A148" s="6" t="s">
        <v>61</v>
      </c>
      <c r="B148" s="6" t="s">
        <v>2368</v>
      </c>
      <c r="C148" s="8">
        <v>2</v>
      </c>
      <c r="D148" s="6" t="s">
        <v>2371</v>
      </c>
      <c r="E148" s="6" t="s">
        <v>2219</v>
      </c>
      <c r="F148" s="8">
        <v>9936</v>
      </c>
      <c r="G148" s="8">
        <v>0</v>
      </c>
      <c r="H148" s="8">
        <v>38500</v>
      </c>
      <c r="I148" s="8">
        <v>9936</v>
      </c>
      <c r="J148" s="8">
        <v>0</v>
      </c>
      <c r="K148" s="8">
        <v>9936</v>
      </c>
      <c r="L148" s="8">
        <v>0</v>
      </c>
    </row>
    <row r="149" spans="1:12" x14ac:dyDescent="0.25">
      <c r="A149" s="6" t="s">
        <v>61</v>
      </c>
      <c r="B149" s="6" t="s">
        <v>2368</v>
      </c>
      <c r="C149" s="8">
        <v>3</v>
      </c>
      <c r="D149" s="6" t="s">
        <v>2372</v>
      </c>
      <c r="E149" s="6" t="s">
        <v>2219</v>
      </c>
      <c r="F149" s="8">
        <v>9923</v>
      </c>
      <c r="G149" s="8">
        <v>0</v>
      </c>
      <c r="H149" s="8">
        <v>38500</v>
      </c>
      <c r="I149" s="8">
        <v>9923</v>
      </c>
      <c r="J149" s="8">
        <v>0</v>
      </c>
      <c r="K149" s="8">
        <v>9923</v>
      </c>
      <c r="L149" s="8">
        <v>0</v>
      </c>
    </row>
    <row r="150" spans="1:12" x14ac:dyDescent="0.25">
      <c r="A150" s="6" t="s">
        <v>61</v>
      </c>
      <c r="B150" s="6" t="s">
        <v>2368</v>
      </c>
      <c r="C150" s="8">
        <v>4</v>
      </c>
      <c r="D150" s="6" t="s">
        <v>2373</v>
      </c>
      <c r="E150" s="6" t="s">
        <v>2219</v>
      </c>
      <c r="F150" s="8">
        <v>9936</v>
      </c>
      <c r="G150" s="8">
        <v>0</v>
      </c>
      <c r="H150" s="8">
        <v>38500</v>
      </c>
      <c r="I150" s="8">
        <v>9936</v>
      </c>
      <c r="J150" s="8">
        <v>0</v>
      </c>
      <c r="K150" s="8">
        <v>9936</v>
      </c>
      <c r="L150" s="8">
        <v>0</v>
      </c>
    </row>
    <row r="151" spans="1:12" x14ac:dyDescent="0.25">
      <c r="A151" s="6" t="s">
        <v>61</v>
      </c>
      <c r="B151" s="6" t="s">
        <v>2368</v>
      </c>
      <c r="C151" s="8">
        <v>5</v>
      </c>
      <c r="D151" s="6" t="s">
        <v>2374</v>
      </c>
      <c r="E151" s="6" t="s">
        <v>2219</v>
      </c>
      <c r="F151" s="8">
        <v>9971</v>
      </c>
      <c r="G151" s="8">
        <v>0</v>
      </c>
      <c r="H151" s="8">
        <v>38500</v>
      </c>
      <c r="I151" s="8">
        <v>9971</v>
      </c>
      <c r="J151" s="8">
        <v>0</v>
      </c>
      <c r="K151" s="8">
        <v>9971</v>
      </c>
      <c r="L151" s="8">
        <v>0</v>
      </c>
    </row>
    <row r="152" spans="1:12" x14ac:dyDescent="0.25">
      <c r="A152" s="6" t="s">
        <v>61</v>
      </c>
      <c r="B152" s="6" t="s">
        <v>2368</v>
      </c>
      <c r="C152" s="8">
        <v>6</v>
      </c>
      <c r="D152" s="6" t="s">
        <v>2375</v>
      </c>
      <c r="E152" s="6" t="s">
        <v>2219</v>
      </c>
      <c r="F152" s="8">
        <v>10029</v>
      </c>
      <c r="G152" s="8">
        <v>971</v>
      </c>
      <c r="H152" s="8">
        <v>38500</v>
      </c>
      <c r="I152" s="8">
        <v>9058</v>
      </c>
      <c r="J152" s="8">
        <v>971</v>
      </c>
      <c r="K152" s="8">
        <v>9058</v>
      </c>
      <c r="L152" s="10">
        <v>9.7</v>
      </c>
    </row>
    <row r="153" spans="1:12" x14ac:dyDescent="0.25">
      <c r="A153" s="6" t="s">
        <v>61</v>
      </c>
      <c r="B153" s="6" t="s">
        <v>2368</v>
      </c>
      <c r="C153" s="8">
        <v>7</v>
      </c>
      <c r="D153" s="6" t="s">
        <v>2376</v>
      </c>
      <c r="E153" s="6" t="s">
        <v>2219</v>
      </c>
      <c r="F153" s="8">
        <v>10103</v>
      </c>
      <c r="G153" s="8">
        <v>6079</v>
      </c>
      <c r="H153" s="8">
        <v>38500</v>
      </c>
      <c r="I153" s="8">
        <v>4024</v>
      </c>
      <c r="J153" s="8">
        <v>6079</v>
      </c>
      <c r="K153" s="8">
        <v>4024</v>
      </c>
      <c r="L153" s="10">
        <v>60.2</v>
      </c>
    </row>
    <row r="154" spans="1:12" x14ac:dyDescent="0.25">
      <c r="A154" s="6" t="s">
        <v>61</v>
      </c>
      <c r="B154" s="6" t="s">
        <v>2368</v>
      </c>
      <c r="C154" s="8">
        <v>8</v>
      </c>
      <c r="D154" s="6" t="s">
        <v>2377</v>
      </c>
      <c r="E154" s="6" t="s">
        <v>2219</v>
      </c>
      <c r="F154" s="8">
        <v>10190</v>
      </c>
      <c r="G154" s="8">
        <v>13543</v>
      </c>
      <c r="H154" s="8">
        <v>38500</v>
      </c>
      <c r="I154" s="8">
        <v>0</v>
      </c>
      <c r="J154" s="8">
        <v>10190</v>
      </c>
      <c r="K154" s="8">
        <v>0</v>
      </c>
      <c r="L154" s="8">
        <v>100</v>
      </c>
    </row>
    <row r="155" spans="1:12" x14ac:dyDescent="0.25">
      <c r="A155" s="6" t="s">
        <v>61</v>
      </c>
      <c r="B155" s="6" t="s">
        <v>2368</v>
      </c>
      <c r="C155" s="8">
        <v>9</v>
      </c>
      <c r="D155" s="6" t="s">
        <v>2378</v>
      </c>
      <c r="E155" s="6" t="s">
        <v>2219</v>
      </c>
      <c r="F155" s="8">
        <v>10283</v>
      </c>
      <c r="G155" s="8">
        <v>21646</v>
      </c>
      <c r="H155" s="8">
        <v>38500</v>
      </c>
      <c r="I155" s="8">
        <v>0</v>
      </c>
      <c r="J155" s="8">
        <v>10283</v>
      </c>
      <c r="K155" s="8">
        <v>0</v>
      </c>
      <c r="L155" s="8">
        <v>100</v>
      </c>
    </row>
    <row r="156" spans="1:12" x14ac:dyDescent="0.25">
      <c r="A156" s="6" t="s">
        <v>61</v>
      </c>
      <c r="B156" s="6" t="s">
        <v>2368</v>
      </c>
      <c r="C156" s="8">
        <v>10</v>
      </c>
      <c r="D156" s="6" t="s">
        <v>2379</v>
      </c>
      <c r="E156" s="6" t="s">
        <v>2219</v>
      </c>
      <c r="F156" s="8">
        <v>10376</v>
      </c>
      <c r="G156" s="8">
        <v>28803</v>
      </c>
      <c r="H156" s="8">
        <v>38500</v>
      </c>
      <c r="I156" s="8">
        <v>0</v>
      </c>
      <c r="J156" s="8">
        <v>10376</v>
      </c>
      <c r="K156" s="8">
        <v>0</v>
      </c>
      <c r="L156" s="8">
        <v>100</v>
      </c>
    </row>
    <row r="157" spans="1:12" x14ac:dyDescent="0.25">
      <c r="A157" s="6" t="s">
        <v>61</v>
      </c>
      <c r="B157" s="6" t="s">
        <v>2368</v>
      </c>
      <c r="C157" s="8">
        <v>11</v>
      </c>
      <c r="D157" s="6" t="s">
        <v>2380</v>
      </c>
      <c r="E157" s="6" t="s">
        <v>2219</v>
      </c>
      <c r="F157" s="8">
        <v>10463</v>
      </c>
      <c r="G157" s="8">
        <v>33688</v>
      </c>
      <c r="H157" s="8">
        <v>38500</v>
      </c>
      <c r="I157" s="8">
        <v>0</v>
      </c>
      <c r="J157" s="8">
        <v>10463</v>
      </c>
      <c r="K157" s="8">
        <v>0</v>
      </c>
      <c r="L157" s="8">
        <v>100</v>
      </c>
    </row>
    <row r="158" spans="1:12" x14ac:dyDescent="0.25">
      <c r="A158" s="6" t="s">
        <v>61</v>
      </c>
      <c r="B158" s="6" t="s">
        <v>2368</v>
      </c>
      <c r="C158" s="8">
        <v>12</v>
      </c>
      <c r="D158" s="6" t="s">
        <v>2381</v>
      </c>
      <c r="E158" s="6" t="s">
        <v>2219</v>
      </c>
      <c r="F158" s="8">
        <v>10538</v>
      </c>
      <c r="G158" s="8">
        <v>35420</v>
      </c>
      <c r="H158" s="8">
        <v>38500</v>
      </c>
      <c r="I158" s="8">
        <v>0</v>
      </c>
      <c r="J158" s="8">
        <v>10538</v>
      </c>
      <c r="K158" s="8">
        <v>0</v>
      </c>
      <c r="L158" s="8">
        <v>100</v>
      </c>
    </row>
    <row r="159" spans="1:12" x14ac:dyDescent="0.25">
      <c r="A159" s="6" t="s">
        <v>61</v>
      </c>
      <c r="B159" s="6" t="s">
        <v>2368</v>
      </c>
      <c r="C159" s="8">
        <v>13</v>
      </c>
      <c r="D159" s="6" t="s">
        <v>2382</v>
      </c>
      <c r="E159" s="6" t="s">
        <v>2219</v>
      </c>
      <c r="F159" s="8">
        <v>10595</v>
      </c>
      <c r="G159" s="8">
        <v>33688</v>
      </c>
      <c r="H159" s="8">
        <v>38500</v>
      </c>
      <c r="I159" s="8">
        <v>0</v>
      </c>
      <c r="J159" s="8">
        <v>10595</v>
      </c>
      <c r="K159" s="8">
        <v>0</v>
      </c>
      <c r="L159" s="8">
        <v>100</v>
      </c>
    </row>
    <row r="160" spans="1:12" x14ac:dyDescent="0.25">
      <c r="A160" s="6" t="s">
        <v>61</v>
      </c>
      <c r="B160" s="6" t="s">
        <v>2368</v>
      </c>
      <c r="C160" s="8">
        <v>14</v>
      </c>
      <c r="D160" s="6" t="s">
        <v>2383</v>
      </c>
      <c r="E160" s="6" t="s">
        <v>2219</v>
      </c>
      <c r="F160" s="8">
        <v>10631</v>
      </c>
      <c r="G160" s="8">
        <v>28803</v>
      </c>
      <c r="H160" s="8">
        <v>38500</v>
      </c>
      <c r="I160" s="8">
        <v>0</v>
      </c>
      <c r="J160" s="8">
        <v>10631</v>
      </c>
      <c r="K160" s="8">
        <v>0</v>
      </c>
      <c r="L160" s="8">
        <v>100</v>
      </c>
    </row>
    <row r="161" spans="1:12" x14ac:dyDescent="0.25">
      <c r="A161" s="6" t="s">
        <v>61</v>
      </c>
      <c r="B161" s="6" t="s">
        <v>2368</v>
      </c>
      <c r="C161" s="8">
        <v>15</v>
      </c>
      <c r="D161" s="6" t="s">
        <v>2384</v>
      </c>
      <c r="E161" s="6" t="s">
        <v>2219</v>
      </c>
      <c r="F161" s="8">
        <v>10643</v>
      </c>
      <c r="G161" s="8">
        <v>21646</v>
      </c>
      <c r="H161" s="8">
        <v>38500</v>
      </c>
      <c r="I161" s="8">
        <v>0</v>
      </c>
      <c r="J161" s="8">
        <v>10643</v>
      </c>
      <c r="K161" s="8">
        <v>0</v>
      </c>
      <c r="L161" s="8">
        <v>100</v>
      </c>
    </row>
    <row r="162" spans="1:12" x14ac:dyDescent="0.25">
      <c r="A162" s="6" t="s">
        <v>61</v>
      </c>
      <c r="B162" s="6" t="s">
        <v>2368</v>
      </c>
      <c r="C162" s="8">
        <v>16</v>
      </c>
      <c r="D162" s="6" t="s">
        <v>2385</v>
      </c>
      <c r="E162" s="6" t="s">
        <v>2219</v>
      </c>
      <c r="F162" s="8">
        <v>10631</v>
      </c>
      <c r="G162" s="8">
        <v>13543</v>
      </c>
      <c r="H162" s="8">
        <v>38500</v>
      </c>
      <c r="I162" s="8">
        <v>0</v>
      </c>
      <c r="J162" s="8">
        <v>10631</v>
      </c>
      <c r="K162" s="8">
        <v>0</v>
      </c>
      <c r="L162" s="8">
        <v>100</v>
      </c>
    </row>
    <row r="163" spans="1:12" x14ac:dyDescent="0.25">
      <c r="A163" s="6" t="s">
        <v>61</v>
      </c>
      <c r="B163" s="6" t="s">
        <v>2368</v>
      </c>
      <c r="C163" s="8">
        <v>17</v>
      </c>
      <c r="D163" s="6" t="s">
        <v>2386</v>
      </c>
      <c r="E163" s="6" t="s">
        <v>2219</v>
      </c>
      <c r="F163" s="8">
        <v>10595</v>
      </c>
      <c r="G163" s="8">
        <v>6079</v>
      </c>
      <c r="H163" s="8">
        <v>38500</v>
      </c>
      <c r="I163" s="8">
        <v>4516</v>
      </c>
      <c r="J163" s="8">
        <v>6079</v>
      </c>
      <c r="K163" s="8">
        <v>4516</v>
      </c>
      <c r="L163" s="10">
        <v>57.4</v>
      </c>
    </row>
    <row r="164" spans="1:12" x14ac:dyDescent="0.25">
      <c r="A164" s="6" t="s">
        <v>61</v>
      </c>
      <c r="B164" s="6" t="s">
        <v>2368</v>
      </c>
      <c r="C164" s="8">
        <v>18</v>
      </c>
      <c r="D164" s="6" t="s">
        <v>2387</v>
      </c>
      <c r="E164" s="6" t="s">
        <v>2219</v>
      </c>
      <c r="F164" s="8">
        <v>10538</v>
      </c>
      <c r="G164" s="8">
        <v>971</v>
      </c>
      <c r="H164" s="8">
        <v>38500</v>
      </c>
      <c r="I164" s="8">
        <v>9567</v>
      </c>
      <c r="J164" s="8">
        <v>971</v>
      </c>
      <c r="K164" s="8">
        <v>9567</v>
      </c>
      <c r="L164" s="10">
        <v>9.2</v>
      </c>
    </row>
    <row r="165" spans="1:12" x14ac:dyDescent="0.25">
      <c r="A165" s="6" t="s">
        <v>61</v>
      </c>
      <c r="B165" s="6" t="s">
        <v>2368</v>
      </c>
      <c r="C165" s="8">
        <v>19</v>
      </c>
      <c r="D165" s="6" t="s">
        <v>2388</v>
      </c>
      <c r="E165" s="6" t="s">
        <v>2219</v>
      </c>
      <c r="F165" s="8">
        <v>10463</v>
      </c>
      <c r="G165" s="8">
        <v>0</v>
      </c>
      <c r="H165" s="8">
        <v>38500</v>
      </c>
      <c r="I165" s="8">
        <v>10463</v>
      </c>
      <c r="J165" s="8">
        <v>0</v>
      </c>
      <c r="K165" s="8">
        <v>10463</v>
      </c>
      <c r="L165" s="8">
        <v>0</v>
      </c>
    </row>
    <row r="166" spans="1:12" x14ac:dyDescent="0.25">
      <c r="A166" s="6" t="s">
        <v>61</v>
      </c>
      <c r="B166" s="6" t="s">
        <v>2368</v>
      </c>
      <c r="C166" s="8">
        <v>20</v>
      </c>
      <c r="D166" s="6" t="s">
        <v>2389</v>
      </c>
      <c r="E166" s="6" t="s">
        <v>2219</v>
      </c>
      <c r="F166" s="8">
        <v>10376</v>
      </c>
      <c r="G166" s="8">
        <v>0</v>
      </c>
      <c r="H166" s="8">
        <v>38500</v>
      </c>
      <c r="I166" s="8">
        <v>10376</v>
      </c>
      <c r="J166" s="8">
        <v>0</v>
      </c>
      <c r="K166" s="8">
        <v>10376</v>
      </c>
      <c r="L166" s="8">
        <v>0</v>
      </c>
    </row>
    <row r="167" spans="1:12" x14ac:dyDescent="0.25">
      <c r="A167" s="6" t="s">
        <v>61</v>
      </c>
      <c r="B167" s="6" t="s">
        <v>2368</v>
      </c>
      <c r="C167" s="8">
        <v>21</v>
      </c>
      <c r="D167" s="6" t="s">
        <v>2390</v>
      </c>
      <c r="E167" s="6" t="s">
        <v>2219</v>
      </c>
      <c r="F167" s="8">
        <v>10283</v>
      </c>
      <c r="G167" s="8">
        <v>0</v>
      </c>
      <c r="H167" s="8">
        <v>38500</v>
      </c>
      <c r="I167" s="8">
        <v>10283</v>
      </c>
      <c r="J167" s="8">
        <v>0</v>
      </c>
      <c r="K167" s="8">
        <v>10283</v>
      </c>
      <c r="L167" s="8">
        <v>0</v>
      </c>
    </row>
    <row r="168" spans="1:12" x14ac:dyDescent="0.25">
      <c r="A168" s="6" t="s">
        <v>61</v>
      </c>
      <c r="B168" s="6" t="s">
        <v>2368</v>
      </c>
      <c r="C168" s="8">
        <v>22</v>
      </c>
      <c r="D168" s="6" t="s">
        <v>2391</v>
      </c>
      <c r="E168" s="6" t="s">
        <v>2219</v>
      </c>
      <c r="F168" s="8">
        <v>10190</v>
      </c>
      <c r="G168" s="8">
        <v>0</v>
      </c>
      <c r="H168" s="8">
        <v>38500</v>
      </c>
      <c r="I168" s="8">
        <v>10190</v>
      </c>
      <c r="J168" s="8">
        <v>0</v>
      </c>
      <c r="K168" s="8">
        <v>10190</v>
      </c>
      <c r="L168" s="8">
        <v>0</v>
      </c>
    </row>
    <row r="169" spans="1:12" x14ac:dyDescent="0.25">
      <c r="A169" s="6" t="s">
        <v>61</v>
      </c>
      <c r="B169" s="6" t="s">
        <v>2368</v>
      </c>
      <c r="C169" s="8">
        <v>23</v>
      </c>
      <c r="D169" s="6" t="s">
        <v>2392</v>
      </c>
      <c r="E169" s="6" t="s">
        <v>2219</v>
      </c>
      <c r="F169" s="8">
        <v>10103</v>
      </c>
      <c r="G169" s="8">
        <v>0</v>
      </c>
      <c r="H169" s="8">
        <v>38500</v>
      </c>
      <c r="I169" s="8">
        <v>10103</v>
      </c>
      <c r="J169" s="8">
        <v>0</v>
      </c>
      <c r="K169" s="8">
        <v>10103</v>
      </c>
      <c r="L169" s="8">
        <v>0</v>
      </c>
    </row>
    <row r="170" spans="1:12" x14ac:dyDescent="0.25">
      <c r="A170" s="6" t="s">
        <v>61</v>
      </c>
      <c r="B170" s="6" t="s">
        <v>2393</v>
      </c>
      <c r="C170" s="8">
        <v>0</v>
      </c>
      <c r="D170" s="6" t="s">
        <v>2394</v>
      </c>
      <c r="E170" s="6" t="s">
        <v>2219</v>
      </c>
      <c r="F170" s="8">
        <v>10029</v>
      </c>
      <c r="G170" s="8">
        <v>0</v>
      </c>
      <c r="H170" s="8">
        <v>38500</v>
      </c>
      <c r="I170" s="8">
        <v>10029</v>
      </c>
      <c r="J170" s="8">
        <v>0</v>
      </c>
      <c r="K170" s="8">
        <v>10029</v>
      </c>
      <c r="L170" s="8">
        <v>0</v>
      </c>
    </row>
    <row r="171" spans="1:12" x14ac:dyDescent="0.25">
      <c r="A171" s="6" t="s">
        <v>61</v>
      </c>
      <c r="B171" s="6" t="s">
        <v>2393</v>
      </c>
      <c r="C171" s="8">
        <v>1</v>
      </c>
      <c r="D171" s="6" t="s">
        <v>2395</v>
      </c>
      <c r="E171" s="6" t="s">
        <v>2219</v>
      </c>
      <c r="F171" s="8">
        <v>9971</v>
      </c>
      <c r="G171" s="8">
        <v>0</v>
      </c>
      <c r="H171" s="8">
        <v>38500</v>
      </c>
      <c r="I171" s="8">
        <v>9971</v>
      </c>
      <c r="J171" s="8">
        <v>0</v>
      </c>
      <c r="K171" s="8">
        <v>9971</v>
      </c>
      <c r="L171" s="8">
        <v>0</v>
      </c>
    </row>
    <row r="172" spans="1:12" x14ac:dyDescent="0.25">
      <c r="A172" s="6" t="s">
        <v>61</v>
      </c>
      <c r="B172" s="6" t="s">
        <v>2393</v>
      </c>
      <c r="C172" s="8">
        <v>2</v>
      </c>
      <c r="D172" s="6" t="s">
        <v>2396</v>
      </c>
      <c r="E172" s="6" t="s">
        <v>2219</v>
      </c>
      <c r="F172" s="8">
        <v>9936</v>
      </c>
      <c r="G172" s="8">
        <v>0</v>
      </c>
      <c r="H172" s="8">
        <v>38500</v>
      </c>
      <c r="I172" s="8">
        <v>9936</v>
      </c>
      <c r="J172" s="8">
        <v>0</v>
      </c>
      <c r="K172" s="8">
        <v>9936</v>
      </c>
      <c r="L172" s="8">
        <v>0</v>
      </c>
    </row>
    <row r="173" spans="1:12" x14ac:dyDescent="0.25">
      <c r="A173" s="6" t="s">
        <v>61</v>
      </c>
      <c r="B173" s="6" t="s">
        <v>2393</v>
      </c>
      <c r="C173" s="8">
        <v>3</v>
      </c>
      <c r="D173" s="6" t="s">
        <v>2397</v>
      </c>
      <c r="E173" s="6" t="s">
        <v>2219</v>
      </c>
      <c r="F173" s="8">
        <v>9923</v>
      </c>
      <c r="G173" s="8">
        <v>0</v>
      </c>
      <c r="H173" s="8">
        <v>38500</v>
      </c>
      <c r="I173" s="8">
        <v>9923</v>
      </c>
      <c r="J173" s="8">
        <v>0</v>
      </c>
      <c r="K173" s="8">
        <v>9923</v>
      </c>
      <c r="L173" s="8">
        <v>0</v>
      </c>
    </row>
    <row r="174" spans="1:12" x14ac:dyDescent="0.25">
      <c r="A174" s="6" t="s">
        <v>61</v>
      </c>
      <c r="B174" s="6" t="s">
        <v>2393</v>
      </c>
      <c r="C174" s="8">
        <v>4</v>
      </c>
      <c r="D174" s="6" t="s">
        <v>2398</v>
      </c>
      <c r="E174" s="6" t="s">
        <v>2219</v>
      </c>
      <c r="F174" s="8">
        <v>9936</v>
      </c>
      <c r="G174" s="8">
        <v>0</v>
      </c>
      <c r="H174" s="8">
        <v>38500</v>
      </c>
      <c r="I174" s="8">
        <v>9936</v>
      </c>
      <c r="J174" s="8">
        <v>0</v>
      </c>
      <c r="K174" s="8">
        <v>9936</v>
      </c>
      <c r="L174" s="8">
        <v>0</v>
      </c>
    </row>
    <row r="175" spans="1:12" x14ac:dyDescent="0.25">
      <c r="A175" s="6" t="s">
        <v>61</v>
      </c>
      <c r="B175" s="6" t="s">
        <v>2393</v>
      </c>
      <c r="C175" s="8">
        <v>5</v>
      </c>
      <c r="D175" s="6" t="s">
        <v>2399</v>
      </c>
      <c r="E175" s="6" t="s">
        <v>2219</v>
      </c>
      <c r="F175" s="8">
        <v>9971</v>
      </c>
      <c r="G175" s="8">
        <v>0</v>
      </c>
      <c r="H175" s="8">
        <v>38500</v>
      </c>
      <c r="I175" s="8">
        <v>9971</v>
      </c>
      <c r="J175" s="8">
        <v>0</v>
      </c>
      <c r="K175" s="8">
        <v>9971</v>
      </c>
      <c r="L175" s="8">
        <v>0</v>
      </c>
    </row>
    <row r="176" spans="1:12" x14ac:dyDescent="0.25">
      <c r="A176" s="6" t="s">
        <v>61</v>
      </c>
      <c r="B176" s="6" t="s">
        <v>2393</v>
      </c>
      <c r="C176" s="8">
        <v>6</v>
      </c>
      <c r="D176" s="6" t="s">
        <v>2400</v>
      </c>
      <c r="E176" s="6" t="s">
        <v>2219</v>
      </c>
      <c r="F176" s="8">
        <v>10029</v>
      </c>
      <c r="G176" s="8">
        <v>961</v>
      </c>
      <c r="H176" s="8">
        <v>38500</v>
      </c>
      <c r="I176" s="8">
        <v>9068</v>
      </c>
      <c r="J176" s="8">
        <v>961</v>
      </c>
      <c r="K176" s="8">
        <v>9068</v>
      </c>
      <c r="L176" s="10">
        <v>9.6</v>
      </c>
    </row>
    <row r="177" spans="1:12" x14ac:dyDescent="0.25">
      <c r="A177" s="6" t="s">
        <v>61</v>
      </c>
      <c r="B177" s="6" t="s">
        <v>2393</v>
      </c>
      <c r="C177" s="8">
        <v>7</v>
      </c>
      <c r="D177" s="6" t="s">
        <v>2401</v>
      </c>
      <c r="E177" s="6" t="s">
        <v>2219</v>
      </c>
      <c r="F177" s="8">
        <v>10103</v>
      </c>
      <c r="G177" s="8">
        <v>6018</v>
      </c>
      <c r="H177" s="8">
        <v>38500</v>
      </c>
      <c r="I177" s="8">
        <v>4085</v>
      </c>
      <c r="J177" s="8">
        <v>6018</v>
      </c>
      <c r="K177" s="8">
        <v>4085</v>
      </c>
      <c r="L177" s="10">
        <v>59.6</v>
      </c>
    </row>
    <row r="178" spans="1:12" x14ac:dyDescent="0.25">
      <c r="A178" s="6" t="s">
        <v>61</v>
      </c>
      <c r="B178" s="6" t="s">
        <v>2393</v>
      </c>
      <c r="C178" s="8">
        <v>8</v>
      </c>
      <c r="D178" s="6" t="s">
        <v>2402</v>
      </c>
      <c r="E178" s="6" t="s">
        <v>2219</v>
      </c>
      <c r="F178" s="8">
        <v>10190</v>
      </c>
      <c r="G178" s="8">
        <v>13408</v>
      </c>
      <c r="H178" s="8">
        <v>38500</v>
      </c>
      <c r="I178" s="8">
        <v>0</v>
      </c>
      <c r="J178" s="8">
        <v>10190</v>
      </c>
      <c r="K178" s="8">
        <v>0</v>
      </c>
      <c r="L178" s="8">
        <v>100</v>
      </c>
    </row>
    <row r="179" spans="1:12" x14ac:dyDescent="0.25">
      <c r="A179" s="6" t="s">
        <v>61</v>
      </c>
      <c r="B179" s="6" t="s">
        <v>2393</v>
      </c>
      <c r="C179" s="8">
        <v>9</v>
      </c>
      <c r="D179" s="6" t="s">
        <v>2403</v>
      </c>
      <c r="E179" s="6" t="s">
        <v>2219</v>
      </c>
      <c r="F179" s="8">
        <v>10283</v>
      </c>
      <c r="G179" s="8">
        <v>21430</v>
      </c>
      <c r="H179" s="8">
        <v>38500</v>
      </c>
      <c r="I179" s="8">
        <v>0</v>
      </c>
      <c r="J179" s="8">
        <v>10283</v>
      </c>
      <c r="K179" s="8">
        <v>0</v>
      </c>
      <c r="L179" s="8">
        <v>100</v>
      </c>
    </row>
    <row r="180" spans="1:12" x14ac:dyDescent="0.25">
      <c r="A180" s="6" t="s">
        <v>61</v>
      </c>
      <c r="B180" s="6" t="s">
        <v>2393</v>
      </c>
      <c r="C180" s="8">
        <v>10</v>
      </c>
      <c r="D180" s="6" t="s">
        <v>2404</v>
      </c>
      <c r="E180" s="6" t="s">
        <v>2219</v>
      </c>
      <c r="F180" s="8">
        <v>10376</v>
      </c>
      <c r="G180" s="8">
        <v>28515</v>
      </c>
      <c r="H180" s="8">
        <v>38500</v>
      </c>
      <c r="I180" s="8">
        <v>0</v>
      </c>
      <c r="J180" s="8">
        <v>10376</v>
      </c>
      <c r="K180" s="8">
        <v>0</v>
      </c>
      <c r="L180" s="8">
        <v>100</v>
      </c>
    </row>
    <row r="181" spans="1:12" x14ac:dyDescent="0.25">
      <c r="A181" s="6" t="s">
        <v>61</v>
      </c>
      <c r="B181" s="6" t="s">
        <v>2393</v>
      </c>
      <c r="C181" s="8">
        <v>11</v>
      </c>
      <c r="D181" s="6" t="s">
        <v>2405</v>
      </c>
      <c r="E181" s="6" t="s">
        <v>2219</v>
      </c>
      <c r="F181" s="8">
        <v>10463</v>
      </c>
      <c r="G181" s="8">
        <v>33351</v>
      </c>
      <c r="H181" s="8">
        <v>38500</v>
      </c>
      <c r="I181" s="8">
        <v>0</v>
      </c>
      <c r="J181" s="8">
        <v>10463</v>
      </c>
      <c r="K181" s="8">
        <v>0</v>
      </c>
      <c r="L181" s="8">
        <v>100</v>
      </c>
    </row>
    <row r="182" spans="1:12" x14ac:dyDescent="0.25">
      <c r="A182" s="6" t="s">
        <v>61</v>
      </c>
      <c r="B182" s="6" t="s">
        <v>2393</v>
      </c>
      <c r="C182" s="8">
        <v>12</v>
      </c>
      <c r="D182" s="6" t="s">
        <v>2406</v>
      </c>
      <c r="E182" s="6" t="s">
        <v>2219</v>
      </c>
      <c r="F182" s="8">
        <v>10538</v>
      </c>
      <c r="G182" s="8">
        <v>35066</v>
      </c>
      <c r="H182" s="8">
        <v>38500</v>
      </c>
      <c r="I182" s="8">
        <v>0</v>
      </c>
      <c r="J182" s="8">
        <v>10538</v>
      </c>
      <c r="K182" s="8">
        <v>0</v>
      </c>
      <c r="L182" s="8">
        <v>100</v>
      </c>
    </row>
    <row r="183" spans="1:12" x14ac:dyDescent="0.25">
      <c r="A183" s="6" t="s">
        <v>61</v>
      </c>
      <c r="B183" s="6" t="s">
        <v>2393</v>
      </c>
      <c r="C183" s="8">
        <v>13</v>
      </c>
      <c r="D183" s="6" t="s">
        <v>2407</v>
      </c>
      <c r="E183" s="6" t="s">
        <v>2219</v>
      </c>
      <c r="F183" s="8">
        <v>10595</v>
      </c>
      <c r="G183" s="8">
        <v>33351</v>
      </c>
      <c r="H183" s="8">
        <v>38500</v>
      </c>
      <c r="I183" s="8">
        <v>0</v>
      </c>
      <c r="J183" s="8">
        <v>10595</v>
      </c>
      <c r="K183" s="8">
        <v>0</v>
      </c>
      <c r="L183" s="8">
        <v>100</v>
      </c>
    </row>
    <row r="184" spans="1:12" x14ac:dyDescent="0.25">
      <c r="A184" s="6" t="s">
        <v>61</v>
      </c>
      <c r="B184" s="6" t="s">
        <v>2393</v>
      </c>
      <c r="C184" s="8">
        <v>14</v>
      </c>
      <c r="D184" s="6" t="s">
        <v>2408</v>
      </c>
      <c r="E184" s="6" t="s">
        <v>2219</v>
      </c>
      <c r="F184" s="8">
        <v>10631</v>
      </c>
      <c r="G184" s="8">
        <v>28515</v>
      </c>
      <c r="H184" s="8">
        <v>38500</v>
      </c>
      <c r="I184" s="8">
        <v>0</v>
      </c>
      <c r="J184" s="8">
        <v>10631</v>
      </c>
      <c r="K184" s="8">
        <v>0</v>
      </c>
      <c r="L184" s="8">
        <v>100</v>
      </c>
    </row>
    <row r="185" spans="1:12" x14ac:dyDescent="0.25">
      <c r="A185" s="6" t="s">
        <v>61</v>
      </c>
      <c r="B185" s="6" t="s">
        <v>2393</v>
      </c>
      <c r="C185" s="8">
        <v>15</v>
      </c>
      <c r="D185" s="6" t="s">
        <v>2409</v>
      </c>
      <c r="E185" s="6" t="s">
        <v>2219</v>
      </c>
      <c r="F185" s="8">
        <v>10643</v>
      </c>
      <c r="G185" s="8">
        <v>21430</v>
      </c>
      <c r="H185" s="8">
        <v>38500</v>
      </c>
      <c r="I185" s="8">
        <v>0</v>
      </c>
      <c r="J185" s="8">
        <v>10643</v>
      </c>
      <c r="K185" s="8">
        <v>0</v>
      </c>
      <c r="L185" s="8">
        <v>100</v>
      </c>
    </row>
    <row r="186" spans="1:12" x14ac:dyDescent="0.25">
      <c r="A186" s="6" t="s">
        <v>61</v>
      </c>
      <c r="B186" s="6" t="s">
        <v>2393</v>
      </c>
      <c r="C186" s="8">
        <v>16</v>
      </c>
      <c r="D186" s="6" t="s">
        <v>2410</v>
      </c>
      <c r="E186" s="6" t="s">
        <v>2219</v>
      </c>
      <c r="F186" s="8">
        <v>10631</v>
      </c>
      <c r="G186" s="8">
        <v>13408</v>
      </c>
      <c r="H186" s="8">
        <v>38500</v>
      </c>
      <c r="I186" s="8">
        <v>0</v>
      </c>
      <c r="J186" s="8">
        <v>10631</v>
      </c>
      <c r="K186" s="8">
        <v>0</v>
      </c>
      <c r="L186" s="8">
        <v>100</v>
      </c>
    </row>
    <row r="187" spans="1:12" x14ac:dyDescent="0.25">
      <c r="A187" s="6" t="s">
        <v>61</v>
      </c>
      <c r="B187" s="6" t="s">
        <v>2393</v>
      </c>
      <c r="C187" s="8">
        <v>17</v>
      </c>
      <c r="D187" s="6" t="s">
        <v>2411</v>
      </c>
      <c r="E187" s="6" t="s">
        <v>2219</v>
      </c>
      <c r="F187" s="8">
        <v>10595</v>
      </c>
      <c r="G187" s="8">
        <v>6018</v>
      </c>
      <c r="H187" s="8">
        <v>38500</v>
      </c>
      <c r="I187" s="8">
        <v>4577</v>
      </c>
      <c r="J187" s="8">
        <v>6018</v>
      </c>
      <c r="K187" s="8">
        <v>4577</v>
      </c>
      <c r="L187" s="10">
        <v>56.8</v>
      </c>
    </row>
    <row r="188" spans="1:12" x14ac:dyDescent="0.25">
      <c r="A188" s="6" t="s">
        <v>61</v>
      </c>
      <c r="B188" s="6" t="s">
        <v>2393</v>
      </c>
      <c r="C188" s="8">
        <v>18</v>
      </c>
      <c r="D188" s="6" t="s">
        <v>2412</v>
      </c>
      <c r="E188" s="6" t="s">
        <v>2219</v>
      </c>
      <c r="F188" s="8">
        <v>10538</v>
      </c>
      <c r="G188" s="8">
        <v>961</v>
      </c>
      <c r="H188" s="8">
        <v>38500</v>
      </c>
      <c r="I188" s="8">
        <v>9577</v>
      </c>
      <c r="J188" s="8">
        <v>961</v>
      </c>
      <c r="K188" s="8">
        <v>9577</v>
      </c>
      <c r="L188" s="10">
        <v>9.1</v>
      </c>
    </row>
    <row r="189" spans="1:12" x14ac:dyDescent="0.25">
      <c r="A189" s="6" t="s">
        <v>61</v>
      </c>
      <c r="B189" s="6" t="s">
        <v>2393</v>
      </c>
      <c r="C189" s="8">
        <v>19</v>
      </c>
      <c r="D189" s="6" t="s">
        <v>2413</v>
      </c>
      <c r="E189" s="6" t="s">
        <v>2219</v>
      </c>
      <c r="F189" s="8">
        <v>10463</v>
      </c>
      <c r="G189" s="8">
        <v>0</v>
      </c>
      <c r="H189" s="8">
        <v>38500</v>
      </c>
      <c r="I189" s="8">
        <v>10463</v>
      </c>
      <c r="J189" s="8">
        <v>0</v>
      </c>
      <c r="K189" s="8">
        <v>10463</v>
      </c>
      <c r="L189" s="8">
        <v>0</v>
      </c>
    </row>
    <row r="190" spans="1:12" x14ac:dyDescent="0.25">
      <c r="A190" s="6" t="s">
        <v>61</v>
      </c>
      <c r="B190" s="6" t="s">
        <v>2393</v>
      </c>
      <c r="C190" s="8">
        <v>20</v>
      </c>
      <c r="D190" s="6" t="s">
        <v>2414</v>
      </c>
      <c r="E190" s="6" t="s">
        <v>2219</v>
      </c>
      <c r="F190" s="8">
        <v>10376</v>
      </c>
      <c r="G190" s="8">
        <v>0</v>
      </c>
      <c r="H190" s="8">
        <v>38500</v>
      </c>
      <c r="I190" s="8">
        <v>10376</v>
      </c>
      <c r="J190" s="8">
        <v>0</v>
      </c>
      <c r="K190" s="8">
        <v>10376</v>
      </c>
      <c r="L190" s="8">
        <v>0</v>
      </c>
    </row>
    <row r="191" spans="1:12" x14ac:dyDescent="0.25">
      <c r="A191" s="6" t="s">
        <v>61</v>
      </c>
      <c r="B191" s="6" t="s">
        <v>2393</v>
      </c>
      <c r="C191" s="8">
        <v>21</v>
      </c>
      <c r="D191" s="6" t="s">
        <v>2415</v>
      </c>
      <c r="E191" s="6" t="s">
        <v>2219</v>
      </c>
      <c r="F191" s="8">
        <v>10283</v>
      </c>
      <c r="G191" s="8">
        <v>0</v>
      </c>
      <c r="H191" s="8">
        <v>38500</v>
      </c>
      <c r="I191" s="8">
        <v>10283</v>
      </c>
      <c r="J191" s="8">
        <v>0</v>
      </c>
      <c r="K191" s="8">
        <v>10283</v>
      </c>
      <c r="L191" s="8">
        <v>0</v>
      </c>
    </row>
    <row r="192" spans="1:12" x14ac:dyDescent="0.25">
      <c r="A192" s="6" t="s">
        <v>61</v>
      </c>
      <c r="B192" s="6" t="s">
        <v>2393</v>
      </c>
      <c r="C192" s="8">
        <v>22</v>
      </c>
      <c r="D192" s="6" t="s">
        <v>2416</v>
      </c>
      <c r="E192" s="6" t="s">
        <v>2219</v>
      </c>
      <c r="F192" s="8">
        <v>10190</v>
      </c>
      <c r="G192" s="8">
        <v>0</v>
      </c>
      <c r="H192" s="8">
        <v>38500</v>
      </c>
      <c r="I192" s="8">
        <v>10190</v>
      </c>
      <c r="J192" s="8">
        <v>0</v>
      </c>
      <c r="K192" s="8">
        <v>10190</v>
      </c>
      <c r="L192" s="8">
        <v>0</v>
      </c>
    </row>
    <row r="193" spans="1:12" x14ac:dyDescent="0.25">
      <c r="A193" s="6" t="s">
        <v>61</v>
      </c>
      <c r="B193" s="6" t="s">
        <v>2393</v>
      </c>
      <c r="C193" s="8">
        <v>23</v>
      </c>
      <c r="D193" s="6" t="s">
        <v>2417</v>
      </c>
      <c r="E193" s="6" t="s">
        <v>2219</v>
      </c>
      <c r="F193" s="8">
        <v>10103</v>
      </c>
      <c r="G193" s="8">
        <v>0</v>
      </c>
      <c r="H193" s="8">
        <v>38500</v>
      </c>
      <c r="I193" s="8">
        <v>10103</v>
      </c>
      <c r="J193" s="8">
        <v>0</v>
      </c>
      <c r="K193" s="8">
        <v>10103</v>
      </c>
      <c r="L193" s="8">
        <v>0</v>
      </c>
    </row>
    <row r="194" spans="1:12" x14ac:dyDescent="0.25">
      <c r="A194" s="6" t="s">
        <v>61</v>
      </c>
      <c r="B194" s="6" t="s">
        <v>1762</v>
      </c>
      <c r="C194" s="8">
        <v>0</v>
      </c>
      <c r="D194" s="6" t="s">
        <v>2418</v>
      </c>
      <c r="E194" s="6" t="s">
        <v>2269</v>
      </c>
      <c r="F194" s="8">
        <v>10029</v>
      </c>
      <c r="G194" s="8">
        <v>0</v>
      </c>
      <c r="H194" s="8">
        <v>38500</v>
      </c>
      <c r="I194" s="8">
        <v>10029</v>
      </c>
      <c r="J194" s="8">
        <v>0</v>
      </c>
      <c r="K194" s="8">
        <v>10029</v>
      </c>
      <c r="L194" s="8">
        <v>0</v>
      </c>
    </row>
    <row r="195" spans="1:12" x14ac:dyDescent="0.25">
      <c r="A195" s="6" t="s">
        <v>61</v>
      </c>
      <c r="B195" s="6" t="s">
        <v>1762</v>
      </c>
      <c r="C195" s="8">
        <v>1</v>
      </c>
      <c r="D195" s="6" t="s">
        <v>2419</v>
      </c>
      <c r="E195" s="6" t="s">
        <v>2269</v>
      </c>
      <c r="F195" s="8">
        <v>9971</v>
      </c>
      <c r="G195" s="8">
        <v>0</v>
      </c>
      <c r="H195" s="8">
        <v>38500</v>
      </c>
      <c r="I195" s="8">
        <v>9971</v>
      </c>
      <c r="J195" s="8">
        <v>0</v>
      </c>
      <c r="K195" s="8">
        <v>9971</v>
      </c>
      <c r="L195" s="8">
        <v>0</v>
      </c>
    </row>
    <row r="196" spans="1:12" x14ac:dyDescent="0.25">
      <c r="A196" s="6" t="s">
        <v>61</v>
      </c>
      <c r="B196" s="6" t="s">
        <v>1762</v>
      </c>
      <c r="C196" s="8">
        <v>2</v>
      </c>
      <c r="D196" s="6" t="s">
        <v>2420</v>
      </c>
      <c r="E196" s="6" t="s">
        <v>2269</v>
      </c>
      <c r="F196" s="8">
        <v>9936</v>
      </c>
      <c r="G196" s="8">
        <v>0</v>
      </c>
      <c r="H196" s="8">
        <v>38500</v>
      </c>
      <c r="I196" s="8">
        <v>9936</v>
      </c>
      <c r="J196" s="8">
        <v>0</v>
      </c>
      <c r="K196" s="8">
        <v>9936</v>
      </c>
      <c r="L196" s="8">
        <v>0</v>
      </c>
    </row>
    <row r="197" spans="1:12" x14ac:dyDescent="0.25">
      <c r="A197" s="6" t="s">
        <v>61</v>
      </c>
      <c r="B197" s="6" t="s">
        <v>1762</v>
      </c>
      <c r="C197" s="8">
        <v>3</v>
      </c>
      <c r="D197" s="6" t="s">
        <v>2421</v>
      </c>
      <c r="E197" s="6" t="s">
        <v>2269</v>
      </c>
      <c r="F197" s="8">
        <v>9923</v>
      </c>
      <c r="G197" s="8">
        <v>0</v>
      </c>
      <c r="H197" s="8">
        <v>38500</v>
      </c>
      <c r="I197" s="8">
        <v>9923</v>
      </c>
      <c r="J197" s="8">
        <v>0</v>
      </c>
      <c r="K197" s="8">
        <v>9923</v>
      </c>
      <c r="L197" s="8">
        <v>0</v>
      </c>
    </row>
    <row r="198" spans="1:12" x14ac:dyDescent="0.25">
      <c r="A198" s="6" t="s">
        <v>61</v>
      </c>
      <c r="B198" s="6" t="s">
        <v>1762</v>
      </c>
      <c r="C198" s="8">
        <v>4</v>
      </c>
      <c r="D198" s="6" t="s">
        <v>2422</v>
      </c>
      <c r="E198" s="6" t="s">
        <v>2269</v>
      </c>
      <c r="F198" s="8">
        <v>9936</v>
      </c>
      <c r="G198" s="8">
        <v>0</v>
      </c>
      <c r="H198" s="8">
        <v>38500</v>
      </c>
      <c r="I198" s="8">
        <v>9936</v>
      </c>
      <c r="J198" s="8">
        <v>0</v>
      </c>
      <c r="K198" s="8">
        <v>9936</v>
      </c>
      <c r="L198" s="8">
        <v>0</v>
      </c>
    </row>
    <row r="199" spans="1:12" x14ac:dyDescent="0.25">
      <c r="A199" s="6" t="s">
        <v>61</v>
      </c>
      <c r="B199" s="6" t="s">
        <v>1762</v>
      </c>
      <c r="C199" s="8">
        <v>5</v>
      </c>
      <c r="D199" s="6" t="s">
        <v>2423</v>
      </c>
      <c r="E199" s="6" t="s">
        <v>2269</v>
      </c>
      <c r="F199" s="8">
        <v>9971</v>
      </c>
      <c r="G199" s="8">
        <v>0</v>
      </c>
      <c r="H199" s="8">
        <v>38500</v>
      </c>
      <c r="I199" s="8">
        <v>9971</v>
      </c>
      <c r="J199" s="8">
        <v>0</v>
      </c>
      <c r="K199" s="8">
        <v>9971</v>
      </c>
      <c r="L199" s="8">
        <v>0</v>
      </c>
    </row>
    <row r="200" spans="1:12" x14ac:dyDescent="0.25">
      <c r="A200" s="6" t="s">
        <v>61</v>
      </c>
      <c r="B200" s="6" t="s">
        <v>1762</v>
      </c>
      <c r="C200" s="8">
        <v>6</v>
      </c>
      <c r="D200" s="6" t="s">
        <v>2424</v>
      </c>
      <c r="E200" s="6" t="s">
        <v>2269</v>
      </c>
      <c r="F200" s="8">
        <v>10029</v>
      </c>
      <c r="G200" s="8">
        <v>704</v>
      </c>
      <c r="H200" s="8">
        <v>38500</v>
      </c>
      <c r="I200" s="8">
        <v>9325</v>
      </c>
      <c r="J200" s="8">
        <v>704</v>
      </c>
      <c r="K200" s="8">
        <v>9325</v>
      </c>
      <c r="L200" s="8">
        <v>7</v>
      </c>
    </row>
    <row r="201" spans="1:12" x14ac:dyDescent="0.25">
      <c r="A201" s="6" t="s">
        <v>61</v>
      </c>
      <c r="B201" s="6" t="s">
        <v>1762</v>
      </c>
      <c r="C201" s="8">
        <v>7</v>
      </c>
      <c r="D201" s="6" t="s">
        <v>2425</v>
      </c>
      <c r="E201" s="6" t="s">
        <v>2269</v>
      </c>
      <c r="F201" s="8">
        <v>10103</v>
      </c>
      <c r="G201" s="8">
        <v>4408</v>
      </c>
      <c r="H201" s="8">
        <v>38500</v>
      </c>
      <c r="I201" s="8">
        <v>5695</v>
      </c>
      <c r="J201" s="8">
        <v>4408</v>
      </c>
      <c r="K201" s="8">
        <v>5695</v>
      </c>
      <c r="L201" s="10">
        <v>43.6</v>
      </c>
    </row>
    <row r="202" spans="1:12" x14ac:dyDescent="0.25">
      <c r="A202" s="6" t="s">
        <v>61</v>
      </c>
      <c r="B202" s="6" t="s">
        <v>1762</v>
      </c>
      <c r="C202" s="8">
        <v>8</v>
      </c>
      <c r="D202" s="6" t="s">
        <v>2426</v>
      </c>
      <c r="E202" s="6" t="s">
        <v>2269</v>
      </c>
      <c r="F202" s="8">
        <v>10190</v>
      </c>
      <c r="G202" s="8">
        <v>9822</v>
      </c>
      <c r="H202" s="8">
        <v>38500</v>
      </c>
      <c r="I202" s="8">
        <v>368</v>
      </c>
      <c r="J202" s="8">
        <v>9822</v>
      </c>
      <c r="K202" s="8">
        <v>368</v>
      </c>
      <c r="L202" s="10">
        <v>96.4</v>
      </c>
    </row>
    <row r="203" spans="1:12" x14ac:dyDescent="0.25">
      <c r="A203" s="6" t="s">
        <v>61</v>
      </c>
      <c r="B203" s="6" t="s">
        <v>1762</v>
      </c>
      <c r="C203" s="8">
        <v>9</v>
      </c>
      <c r="D203" s="6" t="s">
        <v>2427</v>
      </c>
      <c r="E203" s="6" t="s">
        <v>2269</v>
      </c>
      <c r="F203" s="8">
        <v>10283</v>
      </c>
      <c r="G203" s="8">
        <v>15698</v>
      </c>
      <c r="H203" s="8">
        <v>38500</v>
      </c>
      <c r="I203" s="8">
        <v>0</v>
      </c>
      <c r="J203" s="8">
        <v>10283</v>
      </c>
      <c r="K203" s="8">
        <v>0</v>
      </c>
      <c r="L203" s="8">
        <v>100</v>
      </c>
    </row>
    <row r="204" spans="1:12" x14ac:dyDescent="0.25">
      <c r="A204" s="6" t="s">
        <v>61</v>
      </c>
      <c r="B204" s="6" t="s">
        <v>1762</v>
      </c>
      <c r="C204" s="8">
        <v>10</v>
      </c>
      <c r="D204" s="6" t="s">
        <v>2428</v>
      </c>
      <c r="E204" s="6" t="s">
        <v>2269</v>
      </c>
      <c r="F204" s="8">
        <v>10376</v>
      </c>
      <c r="G204" s="8">
        <v>20888</v>
      </c>
      <c r="H204" s="8">
        <v>38500</v>
      </c>
      <c r="I204" s="8">
        <v>0</v>
      </c>
      <c r="J204" s="8">
        <v>10376</v>
      </c>
      <c r="K204" s="8">
        <v>0</v>
      </c>
      <c r="L204" s="8">
        <v>100</v>
      </c>
    </row>
    <row r="205" spans="1:12" x14ac:dyDescent="0.25">
      <c r="A205" s="6" t="s">
        <v>61</v>
      </c>
      <c r="B205" s="6" t="s">
        <v>1762</v>
      </c>
      <c r="C205" s="8">
        <v>11</v>
      </c>
      <c r="D205" s="6" t="s">
        <v>2429</v>
      </c>
      <c r="E205" s="6" t="s">
        <v>2269</v>
      </c>
      <c r="F205" s="8">
        <v>10463</v>
      </c>
      <c r="G205" s="8">
        <v>24431</v>
      </c>
      <c r="H205" s="8">
        <v>38500</v>
      </c>
      <c r="I205" s="8">
        <v>0</v>
      </c>
      <c r="J205" s="8">
        <v>10463</v>
      </c>
      <c r="K205" s="8">
        <v>0</v>
      </c>
      <c r="L205" s="8">
        <v>100</v>
      </c>
    </row>
    <row r="206" spans="1:12" x14ac:dyDescent="0.25">
      <c r="A206" s="6" t="s">
        <v>61</v>
      </c>
      <c r="B206" s="6" t="s">
        <v>1762</v>
      </c>
      <c r="C206" s="8">
        <v>12</v>
      </c>
      <c r="D206" s="6" t="s">
        <v>2430</v>
      </c>
      <c r="E206" s="6" t="s">
        <v>2269</v>
      </c>
      <c r="F206" s="8">
        <v>10538</v>
      </c>
      <c r="G206" s="8">
        <v>25687</v>
      </c>
      <c r="H206" s="8">
        <v>38500</v>
      </c>
      <c r="I206" s="8">
        <v>0</v>
      </c>
      <c r="J206" s="8">
        <v>10538</v>
      </c>
      <c r="K206" s="8">
        <v>0</v>
      </c>
      <c r="L206" s="8">
        <v>100</v>
      </c>
    </row>
    <row r="207" spans="1:12" x14ac:dyDescent="0.25">
      <c r="A207" s="6" t="s">
        <v>61</v>
      </c>
      <c r="B207" s="6" t="s">
        <v>1762</v>
      </c>
      <c r="C207" s="8">
        <v>13</v>
      </c>
      <c r="D207" s="6" t="s">
        <v>2431</v>
      </c>
      <c r="E207" s="6" t="s">
        <v>2269</v>
      </c>
      <c r="F207" s="8">
        <v>10595</v>
      </c>
      <c r="G207" s="8">
        <v>24431</v>
      </c>
      <c r="H207" s="8">
        <v>38500</v>
      </c>
      <c r="I207" s="8">
        <v>0</v>
      </c>
      <c r="J207" s="8">
        <v>10595</v>
      </c>
      <c r="K207" s="8">
        <v>0</v>
      </c>
      <c r="L207" s="8">
        <v>100</v>
      </c>
    </row>
    <row r="208" spans="1:12" x14ac:dyDescent="0.25">
      <c r="A208" s="6" t="s">
        <v>61</v>
      </c>
      <c r="B208" s="6" t="s">
        <v>1762</v>
      </c>
      <c r="C208" s="8">
        <v>14</v>
      </c>
      <c r="D208" s="6" t="s">
        <v>2432</v>
      </c>
      <c r="E208" s="6" t="s">
        <v>2269</v>
      </c>
      <c r="F208" s="8">
        <v>10631</v>
      </c>
      <c r="G208" s="8">
        <v>20888</v>
      </c>
      <c r="H208" s="8">
        <v>38500</v>
      </c>
      <c r="I208" s="8">
        <v>0</v>
      </c>
      <c r="J208" s="8">
        <v>10631</v>
      </c>
      <c r="K208" s="8">
        <v>0</v>
      </c>
      <c r="L208" s="8">
        <v>100</v>
      </c>
    </row>
    <row r="209" spans="1:12" x14ac:dyDescent="0.25">
      <c r="A209" s="6" t="s">
        <v>61</v>
      </c>
      <c r="B209" s="6" t="s">
        <v>1762</v>
      </c>
      <c r="C209" s="8">
        <v>15</v>
      </c>
      <c r="D209" s="6" t="s">
        <v>2433</v>
      </c>
      <c r="E209" s="6" t="s">
        <v>2269</v>
      </c>
      <c r="F209" s="8">
        <v>10643</v>
      </c>
      <c r="G209" s="8">
        <v>15698</v>
      </c>
      <c r="H209" s="8">
        <v>38500</v>
      </c>
      <c r="I209" s="8">
        <v>0</v>
      </c>
      <c r="J209" s="8">
        <v>10643</v>
      </c>
      <c r="K209" s="8">
        <v>0</v>
      </c>
      <c r="L209" s="8">
        <v>100</v>
      </c>
    </row>
    <row r="210" spans="1:12" x14ac:dyDescent="0.25">
      <c r="A210" s="6" t="s">
        <v>61</v>
      </c>
      <c r="B210" s="6" t="s">
        <v>1762</v>
      </c>
      <c r="C210" s="8">
        <v>16</v>
      </c>
      <c r="D210" s="6" t="s">
        <v>2434</v>
      </c>
      <c r="E210" s="6" t="s">
        <v>2269</v>
      </c>
      <c r="F210" s="8">
        <v>10631</v>
      </c>
      <c r="G210" s="8">
        <v>9822</v>
      </c>
      <c r="H210" s="8">
        <v>38500</v>
      </c>
      <c r="I210" s="8">
        <v>809</v>
      </c>
      <c r="J210" s="8">
        <v>9822</v>
      </c>
      <c r="K210" s="8">
        <v>809</v>
      </c>
      <c r="L210" s="10">
        <v>92.4</v>
      </c>
    </row>
    <row r="211" spans="1:12" x14ac:dyDescent="0.25">
      <c r="A211" s="6" t="s">
        <v>61</v>
      </c>
      <c r="B211" s="6" t="s">
        <v>1762</v>
      </c>
      <c r="C211" s="8">
        <v>17</v>
      </c>
      <c r="D211" s="6" t="s">
        <v>2435</v>
      </c>
      <c r="E211" s="6" t="s">
        <v>2269</v>
      </c>
      <c r="F211" s="8">
        <v>10595</v>
      </c>
      <c r="G211" s="8">
        <v>4408</v>
      </c>
      <c r="H211" s="8">
        <v>38500</v>
      </c>
      <c r="I211" s="8">
        <v>6187</v>
      </c>
      <c r="J211" s="8">
        <v>4408</v>
      </c>
      <c r="K211" s="8">
        <v>6187</v>
      </c>
      <c r="L211" s="10">
        <v>41.6</v>
      </c>
    </row>
    <row r="212" spans="1:12" x14ac:dyDescent="0.25">
      <c r="A212" s="6" t="s">
        <v>61</v>
      </c>
      <c r="B212" s="6" t="s">
        <v>1762</v>
      </c>
      <c r="C212" s="8">
        <v>18</v>
      </c>
      <c r="D212" s="6" t="s">
        <v>2436</v>
      </c>
      <c r="E212" s="6" t="s">
        <v>2269</v>
      </c>
      <c r="F212" s="8">
        <v>10538</v>
      </c>
      <c r="G212" s="8">
        <v>704</v>
      </c>
      <c r="H212" s="8">
        <v>38500</v>
      </c>
      <c r="I212" s="8">
        <v>9834</v>
      </c>
      <c r="J212" s="8">
        <v>704</v>
      </c>
      <c r="K212" s="8">
        <v>9834</v>
      </c>
      <c r="L212" s="10">
        <v>6.7</v>
      </c>
    </row>
    <row r="213" spans="1:12" x14ac:dyDescent="0.25">
      <c r="A213" s="6" t="s">
        <v>61</v>
      </c>
      <c r="B213" s="6" t="s">
        <v>1762</v>
      </c>
      <c r="C213" s="8">
        <v>19</v>
      </c>
      <c r="D213" s="6" t="s">
        <v>2437</v>
      </c>
      <c r="E213" s="6" t="s">
        <v>2269</v>
      </c>
      <c r="F213" s="8">
        <v>10463</v>
      </c>
      <c r="G213" s="8">
        <v>0</v>
      </c>
      <c r="H213" s="8">
        <v>38500</v>
      </c>
      <c r="I213" s="8">
        <v>10463</v>
      </c>
      <c r="J213" s="8">
        <v>0</v>
      </c>
      <c r="K213" s="8">
        <v>10463</v>
      </c>
      <c r="L213" s="8">
        <v>0</v>
      </c>
    </row>
    <row r="214" spans="1:12" x14ac:dyDescent="0.25">
      <c r="A214" s="6" t="s">
        <v>61</v>
      </c>
      <c r="B214" s="6" t="s">
        <v>1762</v>
      </c>
      <c r="C214" s="8">
        <v>20</v>
      </c>
      <c r="D214" s="6" t="s">
        <v>2438</v>
      </c>
      <c r="E214" s="6" t="s">
        <v>2269</v>
      </c>
      <c r="F214" s="8">
        <v>10376</v>
      </c>
      <c r="G214" s="8">
        <v>0</v>
      </c>
      <c r="H214" s="8">
        <v>38500</v>
      </c>
      <c r="I214" s="8">
        <v>10376</v>
      </c>
      <c r="J214" s="8">
        <v>0</v>
      </c>
      <c r="K214" s="8">
        <v>10376</v>
      </c>
      <c r="L214" s="8">
        <v>0</v>
      </c>
    </row>
    <row r="215" spans="1:12" x14ac:dyDescent="0.25">
      <c r="A215" s="6" t="s">
        <v>61</v>
      </c>
      <c r="B215" s="6" t="s">
        <v>1762</v>
      </c>
      <c r="C215" s="8">
        <v>21</v>
      </c>
      <c r="D215" s="6" t="s">
        <v>2439</v>
      </c>
      <c r="E215" s="6" t="s">
        <v>2269</v>
      </c>
      <c r="F215" s="8">
        <v>10283</v>
      </c>
      <c r="G215" s="8">
        <v>0</v>
      </c>
      <c r="H215" s="8">
        <v>38500</v>
      </c>
      <c r="I215" s="8">
        <v>10283</v>
      </c>
      <c r="J215" s="8">
        <v>0</v>
      </c>
      <c r="K215" s="8">
        <v>10283</v>
      </c>
      <c r="L215" s="8">
        <v>0</v>
      </c>
    </row>
    <row r="216" spans="1:12" x14ac:dyDescent="0.25">
      <c r="A216" s="6" t="s">
        <v>61</v>
      </c>
      <c r="B216" s="6" t="s">
        <v>1762</v>
      </c>
      <c r="C216" s="8">
        <v>22</v>
      </c>
      <c r="D216" s="6" t="s">
        <v>2440</v>
      </c>
      <c r="E216" s="6" t="s">
        <v>2269</v>
      </c>
      <c r="F216" s="8">
        <v>10190</v>
      </c>
      <c r="G216" s="8">
        <v>0</v>
      </c>
      <c r="H216" s="8">
        <v>38500</v>
      </c>
      <c r="I216" s="8">
        <v>10190</v>
      </c>
      <c r="J216" s="8">
        <v>0</v>
      </c>
      <c r="K216" s="8">
        <v>10190</v>
      </c>
      <c r="L216" s="8">
        <v>0</v>
      </c>
    </row>
    <row r="217" spans="1:12" x14ac:dyDescent="0.25">
      <c r="A217" s="6" t="s">
        <v>61</v>
      </c>
      <c r="B217" s="6" t="s">
        <v>1762</v>
      </c>
      <c r="C217" s="8">
        <v>23</v>
      </c>
      <c r="D217" s="6" t="s">
        <v>2441</v>
      </c>
      <c r="E217" s="6" t="s">
        <v>2269</v>
      </c>
      <c r="F217" s="8">
        <v>10103</v>
      </c>
      <c r="G217" s="8">
        <v>0</v>
      </c>
      <c r="H217" s="8">
        <v>38500</v>
      </c>
      <c r="I217" s="8">
        <v>10103</v>
      </c>
      <c r="J217" s="8">
        <v>0</v>
      </c>
      <c r="K217" s="8">
        <v>10103</v>
      </c>
      <c r="L217" s="8">
        <v>0</v>
      </c>
    </row>
    <row r="218" spans="1:12" x14ac:dyDescent="0.25">
      <c r="A218" s="6" t="s">
        <v>61</v>
      </c>
      <c r="B218" s="6" t="s">
        <v>1756</v>
      </c>
      <c r="C218" s="8">
        <v>0</v>
      </c>
      <c r="D218" s="6" t="s">
        <v>2442</v>
      </c>
      <c r="E218" s="6" t="s">
        <v>2219</v>
      </c>
      <c r="F218" s="8">
        <v>10029</v>
      </c>
      <c r="G218" s="8">
        <v>0</v>
      </c>
      <c r="H218" s="8">
        <v>38500</v>
      </c>
      <c r="I218" s="8">
        <v>10029</v>
      </c>
      <c r="J218" s="8">
        <v>0</v>
      </c>
      <c r="K218" s="8">
        <v>10029</v>
      </c>
      <c r="L218" s="8">
        <v>0</v>
      </c>
    </row>
    <row r="219" spans="1:12" x14ac:dyDescent="0.25">
      <c r="A219" s="6" t="s">
        <v>61</v>
      </c>
      <c r="B219" s="6" t="s">
        <v>1756</v>
      </c>
      <c r="C219" s="8">
        <v>1</v>
      </c>
      <c r="D219" s="6" t="s">
        <v>2443</v>
      </c>
      <c r="E219" s="6" t="s">
        <v>2219</v>
      </c>
      <c r="F219" s="8">
        <v>9971</v>
      </c>
      <c r="G219" s="8">
        <v>0</v>
      </c>
      <c r="H219" s="8">
        <v>38500</v>
      </c>
      <c r="I219" s="8">
        <v>9971</v>
      </c>
      <c r="J219" s="8">
        <v>0</v>
      </c>
      <c r="K219" s="8">
        <v>9971</v>
      </c>
      <c r="L219" s="8">
        <v>0</v>
      </c>
    </row>
    <row r="220" spans="1:12" x14ac:dyDescent="0.25">
      <c r="A220" s="6" t="s">
        <v>61</v>
      </c>
      <c r="B220" s="6" t="s">
        <v>1756</v>
      </c>
      <c r="C220" s="8">
        <v>2</v>
      </c>
      <c r="D220" s="6" t="s">
        <v>2444</v>
      </c>
      <c r="E220" s="6" t="s">
        <v>2219</v>
      </c>
      <c r="F220" s="8">
        <v>9936</v>
      </c>
      <c r="G220" s="8">
        <v>0</v>
      </c>
      <c r="H220" s="8">
        <v>38500</v>
      </c>
      <c r="I220" s="8">
        <v>9936</v>
      </c>
      <c r="J220" s="8">
        <v>0</v>
      </c>
      <c r="K220" s="8">
        <v>9936</v>
      </c>
      <c r="L220" s="8">
        <v>0</v>
      </c>
    </row>
    <row r="221" spans="1:12" x14ac:dyDescent="0.25">
      <c r="A221" s="6" t="s">
        <v>61</v>
      </c>
      <c r="B221" s="6" t="s">
        <v>1756</v>
      </c>
      <c r="C221" s="8">
        <v>3</v>
      </c>
      <c r="D221" s="6" t="s">
        <v>2445</v>
      </c>
      <c r="E221" s="6" t="s">
        <v>2219</v>
      </c>
      <c r="F221" s="8">
        <v>9923</v>
      </c>
      <c r="G221" s="8">
        <v>0</v>
      </c>
      <c r="H221" s="8">
        <v>38500</v>
      </c>
      <c r="I221" s="8">
        <v>9923</v>
      </c>
      <c r="J221" s="8">
        <v>0</v>
      </c>
      <c r="K221" s="8">
        <v>9923</v>
      </c>
      <c r="L221" s="8">
        <v>0</v>
      </c>
    </row>
    <row r="222" spans="1:12" x14ac:dyDescent="0.25">
      <c r="A222" s="6" t="s">
        <v>61</v>
      </c>
      <c r="B222" s="6" t="s">
        <v>1756</v>
      </c>
      <c r="C222" s="8">
        <v>4</v>
      </c>
      <c r="D222" s="6" t="s">
        <v>2446</v>
      </c>
      <c r="E222" s="6" t="s">
        <v>2219</v>
      </c>
      <c r="F222" s="8">
        <v>9936</v>
      </c>
      <c r="G222" s="8">
        <v>0</v>
      </c>
      <c r="H222" s="8">
        <v>38500</v>
      </c>
      <c r="I222" s="8">
        <v>9936</v>
      </c>
      <c r="J222" s="8">
        <v>0</v>
      </c>
      <c r="K222" s="8">
        <v>9936</v>
      </c>
      <c r="L222" s="8">
        <v>0</v>
      </c>
    </row>
    <row r="223" spans="1:12" x14ac:dyDescent="0.25">
      <c r="A223" s="6" t="s">
        <v>61</v>
      </c>
      <c r="B223" s="6" t="s">
        <v>1756</v>
      </c>
      <c r="C223" s="8">
        <v>5</v>
      </c>
      <c r="D223" s="6" t="s">
        <v>2447</v>
      </c>
      <c r="E223" s="6" t="s">
        <v>2219</v>
      </c>
      <c r="F223" s="8">
        <v>9971</v>
      </c>
      <c r="G223" s="8">
        <v>0</v>
      </c>
      <c r="H223" s="8">
        <v>38500</v>
      </c>
      <c r="I223" s="8">
        <v>9971</v>
      </c>
      <c r="J223" s="8">
        <v>0</v>
      </c>
      <c r="K223" s="8">
        <v>9971</v>
      </c>
      <c r="L223" s="8">
        <v>0</v>
      </c>
    </row>
    <row r="224" spans="1:12" x14ac:dyDescent="0.25">
      <c r="A224" s="6" t="s">
        <v>61</v>
      </c>
      <c r="B224" s="6" t="s">
        <v>1756</v>
      </c>
      <c r="C224" s="8">
        <v>6</v>
      </c>
      <c r="D224" s="6" t="s">
        <v>2448</v>
      </c>
      <c r="E224" s="6" t="s">
        <v>2219</v>
      </c>
      <c r="F224" s="8">
        <v>10029</v>
      </c>
      <c r="G224" s="8">
        <v>942</v>
      </c>
      <c r="H224" s="8">
        <v>38500</v>
      </c>
      <c r="I224" s="8">
        <v>9087</v>
      </c>
      <c r="J224" s="8">
        <v>942</v>
      </c>
      <c r="K224" s="8">
        <v>9087</v>
      </c>
      <c r="L224" s="10">
        <v>9.4</v>
      </c>
    </row>
    <row r="225" spans="1:12" x14ac:dyDescent="0.25">
      <c r="A225" s="6" t="s">
        <v>61</v>
      </c>
      <c r="B225" s="6" t="s">
        <v>1756</v>
      </c>
      <c r="C225" s="8">
        <v>7</v>
      </c>
      <c r="D225" s="6" t="s">
        <v>2449</v>
      </c>
      <c r="E225" s="6" t="s">
        <v>2219</v>
      </c>
      <c r="F225" s="8">
        <v>10103</v>
      </c>
      <c r="G225" s="8">
        <v>5896</v>
      </c>
      <c r="H225" s="8">
        <v>38500</v>
      </c>
      <c r="I225" s="8">
        <v>4207</v>
      </c>
      <c r="J225" s="8">
        <v>5896</v>
      </c>
      <c r="K225" s="8">
        <v>4207</v>
      </c>
      <c r="L225" s="10">
        <v>58.4</v>
      </c>
    </row>
    <row r="226" spans="1:12" x14ac:dyDescent="0.25">
      <c r="A226" s="6" t="s">
        <v>61</v>
      </c>
      <c r="B226" s="6" t="s">
        <v>1756</v>
      </c>
      <c r="C226" s="8">
        <v>8</v>
      </c>
      <c r="D226" s="6" t="s">
        <v>2450</v>
      </c>
      <c r="E226" s="6" t="s">
        <v>2219</v>
      </c>
      <c r="F226" s="8">
        <v>10190</v>
      </c>
      <c r="G226" s="8">
        <v>13137</v>
      </c>
      <c r="H226" s="8">
        <v>38500</v>
      </c>
      <c r="I226" s="8">
        <v>0</v>
      </c>
      <c r="J226" s="8">
        <v>10190</v>
      </c>
      <c r="K226" s="8">
        <v>0</v>
      </c>
      <c r="L226" s="8">
        <v>100</v>
      </c>
    </row>
    <row r="227" spans="1:12" x14ac:dyDescent="0.25">
      <c r="A227" s="6" t="s">
        <v>61</v>
      </c>
      <c r="B227" s="6" t="s">
        <v>1756</v>
      </c>
      <c r="C227" s="8">
        <v>9</v>
      </c>
      <c r="D227" s="6" t="s">
        <v>2451</v>
      </c>
      <c r="E227" s="6" t="s">
        <v>2219</v>
      </c>
      <c r="F227" s="8">
        <v>10283</v>
      </c>
      <c r="G227" s="8">
        <v>20997</v>
      </c>
      <c r="H227" s="8">
        <v>38500</v>
      </c>
      <c r="I227" s="8">
        <v>0</v>
      </c>
      <c r="J227" s="8">
        <v>10283</v>
      </c>
      <c r="K227" s="8">
        <v>0</v>
      </c>
      <c r="L227" s="8">
        <v>100</v>
      </c>
    </row>
    <row r="228" spans="1:12" x14ac:dyDescent="0.25">
      <c r="A228" s="6" t="s">
        <v>61</v>
      </c>
      <c r="B228" s="6" t="s">
        <v>1756</v>
      </c>
      <c r="C228" s="8">
        <v>10</v>
      </c>
      <c r="D228" s="6" t="s">
        <v>2452</v>
      </c>
      <c r="E228" s="6" t="s">
        <v>2219</v>
      </c>
      <c r="F228" s="8">
        <v>10376</v>
      </c>
      <c r="G228" s="8">
        <v>27939</v>
      </c>
      <c r="H228" s="8">
        <v>38500</v>
      </c>
      <c r="I228" s="8">
        <v>0</v>
      </c>
      <c r="J228" s="8">
        <v>10376</v>
      </c>
      <c r="K228" s="8">
        <v>0</v>
      </c>
      <c r="L228" s="8">
        <v>100</v>
      </c>
    </row>
    <row r="229" spans="1:12" x14ac:dyDescent="0.25">
      <c r="A229" s="6" t="s">
        <v>61</v>
      </c>
      <c r="B229" s="6" t="s">
        <v>1756</v>
      </c>
      <c r="C229" s="8">
        <v>11</v>
      </c>
      <c r="D229" s="6" t="s">
        <v>2453</v>
      </c>
      <c r="E229" s="6" t="s">
        <v>2219</v>
      </c>
      <c r="F229" s="8">
        <v>10463</v>
      </c>
      <c r="G229" s="8">
        <v>32677</v>
      </c>
      <c r="H229" s="8">
        <v>38500</v>
      </c>
      <c r="I229" s="8">
        <v>0</v>
      </c>
      <c r="J229" s="8">
        <v>10463</v>
      </c>
      <c r="K229" s="8">
        <v>0</v>
      </c>
      <c r="L229" s="8">
        <v>100</v>
      </c>
    </row>
    <row r="230" spans="1:12" x14ac:dyDescent="0.25">
      <c r="A230" s="6" t="s">
        <v>61</v>
      </c>
      <c r="B230" s="6" t="s">
        <v>1756</v>
      </c>
      <c r="C230" s="8">
        <v>12</v>
      </c>
      <c r="D230" s="6" t="s">
        <v>2454</v>
      </c>
      <c r="E230" s="6" t="s">
        <v>2219</v>
      </c>
      <c r="F230" s="8">
        <v>10538</v>
      </c>
      <c r="G230" s="8">
        <v>34357</v>
      </c>
      <c r="H230" s="8">
        <v>38500</v>
      </c>
      <c r="I230" s="8">
        <v>0</v>
      </c>
      <c r="J230" s="8">
        <v>10538</v>
      </c>
      <c r="K230" s="8">
        <v>0</v>
      </c>
      <c r="L230" s="8">
        <v>100</v>
      </c>
    </row>
    <row r="231" spans="1:12" x14ac:dyDescent="0.25">
      <c r="A231" s="6" t="s">
        <v>61</v>
      </c>
      <c r="B231" s="6" t="s">
        <v>1756</v>
      </c>
      <c r="C231" s="8">
        <v>13</v>
      </c>
      <c r="D231" s="6" t="s">
        <v>2455</v>
      </c>
      <c r="E231" s="6" t="s">
        <v>2219</v>
      </c>
      <c r="F231" s="8">
        <v>10595</v>
      </c>
      <c r="G231" s="8">
        <v>32677</v>
      </c>
      <c r="H231" s="8">
        <v>38500</v>
      </c>
      <c r="I231" s="8">
        <v>0</v>
      </c>
      <c r="J231" s="8">
        <v>10595</v>
      </c>
      <c r="K231" s="8">
        <v>0</v>
      </c>
      <c r="L231" s="8">
        <v>100</v>
      </c>
    </row>
    <row r="232" spans="1:12" x14ac:dyDescent="0.25">
      <c r="A232" s="6" t="s">
        <v>61</v>
      </c>
      <c r="B232" s="6" t="s">
        <v>1756</v>
      </c>
      <c r="C232" s="8">
        <v>14</v>
      </c>
      <c r="D232" s="6" t="s">
        <v>2456</v>
      </c>
      <c r="E232" s="6" t="s">
        <v>2219</v>
      </c>
      <c r="F232" s="8">
        <v>10631</v>
      </c>
      <c r="G232" s="8">
        <v>27939</v>
      </c>
      <c r="H232" s="8">
        <v>38500</v>
      </c>
      <c r="I232" s="8">
        <v>0</v>
      </c>
      <c r="J232" s="8">
        <v>10631</v>
      </c>
      <c r="K232" s="8">
        <v>0</v>
      </c>
      <c r="L232" s="8">
        <v>100</v>
      </c>
    </row>
    <row r="233" spans="1:12" x14ac:dyDescent="0.25">
      <c r="A233" s="6" t="s">
        <v>61</v>
      </c>
      <c r="B233" s="6" t="s">
        <v>1756</v>
      </c>
      <c r="C233" s="8">
        <v>15</v>
      </c>
      <c r="D233" s="6" t="s">
        <v>2457</v>
      </c>
      <c r="E233" s="6" t="s">
        <v>2219</v>
      </c>
      <c r="F233" s="8">
        <v>10643</v>
      </c>
      <c r="G233" s="8">
        <v>20997</v>
      </c>
      <c r="H233" s="8">
        <v>38500</v>
      </c>
      <c r="I233" s="8">
        <v>0</v>
      </c>
      <c r="J233" s="8">
        <v>10643</v>
      </c>
      <c r="K233" s="8">
        <v>0</v>
      </c>
      <c r="L233" s="8">
        <v>100</v>
      </c>
    </row>
    <row r="234" spans="1:12" x14ac:dyDescent="0.25">
      <c r="A234" s="6" t="s">
        <v>61</v>
      </c>
      <c r="B234" s="6" t="s">
        <v>1756</v>
      </c>
      <c r="C234" s="8">
        <v>16</v>
      </c>
      <c r="D234" s="6" t="s">
        <v>2458</v>
      </c>
      <c r="E234" s="6" t="s">
        <v>2219</v>
      </c>
      <c r="F234" s="8">
        <v>10631</v>
      </c>
      <c r="G234" s="8">
        <v>13137</v>
      </c>
      <c r="H234" s="8">
        <v>38500</v>
      </c>
      <c r="I234" s="8">
        <v>0</v>
      </c>
      <c r="J234" s="8">
        <v>10631</v>
      </c>
      <c r="K234" s="8">
        <v>0</v>
      </c>
      <c r="L234" s="8">
        <v>100</v>
      </c>
    </row>
    <row r="235" spans="1:12" x14ac:dyDescent="0.25">
      <c r="A235" s="6" t="s">
        <v>61</v>
      </c>
      <c r="B235" s="6" t="s">
        <v>1756</v>
      </c>
      <c r="C235" s="8">
        <v>17</v>
      </c>
      <c r="D235" s="6" t="s">
        <v>2459</v>
      </c>
      <c r="E235" s="6" t="s">
        <v>2219</v>
      </c>
      <c r="F235" s="8">
        <v>10595</v>
      </c>
      <c r="G235" s="8">
        <v>5896</v>
      </c>
      <c r="H235" s="8">
        <v>38500</v>
      </c>
      <c r="I235" s="8">
        <v>4699</v>
      </c>
      <c r="J235" s="8">
        <v>5896</v>
      </c>
      <c r="K235" s="8">
        <v>4699</v>
      </c>
      <c r="L235" s="10">
        <v>55.6</v>
      </c>
    </row>
    <row r="236" spans="1:12" x14ac:dyDescent="0.25">
      <c r="A236" s="6" t="s">
        <v>61</v>
      </c>
      <c r="B236" s="6" t="s">
        <v>1756</v>
      </c>
      <c r="C236" s="8">
        <v>18</v>
      </c>
      <c r="D236" s="6" t="s">
        <v>2460</v>
      </c>
      <c r="E236" s="6" t="s">
        <v>2219</v>
      </c>
      <c r="F236" s="8">
        <v>10538</v>
      </c>
      <c r="G236" s="8">
        <v>942</v>
      </c>
      <c r="H236" s="8">
        <v>38500</v>
      </c>
      <c r="I236" s="8">
        <v>9596</v>
      </c>
      <c r="J236" s="8">
        <v>942</v>
      </c>
      <c r="K236" s="8">
        <v>9596</v>
      </c>
      <c r="L236" s="10">
        <v>8.9</v>
      </c>
    </row>
    <row r="237" spans="1:12" x14ac:dyDescent="0.25">
      <c r="A237" s="6" t="s">
        <v>61</v>
      </c>
      <c r="B237" s="6" t="s">
        <v>1756</v>
      </c>
      <c r="C237" s="8">
        <v>19</v>
      </c>
      <c r="D237" s="6" t="s">
        <v>2461</v>
      </c>
      <c r="E237" s="6" t="s">
        <v>2219</v>
      </c>
      <c r="F237" s="8">
        <v>10463</v>
      </c>
      <c r="G237" s="8">
        <v>0</v>
      </c>
      <c r="H237" s="8">
        <v>38500</v>
      </c>
      <c r="I237" s="8">
        <v>10463</v>
      </c>
      <c r="J237" s="8">
        <v>0</v>
      </c>
      <c r="K237" s="8">
        <v>10463</v>
      </c>
      <c r="L237" s="8">
        <v>0</v>
      </c>
    </row>
    <row r="238" spans="1:12" x14ac:dyDescent="0.25">
      <c r="A238" s="6" t="s">
        <v>61</v>
      </c>
      <c r="B238" s="6" t="s">
        <v>1756</v>
      </c>
      <c r="C238" s="8">
        <v>20</v>
      </c>
      <c r="D238" s="6" t="s">
        <v>2462</v>
      </c>
      <c r="E238" s="6" t="s">
        <v>2219</v>
      </c>
      <c r="F238" s="8">
        <v>10376</v>
      </c>
      <c r="G238" s="8">
        <v>0</v>
      </c>
      <c r="H238" s="8">
        <v>38500</v>
      </c>
      <c r="I238" s="8">
        <v>10376</v>
      </c>
      <c r="J238" s="8">
        <v>0</v>
      </c>
      <c r="K238" s="8">
        <v>10376</v>
      </c>
      <c r="L238" s="8">
        <v>0</v>
      </c>
    </row>
    <row r="239" spans="1:12" x14ac:dyDescent="0.25">
      <c r="A239" s="6" t="s">
        <v>61</v>
      </c>
      <c r="B239" s="6" t="s">
        <v>1756</v>
      </c>
      <c r="C239" s="8">
        <v>21</v>
      </c>
      <c r="D239" s="6" t="s">
        <v>2463</v>
      </c>
      <c r="E239" s="6" t="s">
        <v>2219</v>
      </c>
      <c r="F239" s="8">
        <v>10283</v>
      </c>
      <c r="G239" s="8">
        <v>0</v>
      </c>
      <c r="H239" s="8">
        <v>38500</v>
      </c>
      <c r="I239" s="8">
        <v>10283</v>
      </c>
      <c r="J239" s="8">
        <v>0</v>
      </c>
      <c r="K239" s="8">
        <v>10283</v>
      </c>
      <c r="L239" s="8">
        <v>0</v>
      </c>
    </row>
    <row r="240" spans="1:12" x14ac:dyDescent="0.25">
      <c r="A240" s="6" t="s">
        <v>61</v>
      </c>
      <c r="B240" s="6" t="s">
        <v>1756</v>
      </c>
      <c r="C240" s="8">
        <v>22</v>
      </c>
      <c r="D240" s="6" t="s">
        <v>2464</v>
      </c>
      <c r="E240" s="6" t="s">
        <v>2219</v>
      </c>
      <c r="F240" s="8">
        <v>10190</v>
      </c>
      <c r="G240" s="8">
        <v>0</v>
      </c>
      <c r="H240" s="8">
        <v>38500</v>
      </c>
      <c r="I240" s="8">
        <v>10190</v>
      </c>
      <c r="J240" s="8">
        <v>0</v>
      </c>
      <c r="K240" s="8">
        <v>10190</v>
      </c>
      <c r="L240" s="8">
        <v>0</v>
      </c>
    </row>
    <row r="241" spans="1:12" x14ac:dyDescent="0.25">
      <c r="A241" s="6" t="s">
        <v>61</v>
      </c>
      <c r="B241" s="6" t="s">
        <v>1756</v>
      </c>
      <c r="C241" s="8">
        <v>23</v>
      </c>
      <c r="D241" s="6" t="s">
        <v>2465</v>
      </c>
      <c r="E241" s="6" t="s">
        <v>2219</v>
      </c>
      <c r="F241" s="8">
        <v>10103</v>
      </c>
      <c r="G241" s="8">
        <v>0</v>
      </c>
      <c r="H241" s="8">
        <v>38500</v>
      </c>
      <c r="I241" s="8">
        <v>10103</v>
      </c>
      <c r="J241" s="8">
        <v>0</v>
      </c>
      <c r="K241" s="8">
        <v>10103</v>
      </c>
      <c r="L241" s="8">
        <v>0</v>
      </c>
    </row>
    <row r="242" spans="1:12" x14ac:dyDescent="0.25">
      <c r="A242" s="6" t="s">
        <v>61</v>
      </c>
      <c r="B242" s="6" t="s">
        <v>2466</v>
      </c>
      <c r="C242" s="8">
        <v>0</v>
      </c>
      <c r="D242" s="6" t="s">
        <v>2467</v>
      </c>
      <c r="E242" s="6" t="s">
        <v>2219</v>
      </c>
      <c r="F242" s="8">
        <v>10382</v>
      </c>
      <c r="G242" s="8">
        <v>0</v>
      </c>
      <c r="H242" s="8">
        <v>38500</v>
      </c>
      <c r="I242" s="8">
        <v>10382</v>
      </c>
      <c r="J242" s="8">
        <v>0</v>
      </c>
      <c r="K242" s="8">
        <v>10382</v>
      </c>
      <c r="L242" s="8">
        <v>0</v>
      </c>
    </row>
    <row r="243" spans="1:12" x14ac:dyDescent="0.25">
      <c r="A243" s="6" t="s">
        <v>61</v>
      </c>
      <c r="B243" s="6" t="s">
        <v>2466</v>
      </c>
      <c r="C243" s="8">
        <v>1</v>
      </c>
      <c r="D243" s="6" t="s">
        <v>2468</v>
      </c>
      <c r="E243" s="6" t="s">
        <v>2219</v>
      </c>
      <c r="F243" s="8">
        <v>10323</v>
      </c>
      <c r="G243" s="8">
        <v>0</v>
      </c>
      <c r="H243" s="8">
        <v>38500</v>
      </c>
      <c r="I243" s="8">
        <v>10323</v>
      </c>
      <c r="J243" s="8">
        <v>0</v>
      </c>
      <c r="K243" s="8">
        <v>10323</v>
      </c>
      <c r="L243" s="8">
        <v>0</v>
      </c>
    </row>
    <row r="244" spans="1:12" x14ac:dyDescent="0.25">
      <c r="A244" s="6" t="s">
        <v>61</v>
      </c>
      <c r="B244" s="6" t="s">
        <v>2466</v>
      </c>
      <c r="C244" s="8">
        <v>2</v>
      </c>
      <c r="D244" s="6" t="s">
        <v>2469</v>
      </c>
      <c r="E244" s="6" t="s">
        <v>2219</v>
      </c>
      <c r="F244" s="8">
        <v>10286</v>
      </c>
      <c r="G244" s="8">
        <v>0</v>
      </c>
      <c r="H244" s="8">
        <v>38500</v>
      </c>
      <c r="I244" s="8">
        <v>10286</v>
      </c>
      <c r="J244" s="8">
        <v>0</v>
      </c>
      <c r="K244" s="8">
        <v>10286</v>
      </c>
      <c r="L244" s="8">
        <v>0</v>
      </c>
    </row>
    <row r="245" spans="1:12" x14ac:dyDescent="0.25">
      <c r="A245" s="6" t="s">
        <v>61</v>
      </c>
      <c r="B245" s="6" t="s">
        <v>2466</v>
      </c>
      <c r="C245" s="8">
        <v>3</v>
      </c>
      <c r="D245" s="6" t="s">
        <v>2470</v>
      </c>
      <c r="E245" s="6" t="s">
        <v>2219</v>
      </c>
      <c r="F245" s="8">
        <v>10273</v>
      </c>
      <c r="G245" s="8">
        <v>0</v>
      </c>
      <c r="H245" s="8">
        <v>38500</v>
      </c>
      <c r="I245" s="8">
        <v>10273</v>
      </c>
      <c r="J245" s="8">
        <v>0</v>
      </c>
      <c r="K245" s="8">
        <v>10273</v>
      </c>
      <c r="L245" s="8">
        <v>0</v>
      </c>
    </row>
    <row r="246" spans="1:12" x14ac:dyDescent="0.25">
      <c r="A246" s="6" t="s">
        <v>61</v>
      </c>
      <c r="B246" s="6" t="s">
        <v>2466</v>
      </c>
      <c r="C246" s="8">
        <v>4</v>
      </c>
      <c r="D246" s="6" t="s">
        <v>2471</v>
      </c>
      <c r="E246" s="6" t="s">
        <v>2219</v>
      </c>
      <c r="F246" s="8">
        <v>10286</v>
      </c>
      <c r="G246" s="8">
        <v>0</v>
      </c>
      <c r="H246" s="8">
        <v>38500</v>
      </c>
      <c r="I246" s="8">
        <v>10286</v>
      </c>
      <c r="J246" s="8">
        <v>0</v>
      </c>
      <c r="K246" s="8">
        <v>10286</v>
      </c>
      <c r="L246" s="8">
        <v>0</v>
      </c>
    </row>
    <row r="247" spans="1:12" x14ac:dyDescent="0.25">
      <c r="A247" s="6" t="s">
        <v>61</v>
      </c>
      <c r="B247" s="6" t="s">
        <v>2466</v>
      </c>
      <c r="C247" s="8">
        <v>5</v>
      </c>
      <c r="D247" s="6" t="s">
        <v>2472</v>
      </c>
      <c r="E247" s="6" t="s">
        <v>2219</v>
      </c>
      <c r="F247" s="8">
        <v>10323</v>
      </c>
      <c r="G247" s="8">
        <v>0</v>
      </c>
      <c r="H247" s="8">
        <v>38500</v>
      </c>
      <c r="I247" s="8">
        <v>10323</v>
      </c>
      <c r="J247" s="8">
        <v>0</v>
      </c>
      <c r="K247" s="8">
        <v>10323</v>
      </c>
      <c r="L247" s="8">
        <v>0</v>
      </c>
    </row>
    <row r="248" spans="1:12" x14ac:dyDescent="0.25">
      <c r="A248" s="6" t="s">
        <v>61</v>
      </c>
      <c r="B248" s="6" t="s">
        <v>2466</v>
      </c>
      <c r="C248" s="8">
        <v>6</v>
      </c>
      <c r="D248" s="6" t="s">
        <v>2473</v>
      </c>
      <c r="E248" s="6" t="s">
        <v>2219</v>
      </c>
      <c r="F248" s="8">
        <v>10382</v>
      </c>
      <c r="G248" s="8">
        <v>932</v>
      </c>
      <c r="H248" s="8">
        <v>38500</v>
      </c>
      <c r="I248" s="8">
        <v>9450</v>
      </c>
      <c r="J248" s="8">
        <v>932</v>
      </c>
      <c r="K248" s="8">
        <v>9450</v>
      </c>
      <c r="L248" s="8">
        <v>9</v>
      </c>
    </row>
    <row r="249" spans="1:12" x14ac:dyDescent="0.25">
      <c r="A249" s="6" t="s">
        <v>61</v>
      </c>
      <c r="B249" s="6" t="s">
        <v>2466</v>
      </c>
      <c r="C249" s="8">
        <v>7</v>
      </c>
      <c r="D249" s="6" t="s">
        <v>2474</v>
      </c>
      <c r="E249" s="6" t="s">
        <v>2219</v>
      </c>
      <c r="F249" s="8">
        <v>10459</v>
      </c>
      <c r="G249" s="8">
        <v>5836</v>
      </c>
      <c r="H249" s="8">
        <v>38500</v>
      </c>
      <c r="I249" s="8">
        <v>4623</v>
      </c>
      <c r="J249" s="8">
        <v>5836</v>
      </c>
      <c r="K249" s="8">
        <v>4623</v>
      </c>
      <c r="L249" s="10">
        <v>55.8</v>
      </c>
    </row>
    <row r="250" spans="1:12" x14ac:dyDescent="0.25">
      <c r="A250" s="6" t="s">
        <v>61</v>
      </c>
      <c r="B250" s="6" t="s">
        <v>2466</v>
      </c>
      <c r="C250" s="8">
        <v>8</v>
      </c>
      <c r="D250" s="6" t="s">
        <v>2475</v>
      </c>
      <c r="E250" s="6" t="s">
        <v>2219</v>
      </c>
      <c r="F250" s="8">
        <v>10549</v>
      </c>
      <c r="G250" s="8">
        <v>13002</v>
      </c>
      <c r="H250" s="8">
        <v>38500</v>
      </c>
      <c r="I250" s="8">
        <v>0</v>
      </c>
      <c r="J250" s="8">
        <v>10549</v>
      </c>
      <c r="K250" s="8">
        <v>0</v>
      </c>
      <c r="L250" s="8">
        <v>100</v>
      </c>
    </row>
    <row r="251" spans="1:12" x14ac:dyDescent="0.25">
      <c r="A251" s="6" t="s">
        <v>61</v>
      </c>
      <c r="B251" s="6" t="s">
        <v>2466</v>
      </c>
      <c r="C251" s="8">
        <v>9</v>
      </c>
      <c r="D251" s="6" t="s">
        <v>2476</v>
      </c>
      <c r="E251" s="6" t="s">
        <v>2219</v>
      </c>
      <c r="F251" s="8">
        <v>10646</v>
      </c>
      <c r="G251" s="8">
        <v>20781</v>
      </c>
      <c r="H251" s="8">
        <v>38500</v>
      </c>
      <c r="I251" s="8">
        <v>0</v>
      </c>
      <c r="J251" s="8">
        <v>10646</v>
      </c>
      <c r="K251" s="8">
        <v>0</v>
      </c>
      <c r="L251" s="8">
        <v>100</v>
      </c>
    </row>
    <row r="252" spans="1:12" x14ac:dyDescent="0.25">
      <c r="A252" s="6" t="s">
        <v>61</v>
      </c>
      <c r="B252" s="6" t="s">
        <v>2466</v>
      </c>
      <c r="C252" s="8">
        <v>10</v>
      </c>
      <c r="D252" s="6" t="s">
        <v>2477</v>
      </c>
      <c r="E252" s="6" t="s">
        <v>2219</v>
      </c>
      <c r="F252" s="8">
        <v>10742</v>
      </c>
      <c r="G252" s="8">
        <v>27651</v>
      </c>
      <c r="H252" s="8">
        <v>38500</v>
      </c>
      <c r="I252" s="8">
        <v>0</v>
      </c>
      <c r="J252" s="8">
        <v>10742</v>
      </c>
      <c r="K252" s="8">
        <v>0</v>
      </c>
      <c r="L252" s="8">
        <v>100</v>
      </c>
    </row>
    <row r="253" spans="1:12" x14ac:dyDescent="0.25">
      <c r="A253" s="6" t="s">
        <v>61</v>
      </c>
      <c r="B253" s="6" t="s">
        <v>2466</v>
      </c>
      <c r="C253" s="8">
        <v>11</v>
      </c>
      <c r="D253" s="6" t="s">
        <v>2478</v>
      </c>
      <c r="E253" s="6" t="s">
        <v>2219</v>
      </c>
      <c r="F253" s="8">
        <v>10832</v>
      </c>
      <c r="G253" s="8">
        <v>32341</v>
      </c>
      <c r="H253" s="8">
        <v>38500</v>
      </c>
      <c r="I253" s="8">
        <v>0</v>
      </c>
      <c r="J253" s="8">
        <v>10832</v>
      </c>
      <c r="K253" s="8">
        <v>0</v>
      </c>
      <c r="L253" s="8">
        <v>100</v>
      </c>
    </row>
    <row r="254" spans="1:12" x14ac:dyDescent="0.25">
      <c r="A254" s="6" t="s">
        <v>61</v>
      </c>
      <c r="B254" s="6" t="s">
        <v>2466</v>
      </c>
      <c r="C254" s="8">
        <v>12</v>
      </c>
      <c r="D254" s="6" t="s">
        <v>2479</v>
      </c>
      <c r="E254" s="6" t="s">
        <v>2219</v>
      </c>
      <c r="F254" s="8">
        <v>10909</v>
      </c>
      <c r="G254" s="8">
        <v>34003</v>
      </c>
      <c r="H254" s="8">
        <v>38500</v>
      </c>
      <c r="I254" s="8">
        <v>0</v>
      </c>
      <c r="J254" s="8">
        <v>10909</v>
      </c>
      <c r="K254" s="8">
        <v>0</v>
      </c>
      <c r="L254" s="8">
        <v>100</v>
      </c>
    </row>
    <row r="255" spans="1:12" x14ac:dyDescent="0.25">
      <c r="A255" s="6" t="s">
        <v>61</v>
      </c>
      <c r="B255" s="6" t="s">
        <v>2466</v>
      </c>
      <c r="C255" s="8">
        <v>13</v>
      </c>
      <c r="D255" s="6" t="s">
        <v>2480</v>
      </c>
      <c r="E255" s="6" t="s">
        <v>2219</v>
      </c>
      <c r="F255" s="8">
        <v>10968</v>
      </c>
      <c r="G255" s="8">
        <v>32341</v>
      </c>
      <c r="H255" s="8">
        <v>38500</v>
      </c>
      <c r="I255" s="8">
        <v>0</v>
      </c>
      <c r="J255" s="8">
        <v>10968</v>
      </c>
      <c r="K255" s="8">
        <v>0</v>
      </c>
      <c r="L255" s="8">
        <v>100</v>
      </c>
    </row>
    <row r="256" spans="1:12" x14ac:dyDescent="0.25">
      <c r="A256" s="6" t="s">
        <v>61</v>
      </c>
      <c r="B256" s="6" t="s">
        <v>2466</v>
      </c>
      <c r="C256" s="8">
        <v>14</v>
      </c>
      <c r="D256" s="6" t="s">
        <v>2481</v>
      </c>
      <c r="E256" s="6" t="s">
        <v>2219</v>
      </c>
      <c r="F256" s="8">
        <v>11005</v>
      </c>
      <c r="G256" s="8">
        <v>27651</v>
      </c>
      <c r="H256" s="8">
        <v>38500</v>
      </c>
      <c r="I256" s="8">
        <v>0</v>
      </c>
      <c r="J256" s="8">
        <v>11005</v>
      </c>
      <c r="K256" s="8">
        <v>0</v>
      </c>
      <c r="L256" s="8">
        <v>100</v>
      </c>
    </row>
    <row r="257" spans="1:12" x14ac:dyDescent="0.25">
      <c r="A257" s="6" t="s">
        <v>61</v>
      </c>
      <c r="B257" s="6" t="s">
        <v>2466</v>
      </c>
      <c r="C257" s="8">
        <v>15</v>
      </c>
      <c r="D257" s="6" t="s">
        <v>2482</v>
      </c>
      <c r="E257" s="6" t="s">
        <v>2219</v>
      </c>
      <c r="F257" s="8">
        <v>11018</v>
      </c>
      <c r="G257" s="8">
        <v>20781</v>
      </c>
      <c r="H257" s="8">
        <v>38500</v>
      </c>
      <c r="I257" s="8">
        <v>0</v>
      </c>
      <c r="J257" s="8">
        <v>11018</v>
      </c>
      <c r="K257" s="8">
        <v>0</v>
      </c>
      <c r="L257" s="8">
        <v>100</v>
      </c>
    </row>
    <row r="258" spans="1:12" x14ac:dyDescent="0.25">
      <c r="A258" s="6" t="s">
        <v>61</v>
      </c>
      <c r="B258" s="6" t="s">
        <v>2466</v>
      </c>
      <c r="C258" s="8">
        <v>16</v>
      </c>
      <c r="D258" s="6" t="s">
        <v>2483</v>
      </c>
      <c r="E258" s="6" t="s">
        <v>2219</v>
      </c>
      <c r="F258" s="8">
        <v>11005</v>
      </c>
      <c r="G258" s="8">
        <v>13002</v>
      </c>
      <c r="H258" s="8">
        <v>38500</v>
      </c>
      <c r="I258" s="8">
        <v>0</v>
      </c>
      <c r="J258" s="8">
        <v>11005</v>
      </c>
      <c r="K258" s="8">
        <v>0</v>
      </c>
      <c r="L258" s="8">
        <v>100</v>
      </c>
    </row>
    <row r="259" spans="1:12" x14ac:dyDescent="0.25">
      <c r="A259" s="6" t="s">
        <v>61</v>
      </c>
      <c r="B259" s="6" t="s">
        <v>2466</v>
      </c>
      <c r="C259" s="8">
        <v>17</v>
      </c>
      <c r="D259" s="6" t="s">
        <v>2484</v>
      </c>
      <c r="E259" s="6" t="s">
        <v>2219</v>
      </c>
      <c r="F259" s="8">
        <v>10968</v>
      </c>
      <c r="G259" s="8">
        <v>5836</v>
      </c>
      <c r="H259" s="8">
        <v>38500</v>
      </c>
      <c r="I259" s="8">
        <v>5132</v>
      </c>
      <c r="J259" s="8">
        <v>5836</v>
      </c>
      <c r="K259" s="8">
        <v>5132</v>
      </c>
      <c r="L259" s="10">
        <v>53.2</v>
      </c>
    </row>
    <row r="260" spans="1:12" x14ac:dyDescent="0.25">
      <c r="A260" s="6" t="s">
        <v>61</v>
      </c>
      <c r="B260" s="6" t="s">
        <v>2466</v>
      </c>
      <c r="C260" s="8">
        <v>18</v>
      </c>
      <c r="D260" s="6" t="s">
        <v>2485</v>
      </c>
      <c r="E260" s="6" t="s">
        <v>2219</v>
      </c>
      <c r="F260" s="8">
        <v>10909</v>
      </c>
      <c r="G260" s="8">
        <v>932</v>
      </c>
      <c r="H260" s="8">
        <v>38500</v>
      </c>
      <c r="I260" s="8">
        <v>9977</v>
      </c>
      <c r="J260" s="8">
        <v>932</v>
      </c>
      <c r="K260" s="8">
        <v>9977</v>
      </c>
      <c r="L260" s="10">
        <v>8.5</v>
      </c>
    </row>
    <row r="261" spans="1:12" x14ac:dyDescent="0.25">
      <c r="A261" s="6" t="s">
        <v>61</v>
      </c>
      <c r="B261" s="6" t="s">
        <v>2466</v>
      </c>
      <c r="C261" s="8">
        <v>19</v>
      </c>
      <c r="D261" s="6" t="s">
        <v>2486</v>
      </c>
      <c r="E261" s="6" t="s">
        <v>2219</v>
      </c>
      <c r="F261" s="8">
        <v>10832</v>
      </c>
      <c r="G261" s="8">
        <v>0</v>
      </c>
      <c r="H261" s="8">
        <v>38500</v>
      </c>
      <c r="I261" s="8">
        <v>10832</v>
      </c>
      <c r="J261" s="8">
        <v>0</v>
      </c>
      <c r="K261" s="8">
        <v>10832</v>
      </c>
      <c r="L261" s="8">
        <v>0</v>
      </c>
    </row>
    <row r="262" spans="1:12" x14ac:dyDescent="0.25">
      <c r="A262" s="6" t="s">
        <v>61</v>
      </c>
      <c r="B262" s="6" t="s">
        <v>2466</v>
      </c>
      <c r="C262" s="8">
        <v>20</v>
      </c>
      <c r="D262" s="6" t="s">
        <v>2487</v>
      </c>
      <c r="E262" s="6" t="s">
        <v>2219</v>
      </c>
      <c r="F262" s="8">
        <v>10742</v>
      </c>
      <c r="G262" s="8">
        <v>0</v>
      </c>
      <c r="H262" s="8">
        <v>38500</v>
      </c>
      <c r="I262" s="8">
        <v>10742</v>
      </c>
      <c r="J262" s="8">
        <v>0</v>
      </c>
      <c r="K262" s="8">
        <v>10742</v>
      </c>
      <c r="L262" s="8">
        <v>0</v>
      </c>
    </row>
    <row r="263" spans="1:12" x14ac:dyDescent="0.25">
      <c r="A263" s="6" t="s">
        <v>61</v>
      </c>
      <c r="B263" s="6" t="s">
        <v>2466</v>
      </c>
      <c r="C263" s="8">
        <v>21</v>
      </c>
      <c r="D263" s="6" t="s">
        <v>2488</v>
      </c>
      <c r="E263" s="6" t="s">
        <v>2219</v>
      </c>
      <c r="F263" s="8">
        <v>10646</v>
      </c>
      <c r="G263" s="8">
        <v>0</v>
      </c>
      <c r="H263" s="8">
        <v>38500</v>
      </c>
      <c r="I263" s="8">
        <v>10646</v>
      </c>
      <c r="J263" s="8">
        <v>0</v>
      </c>
      <c r="K263" s="8">
        <v>10646</v>
      </c>
      <c r="L263" s="8">
        <v>0</v>
      </c>
    </row>
    <row r="264" spans="1:12" x14ac:dyDescent="0.25">
      <c r="A264" s="6" t="s">
        <v>61</v>
      </c>
      <c r="B264" s="6" t="s">
        <v>2466</v>
      </c>
      <c r="C264" s="8">
        <v>22</v>
      </c>
      <c r="D264" s="6" t="s">
        <v>2489</v>
      </c>
      <c r="E264" s="6" t="s">
        <v>2219</v>
      </c>
      <c r="F264" s="8">
        <v>10549</v>
      </c>
      <c r="G264" s="8">
        <v>0</v>
      </c>
      <c r="H264" s="8">
        <v>38500</v>
      </c>
      <c r="I264" s="8">
        <v>10549</v>
      </c>
      <c r="J264" s="8">
        <v>0</v>
      </c>
      <c r="K264" s="8">
        <v>10549</v>
      </c>
      <c r="L264" s="8">
        <v>0</v>
      </c>
    </row>
    <row r="265" spans="1:12" x14ac:dyDescent="0.25">
      <c r="A265" s="6" t="s">
        <v>61</v>
      </c>
      <c r="B265" s="6" t="s">
        <v>2466</v>
      </c>
      <c r="C265" s="8">
        <v>23</v>
      </c>
      <c r="D265" s="6" t="s">
        <v>2490</v>
      </c>
      <c r="E265" s="6" t="s">
        <v>2219</v>
      </c>
      <c r="F265" s="8">
        <v>10459</v>
      </c>
      <c r="G265" s="8">
        <v>0</v>
      </c>
      <c r="H265" s="8">
        <v>38500</v>
      </c>
      <c r="I265" s="8">
        <v>10459</v>
      </c>
      <c r="J265" s="8">
        <v>0</v>
      </c>
      <c r="K265" s="8">
        <v>10459</v>
      </c>
      <c r="L265" s="8">
        <v>0</v>
      </c>
    </row>
    <row r="266" spans="1:12" x14ac:dyDescent="0.25">
      <c r="A266" s="6" t="s">
        <v>61</v>
      </c>
      <c r="B266" s="6" t="s">
        <v>2491</v>
      </c>
      <c r="C266" s="8">
        <v>0</v>
      </c>
      <c r="D266" s="6" t="s">
        <v>2492</v>
      </c>
      <c r="E266" s="6" t="s">
        <v>2219</v>
      </c>
      <c r="F266" s="8">
        <v>10382</v>
      </c>
      <c r="G266" s="8">
        <v>0</v>
      </c>
      <c r="H266" s="8">
        <v>38500</v>
      </c>
      <c r="I266" s="8">
        <v>10382</v>
      </c>
      <c r="J266" s="8">
        <v>0</v>
      </c>
      <c r="K266" s="8">
        <v>10382</v>
      </c>
      <c r="L266" s="8">
        <v>0</v>
      </c>
    </row>
    <row r="267" spans="1:12" x14ac:dyDescent="0.25">
      <c r="A267" s="6" t="s">
        <v>61</v>
      </c>
      <c r="B267" s="6" t="s">
        <v>2491</v>
      </c>
      <c r="C267" s="8">
        <v>1</v>
      </c>
      <c r="D267" s="6" t="s">
        <v>2493</v>
      </c>
      <c r="E267" s="6" t="s">
        <v>2219</v>
      </c>
      <c r="F267" s="8">
        <v>10323</v>
      </c>
      <c r="G267" s="8">
        <v>0</v>
      </c>
      <c r="H267" s="8">
        <v>38500</v>
      </c>
      <c r="I267" s="8">
        <v>10323</v>
      </c>
      <c r="J267" s="8">
        <v>0</v>
      </c>
      <c r="K267" s="8">
        <v>10323</v>
      </c>
      <c r="L267" s="8">
        <v>0</v>
      </c>
    </row>
    <row r="268" spans="1:12" x14ac:dyDescent="0.25">
      <c r="A268" s="6" t="s">
        <v>61</v>
      </c>
      <c r="B268" s="6" t="s">
        <v>2491</v>
      </c>
      <c r="C268" s="8">
        <v>2</v>
      </c>
      <c r="D268" s="6" t="s">
        <v>2494</v>
      </c>
      <c r="E268" s="6" t="s">
        <v>2219</v>
      </c>
      <c r="F268" s="8">
        <v>10286</v>
      </c>
      <c r="G268" s="8">
        <v>0</v>
      </c>
      <c r="H268" s="8">
        <v>38500</v>
      </c>
      <c r="I268" s="8">
        <v>10286</v>
      </c>
      <c r="J268" s="8">
        <v>0</v>
      </c>
      <c r="K268" s="8">
        <v>10286</v>
      </c>
      <c r="L268" s="8">
        <v>0</v>
      </c>
    </row>
    <row r="269" spans="1:12" x14ac:dyDescent="0.25">
      <c r="A269" s="6" t="s">
        <v>61</v>
      </c>
      <c r="B269" s="6" t="s">
        <v>2491</v>
      </c>
      <c r="C269" s="8">
        <v>3</v>
      </c>
      <c r="D269" s="6" t="s">
        <v>2495</v>
      </c>
      <c r="E269" s="6" t="s">
        <v>2219</v>
      </c>
      <c r="F269" s="8">
        <v>10273</v>
      </c>
      <c r="G269" s="8">
        <v>0</v>
      </c>
      <c r="H269" s="8">
        <v>38500</v>
      </c>
      <c r="I269" s="8">
        <v>10273</v>
      </c>
      <c r="J269" s="8">
        <v>0</v>
      </c>
      <c r="K269" s="8">
        <v>10273</v>
      </c>
      <c r="L269" s="8">
        <v>0</v>
      </c>
    </row>
    <row r="270" spans="1:12" x14ac:dyDescent="0.25">
      <c r="A270" s="6" t="s">
        <v>61</v>
      </c>
      <c r="B270" s="6" t="s">
        <v>2491</v>
      </c>
      <c r="C270" s="8">
        <v>4</v>
      </c>
      <c r="D270" s="6" t="s">
        <v>2496</v>
      </c>
      <c r="E270" s="6" t="s">
        <v>2219</v>
      </c>
      <c r="F270" s="8">
        <v>10286</v>
      </c>
      <c r="G270" s="8">
        <v>0</v>
      </c>
      <c r="H270" s="8">
        <v>38500</v>
      </c>
      <c r="I270" s="8">
        <v>10286</v>
      </c>
      <c r="J270" s="8">
        <v>0</v>
      </c>
      <c r="K270" s="8">
        <v>10286</v>
      </c>
      <c r="L270" s="8">
        <v>0</v>
      </c>
    </row>
    <row r="271" spans="1:12" x14ac:dyDescent="0.25">
      <c r="A271" s="6" t="s">
        <v>61</v>
      </c>
      <c r="B271" s="6" t="s">
        <v>2491</v>
      </c>
      <c r="C271" s="8">
        <v>5</v>
      </c>
      <c r="D271" s="6" t="s">
        <v>2497</v>
      </c>
      <c r="E271" s="6" t="s">
        <v>2219</v>
      </c>
      <c r="F271" s="8">
        <v>10323</v>
      </c>
      <c r="G271" s="8">
        <v>0</v>
      </c>
      <c r="H271" s="8">
        <v>38500</v>
      </c>
      <c r="I271" s="8">
        <v>10323</v>
      </c>
      <c r="J271" s="8">
        <v>0</v>
      </c>
      <c r="K271" s="8">
        <v>10323</v>
      </c>
      <c r="L271" s="8">
        <v>0</v>
      </c>
    </row>
    <row r="272" spans="1:12" x14ac:dyDescent="0.25">
      <c r="A272" s="6" t="s">
        <v>61</v>
      </c>
      <c r="B272" s="6" t="s">
        <v>2491</v>
      </c>
      <c r="C272" s="8">
        <v>6</v>
      </c>
      <c r="D272" s="6" t="s">
        <v>2498</v>
      </c>
      <c r="E272" s="6" t="s">
        <v>2219</v>
      </c>
      <c r="F272" s="8">
        <v>10382</v>
      </c>
      <c r="G272" s="8">
        <v>922</v>
      </c>
      <c r="H272" s="8">
        <v>38500</v>
      </c>
      <c r="I272" s="8">
        <v>9460</v>
      </c>
      <c r="J272" s="8">
        <v>922</v>
      </c>
      <c r="K272" s="8">
        <v>9460</v>
      </c>
      <c r="L272" s="10">
        <v>8.9</v>
      </c>
    </row>
    <row r="273" spans="1:12" x14ac:dyDescent="0.25">
      <c r="A273" s="6" t="s">
        <v>61</v>
      </c>
      <c r="B273" s="6" t="s">
        <v>2491</v>
      </c>
      <c r="C273" s="8">
        <v>7</v>
      </c>
      <c r="D273" s="6" t="s">
        <v>2499</v>
      </c>
      <c r="E273" s="6" t="s">
        <v>2219</v>
      </c>
      <c r="F273" s="8">
        <v>10459</v>
      </c>
      <c r="G273" s="8">
        <v>5775</v>
      </c>
      <c r="H273" s="8">
        <v>38500</v>
      </c>
      <c r="I273" s="8">
        <v>4684</v>
      </c>
      <c r="J273" s="8">
        <v>5775</v>
      </c>
      <c r="K273" s="8">
        <v>4684</v>
      </c>
      <c r="L273" s="10">
        <v>55.2</v>
      </c>
    </row>
    <row r="274" spans="1:12" x14ac:dyDescent="0.25">
      <c r="A274" s="6" t="s">
        <v>61</v>
      </c>
      <c r="B274" s="6" t="s">
        <v>2491</v>
      </c>
      <c r="C274" s="8">
        <v>8</v>
      </c>
      <c r="D274" s="6" t="s">
        <v>2500</v>
      </c>
      <c r="E274" s="6" t="s">
        <v>2219</v>
      </c>
      <c r="F274" s="8">
        <v>10549</v>
      </c>
      <c r="G274" s="8">
        <v>12866</v>
      </c>
      <c r="H274" s="8">
        <v>38500</v>
      </c>
      <c r="I274" s="8">
        <v>0</v>
      </c>
      <c r="J274" s="8">
        <v>10549</v>
      </c>
      <c r="K274" s="8">
        <v>0</v>
      </c>
      <c r="L274" s="8">
        <v>100</v>
      </c>
    </row>
    <row r="275" spans="1:12" x14ac:dyDescent="0.25">
      <c r="A275" s="6" t="s">
        <v>61</v>
      </c>
      <c r="B275" s="6" t="s">
        <v>2491</v>
      </c>
      <c r="C275" s="8">
        <v>9</v>
      </c>
      <c r="D275" s="6" t="s">
        <v>2501</v>
      </c>
      <c r="E275" s="6" t="s">
        <v>2219</v>
      </c>
      <c r="F275" s="8">
        <v>10646</v>
      </c>
      <c r="G275" s="8">
        <v>20564</v>
      </c>
      <c r="H275" s="8">
        <v>38500</v>
      </c>
      <c r="I275" s="8">
        <v>0</v>
      </c>
      <c r="J275" s="8">
        <v>10646</v>
      </c>
      <c r="K275" s="8">
        <v>0</v>
      </c>
      <c r="L275" s="8">
        <v>100</v>
      </c>
    </row>
    <row r="276" spans="1:12" x14ac:dyDescent="0.25">
      <c r="A276" s="6" t="s">
        <v>61</v>
      </c>
      <c r="B276" s="6" t="s">
        <v>2491</v>
      </c>
      <c r="C276" s="8">
        <v>10</v>
      </c>
      <c r="D276" s="6" t="s">
        <v>2502</v>
      </c>
      <c r="E276" s="6" t="s">
        <v>2219</v>
      </c>
      <c r="F276" s="8">
        <v>10742</v>
      </c>
      <c r="G276" s="8">
        <v>27363</v>
      </c>
      <c r="H276" s="8">
        <v>38500</v>
      </c>
      <c r="I276" s="8">
        <v>0</v>
      </c>
      <c r="J276" s="8">
        <v>10742</v>
      </c>
      <c r="K276" s="8">
        <v>0</v>
      </c>
      <c r="L276" s="8">
        <v>100</v>
      </c>
    </row>
    <row r="277" spans="1:12" x14ac:dyDescent="0.25">
      <c r="A277" s="6" t="s">
        <v>61</v>
      </c>
      <c r="B277" s="6" t="s">
        <v>2491</v>
      </c>
      <c r="C277" s="8">
        <v>11</v>
      </c>
      <c r="D277" s="6" t="s">
        <v>2503</v>
      </c>
      <c r="E277" s="6" t="s">
        <v>2219</v>
      </c>
      <c r="F277" s="8">
        <v>10832</v>
      </c>
      <c r="G277" s="8">
        <v>32004</v>
      </c>
      <c r="H277" s="8">
        <v>38500</v>
      </c>
      <c r="I277" s="8">
        <v>0</v>
      </c>
      <c r="J277" s="8">
        <v>10832</v>
      </c>
      <c r="K277" s="8">
        <v>0</v>
      </c>
      <c r="L277" s="8">
        <v>100</v>
      </c>
    </row>
    <row r="278" spans="1:12" x14ac:dyDescent="0.25">
      <c r="A278" s="6" t="s">
        <v>61</v>
      </c>
      <c r="B278" s="6" t="s">
        <v>2491</v>
      </c>
      <c r="C278" s="8">
        <v>12</v>
      </c>
      <c r="D278" s="6" t="s">
        <v>2504</v>
      </c>
      <c r="E278" s="6" t="s">
        <v>2219</v>
      </c>
      <c r="F278" s="8">
        <v>10909</v>
      </c>
      <c r="G278" s="8">
        <v>33649</v>
      </c>
      <c r="H278" s="8">
        <v>38500</v>
      </c>
      <c r="I278" s="8">
        <v>0</v>
      </c>
      <c r="J278" s="8">
        <v>10909</v>
      </c>
      <c r="K278" s="8">
        <v>0</v>
      </c>
      <c r="L278" s="8">
        <v>100</v>
      </c>
    </row>
    <row r="279" spans="1:12" x14ac:dyDescent="0.25">
      <c r="A279" s="6" t="s">
        <v>61</v>
      </c>
      <c r="B279" s="6" t="s">
        <v>2491</v>
      </c>
      <c r="C279" s="8">
        <v>13</v>
      </c>
      <c r="D279" s="6" t="s">
        <v>2505</v>
      </c>
      <c r="E279" s="6" t="s">
        <v>2219</v>
      </c>
      <c r="F279" s="8">
        <v>10968</v>
      </c>
      <c r="G279" s="8">
        <v>32004</v>
      </c>
      <c r="H279" s="8">
        <v>38500</v>
      </c>
      <c r="I279" s="8">
        <v>0</v>
      </c>
      <c r="J279" s="8">
        <v>10968</v>
      </c>
      <c r="K279" s="8">
        <v>0</v>
      </c>
      <c r="L279" s="8">
        <v>100</v>
      </c>
    </row>
    <row r="280" spans="1:12" x14ac:dyDescent="0.25">
      <c r="A280" s="6" t="s">
        <v>61</v>
      </c>
      <c r="B280" s="6" t="s">
        <v>2491</v>
      </c>
      <c r="C280" s="8">
        <v>14</v>
      </c>
      <c r="D280" s="6" t="s">
        <v>2506</v>
      </c>
      <c r="E280" s="6" t="s">
        <v>2219</v>
      </c>
      <c r="F280" s="8">
        <v>11005</v>
      </c>
      <c r="G280" s="8">
        <v>27363</v>
      </c>
      <c r="H280" s="8">
        <v>38500</v>
      </c>
      <c r="I280" s="8">
        <v>0</v>
      </c>
      <c r="J280" s="8">
        <v>11005</v>
      </c>
      <c r="K280" s="8">
        <v>0</v>
      </c>
      <c r="L280" s="8">
        <v>100</v>
      </c>
    </row>
    <row r="281" spans="1:12" x14ac:dyDescent="0.25">
      <c r="A281" s="6" t="s">
        <v>61</v>
      </c>
      <c r="B281" s="6" t="s">
        <v>2491</v>
      </c>
      <c r="C281" s="8">
        <v>15</v>
      </c>
      <c r="D281" s="6" t="s">
        <v>2507</v>
      </c>
      <c r="E281" s="6" t="s">
        <v>2219</v>
      </c>
      <c r="F281" s="8">
        <v>11018</v>
      </c>
      <c r="G281" s="8">
        <v>20564</v>
      </c>
      <c r="H281" s="8">
        <v>38500</v>
      </c>
      <c r="I281" s="8">
        <v>0</v>
      </c>
      <c r="J281" s="8">
        <v>11018</v>
      </c>
      <c r="K281" s="8">
        <v>0</v>
      </c>
      <c r="L281" s="8">
        <v>100</v>
      </c>
    </row>
    <row r="282" spans="1:12" x14ac:dyDescent="0.25">
      <c r="A282" s="6" t="s">
        <v>61</v>
      </c>
      <c r="B282" s="6" t="s">
        <v>2491</v>
      </c>
      <c r="C282" s="8">
        <v>16</v>
      </c>
      <c r="D282" s="6" t="s">
        <v>2508</v>
      </c>
      <c r="E282" s="6" t="s">
        <v>2219</v>
      </c>
      <c r="F282" s="8">
        <v>11005</v>
      </c>
      <c r="G282" s="8">
        <v>12866</v>
      </c>
      <c r="H282" s="8">
        <v>38500</v>
      </c>
      <c r="I282" s="8">
        <v>0</v>
      </c>
      <c r="J282" s="8">
        <v>11005</v>
      </c>
      <c r="K282" s="8">
        <v>0</v>
      </c>
      <c r="L282" s="8">
        <v>100</v>
      </c>
    </row>
    <row r="283" spans="1:12" x14ac:dyDescent="0.25">
      <c r="A283" s="6" t="s">
        <v>61</v>
      </c>
      <c r="B283" s="6" t="s">
        <v>2491</v>
      </c>
      <c r="C283" s="8">
        <v>17</v>
      </c>
      <c r="D283" s="6" t="s">
        <v>2509</v>
      </c>
      <c r="E283" s="6" t="s">
        <v>2219</v>
      </c>
      <c r="F283" s="8">
        <v>10968</v>
      </c>
      <c r="G283" s="8">
        <v>5775</v>
      </c>
      <c r="H283" s="8">
        <v>38500</v>
      </c>
      <c r="I283" s="8">
        <v>5193</v>
      </c>
      <c r="J283" s="8">
        <v>5775</v>
      </c>
      <c r="K283" s="8">
        <v>5193</v>
      </c>
      <c r="L283" s="10">
        <v>52.7</v>
      </c>
    </row>
    <row r="284" spans="1:12" x14ac:dyDescent="0.25">
      <c r="A284" s="6" t="s">
        <v>61</v>
      </c>
      <c r="B284" s="6" t="s">
        <v>2491</v>
      </c>
      <c r="C284" s="8">
        <v>18</v>
      </c>
      <c r="D284" s="6" t="s">
        <v>2510</v>
      </c>
      <c r="E284" s="6" t="s">
        <v>2219</v>
      </c>
      <c r="F284" s="8">
        <v>10909</v>
      </c>
      <c r="G284" s="8">
        <v>922</v>
      </c>
      <c r="H284" s="8">
        <v>38500</v>
      </c>
      <c r="I284" s="8">
        <v>9987</v>
      </c>
      <c r="J284" s="8">
        <v>922</v>
      </c>
      <c r="K284" s="8">
        <v>9987</v>
      </c>
      <c r="L284" s="10">
        <v>8.5</v>
      </c>
    </row>
    <row r="285" spans="1:12" x14ac:dyDescent="0.25">
      <c r="A285" s="6" t="s">
        <v>61</v>
      </c>
      <c r="B285" s="6" t="s">
        <v>2491</v>
      </c>
      <c r="C285" s="8">
        <v>19</v>
      </c>
      <c r="D285" s="6" t="s">
        <v>2511</v>
      </c>
      <c r="E285" s="6" t="s">
        <v>2219</v>
      </c>
      <c r="F285" s="8">
        <v>10832</v>
      </c>
      <c r="G285" s="8">
        <v>0</v>
      </c>
      <c r="H285" s="8">
        <v>38500</v>
      </c>
      <c r="I285" s="8">
        <v>10832</v>
      </c>
      <c r="J285" s="8">
        <v>0</v>
      </c>
      <c r="K285" s="8">
        <v>10832</v>
      </c>
      <c r="L285" s="8">
        <v>0</v>
      </c>
    </row>
    <row r="286" spans="1:12" x14ac:dyDescent="0.25">
      <c r="A286" s="6" t="s">
        <v>61</v>
      </c>
      <c r="B286" s="6" t="s">
        <v>2491</v>
      </c>
      <c r="C286" s="8">
        <v>20</v>
      </c>
      <c r="D286" s="6" t="s">
        <v>2512</v>
      </c>
      <c r="E286" s="6" t="s">
        <v>2219</v>
      </c>
      <c r="F286" s="8">
        <v>10742</v>
      </c>
      <c r="G286" s="8">
        <v>0</v>
      </c>
      <c r="H286" s="8">
        <v>38500</v>
      </c>
      <c r="I286" s="8">
        <v>10742</v>
      </c>
      <c r="J286" s="8">
        <v>0</v>
      </c>
      <c r="K286" s="8">
        <v>10742</v>
      </c>
      <c r="L286" s="8">
        <v>0</v>
      </c>
    </row>
    <row r="287" spans="1:12" x14ac:dyDescent="0.25">
      <c r="A287" s="6" t="s">
        <v>61</v>
      </c>
      <c r="B287" s="6" t="s">
        <v>2491</v>
      </c>
      <c r="C287" s="8">
        <v>21</v>
      </c>
      <c r="D287" s="6" t="s">
        <v>2513</v>
      </c>
      <c r="E287" s="6" t="s">
        <v>2219</v>
      </c>
      <c r="F287" s="8">
        <v>10646</v>
      </c>
      <c r="G287" s="8">
        <v>0</v>
      </c>
      <c r="H287" s="8">
        <v>38500</v>
      </c>
      <c r="I287" s="8">
        <v>10646</v>
      </c>
      <c r="J287" s="8">
        <v>0</v>
      </c>
      <c r="K287" s="8">
        <v>10646</v>
      </c>
      <c r="L287" s="8">
        <v>0</v>
      </c>
    </row>
    <row r="288" spans="1:12" x14ac:dyDescent="0.25">
      <c r="A288" s="6" t="s">
        <v>61</v>
      </c>
      <c r="B288" s="6" t="s">
        <v>2491</v>
      </c>
      <c r="C288" s="8">
        <v>22</v>
      </c>
      <c r="D288" s="6" t="s">
        <v>2514</v>
      </c>
      <c r="E288" s="6" t="s">
        <v>2219</v>
      </c>
      <c r="F288" s="8">
        <v>10549</v>
      </c>
      <c r="G288" s="8">
        <v>0</v>
      </c>
      <c r="H288" s="8">
        <v>38500</v>
      </c>
      <c r="I288" s="8">
        <v>10549</v>
      </c>
      <c r="J288" s="8">
        <v>0</v>
      </c>
      <c r="K288" s="8">
        <v>10549</v>
      </c>
      <c r="L288" s="8">
        <v>0</v>
      </c>
    </row>
    <row r="289" spans="1:12" x14ac:dyDescent="0.25">
      <c r="A289" s="6" t="s">
        <v>61</v>
      </c>
      <c r="B289" s="6" t="s">
        <v>2491</v>
      </c>
      <c r="C289" s="8">
        <v>23</v>
      </c>
      <c r="D289" s="6" t="s">
        <v>2515</v>
      </c>
      <c r="E289" s="6" t="s">
        <v>2219</v>
      </c>
      <c r="F289" s="8">
        <v>10459</v>
      </c>
      <c r="G289" s="8">
        <v>0</v>
      </c>
      <c r="H289" s="8">
        <v>38500</v>
      </c>
      <c r="I289" s="8">
        <v>10459</v>
      </c>
      <c r="J289" s="8">
        <v>0</v>
      </c>
      <c r="K289" s="8">
        <v>10459</v>
      </c>
      <c r="L289" s="8">
        <v>0</v>
      </c>
    </row>
    <row r="290" spans="1:12" x14ac:dyDescent="0.25">
      <c r="A290" s="6" t="s">
        <v>61</v>
      </c>
      <c r="B290" s="6" t="s">
        <v>2516</v>
      </c>
      <c r="C290" s="8">
        <v>0</v>
      </c>
      <c r="D290" s="6" t="s">
        <v>2517</v>
      </c>
      <c r="E290" s="6" t="s">
        <v>2518</v>
      </c>
      <c r="F290" s="8">
        <v>10382</v>
      </c>
      <c r="G290" s="8">
        <v>0</v>
      </c>
      <c r="H290" s="8">
        <v>38500</v>
      </c>
      <c r="I290" s="8">
        <v>10382</v>
      </c>
      <c r="J290" s="8">
        <v>0</v>
      </c>
      <c r="K290" s="8">
        <v>10382</v>
      </c>
      <c r="L290" s="8">
        <v>0</v>
      </c>
    </row>
    <row r="291" spans="1:12" x14ac:dyDescent="0.25">
      <c r="A291" s="6" t="s">
        <v>61</v>
      </c>
      <c r="B291" s="6" t="s">
        <v>2516</v>
      </c>
      <c r="C291" s="8">
        <v>1</v>
      </c>
      <c r="D291" s="6" t="s">
        <v>2519</v>
      </c>
      <c r="E291" s="6" t="s">
        <v>2518</v>
      </c>
      <c r="F291" s="8">
        <v>10323</v>
      </c>
      <c r="G291" s="8">
        <v>0</v>
      </c>
      <c r="H291" s="8">
        <v>38500</v>
      </c>
      <c r="I291" s="8">
        <v>10323</v>
      </c>
      <c r="J291" s="8">
        <v>0</v>
      </c>
      <c r="K291" s="8">
        <v>10323</v>
      </c>
      <c r="L291" s="8">
        <v>0</v>
      </c>
    </row>
    <row r="292" spans="1:12" x14ac:dyDescent="0.25">
      <c r="A292" s="6" t="s">
        <v>61</v>
      </c>
      <c r="B292" s="6" t="s">
        <v>2516</v>
      </c>
      <c r="C292" s="8">
        <v>2</v>
      </c>
      <c r="D292" s="6" t="s">
        <v>2520</v>
      </c>
      <c r="E292" s="6" t="s">
        <v>2518</v>
      </c>
      <c r="F292" s="8">
        <v>10286</v>
      </c>
      <c r="G292" s="8">
        <v>0</v>
      </c>
      <c r="H292" s="8">
        <v>38500</v>
      </c>
      <c r="I292" s="8">
        <v>10286</v>
      </c>
      <c r="J292" s="8">
        <v>0</v>
      </c>
      <c r="K292" s="8">
        <v>10286</v>
      </c>
      <c r="L292" s="8">
        <v>0</v>
      </c>
    </row>
    <row r="293" spans="1:12" x14ac:dyDescent="0.25">
      <c r="A293" s="6" t="s">
        <v>61</v>
      </c>
      <c r="B293" s="6" t="s">
        <v>2516</v>
      </c>
      <c r="C293" s="8">
        <v>3</v>
      </c>
      <c r="D293" s="6" t="s">
        <v>2521</v>
      </c>
      <c r="E293" s="6" t="s">
        <v>2518</v>
      </c>
      <c r="F293" s="8">
        <v>10273</v>
      </c>
      <c r="G293" s="8">
        <v>0</v>
      </c>
      <c r="H293" s="8">
        <v>38500</v>
      </c>
      <c r="I293" s="8">
        <v>10273</v>
      </c>
      <c r="J293" s="8">
        <v>0</v>
      </c>
      <c r="K293" s="8">
        <v>10273</v>
      </c>
      <c r="L293" s="8">
        <v>0</v>
      </c>
    </row>
    <row r="294" spans="1:12" x14ac:dyDescent="0.25">
      <c r="A294" s="6" t="s">
        <v>61</v>
      </c>
      <c r="B294" s="6" t="s">
        <v>2516</v>
      </c>
      <c r="C294" s="8">
        <v>4</v>
      </c>
      <c r="D294" s="6" t="s">
        <v>2522</v>
      </c>
      <c r="E294" s="6" t="s">
        <v>2518</v>
      </c>
      <c r="F294" s="8">
        <v>10286</v>
      </c>
      <c r="G294" s="8">
        <v>0</v>
      </c>
      <c r="H294" s="8">
        <v>38500</v>
      </c>
      <c r="I294" s="8">
        <v>10286</v>
      </c>
      <c r="J294" s="8">
        <v>0</v>
      </c>
      <c r="K294" s="8">
        <v>10286</v>
      </c>
      <c r="L294" s="8">
        <v>0</v>
      </c>
    </row>
    <row r="295" spans="1:12" x14ac:dyDescent="0.25">
      <c r="A295" s="6" t="s">
        <v>61</v>
      </c>
      <c r="B295" s="6" t="s">
        <v>2516</v>
      </c>
      <c r="C295" s="8">
        <v>5</v>
      </c>
      <c r="D295" s="6" t="s">
        <v>2523</v>
      </c>
      <c r="E295" s="6" t="s">
        <v>2518</v>
      </c>
      <c r="F295" s="8">
        <v>10323</v>
      </c>
      <c r="G295" s="8">
        <v>0</v>
      </c>
      <c r="H295" s="8">
        <v>38500</v>
      </c>
      <c r="I295" s="8">
        <v>10323</v>
      </c>
      <c r="J295" s="8">
        <v>0</v>
      </c>
      <c r="K295" s="8">
        <v>10323</v>
      </c>
      <c r="L295" s="8">
        <v>0</v>
      </c>
    </row>
    <row r="296" spans="1:12" x14ac:dyDescent="0.25">
      <c r="A296" s="6" t="s">
        <v>61</v>
      </c>
      <c r="B296" s="6" t="s">
        <v>2516</v>
      </c>
      <c r="C296" s="8">
        <v>6</v>
      </c>
      <c r="D296" s="6" t="s">
        <v>2524</v>
      </c>
      <c r="E296" s="6" t="s">
        <v>2518</v>
      </c>
      <c r="F296" s="8">
        <v>10382</v>
      </c>
      <c r="G296" s="8">
        <v>897</v>
      </c>
      <c r="H296" s="8">
        <v>38500</v>
      </c>
      <c r="I296" s="8">
        <v>9485</v>
      </c>
      <c r="J296" s="8">
        <v>897</v>
      </c>
      <c r="K296" s="8">
        <v>9485</v>
      </c>
      <c r="L296" s="10">
        <v>8.6</v>
      </c>
    </row>
    <row r="297" spans="1:12" x14ac:dyDescent="0.25">
      <c r="A297" s="6" t="s">
        <v>61</v>
      </c>
      <c r="B297" s="6" t="s">
        <v>2516</v>
      </c>
      <c r="C297" s="8">
        <v>7</v>
      </c>
      <c r="D297" s="6" t="s">
        <v>2525</v>
      </c>
      <c r="E297" s="6" t="s">
        <v>2518</v>
      </c>
      <c r="F297" s="8">
        <v>10459</v>
      </c>
      <c r="G297" s="8">
        <v>5617</v>
      </c>
      <c r="H297" s="8">
        <v>38500</v>
      </c>
      <c r="I297" s="8">
        <v>4842</v>
      </c>
      <c r="J297" s="8">
        <v>5617</v>
      </c>
      <c r="K297" s="8">
        <v>4842</v>
      </c>
      <c r="L297" s="10">
        <v>53.7</v>
      </c>
    </row>
    <row r="298" spans="1:12" x14ac:dyDescent="0.25">
      <c r="A298" s="6" t="s">
        <v>61</v>
      </c>
      <c r="B298" s="6" t="s">
        <v>2516</v>
      </c>
      <c r="C298" s="8">
        <v>8</v>
      </c>
      <c r="D298" s="6" t="s">
        <v>2526</v>
      </c>
      <c r="E298" s="6" t="s">
        <v>2518</v>
      </c>
      <c r="F298" s="8">
        <v>10549</v>
      </c>
      <c r="G298" s="8">
        <v>12514</v>
      </c>
      <c r="H298" s="8">
        <v>38500</v>
      </c>
      <c r="I298" s="8">
        <v>0</v>
      </c>
      <c r="J298" s="8">
        <v>10549</v>
      </c>
      <c r="K298" s="8">
        <v>0</v>
      </c>
      <c r="L298" s="8">
        <v>100</v>
      </c>
    </row>
    <row r="299" spans="1:12" x14ac:dyDescent="0.25">
      <c r="A299" s="6" t="s">
        <v>61</v>
      </c>
      <c r="B299" s="6" t="s">
        <v>2516</v>
      </c>
      <c r="C299" s="8">
        <v>9</v>
      </c>
      <c r="D299" s="6" t="s">
        <v>2527</v>
      </c>
      <c r="E299" s="6" t="s">
        <v>2518</v>
      </c>
      <c r="F299" s="8">
        <v>10646</v>
      </c>
      <c r="G299" s="8">
        <v>20001</v>
      </c>
      <c r="H299" s="8">
        <v>38500</v>
      </c>
      <c r="I299" s="8">
        <v>0</v>
      </c>
      <c r="J299" s="8">
        <v>10646</v>
      </c>
      <c r="K299" s="8">
        <v>0</v>
      </c>
      <c r="L299" s="8">
        <v>100</v>
      </c>
    </row>
    <row r="300" spans="1:12" x14ac:dyDescent="0.25">
      <c r="A300" s="6" t="s">
        <v>61</v>
      </c>
      <c r="B300" s="6" t="s">
        <v>2516</v>
      </c>
      <c r="C300" s="8">
        <v>10</v>
      </c>
      <c r="D300" s="6" t="s">
        <v>2528</v>
      </c>
      <c r="E300" s="6" t="s">
        <v>2518</v>
      </c>
      <c r="F300" s="8">
        <v>10742</v>
      </c>
      <c r="G300" s="8">
        <v>26614</v>
      </c>
      <c r="H300" s="8">
        <v>38500</v>
      </c>
      <c r="I300" s="8">
        <v>0</v>
      </c>
      <c r="J300" s="8">
        <v>10742</v>
      </c>
      <c r="K300" s="8">
        <v>0</v>
      </c>
      <c r="L300" s="8">
        <v>100</v>
      </c>
    </row>
    <row r="301" spans="1:12" x14ac:dyDescent="0.25">
      <c r="A301" s="6" t="s">
        <v>61</v>
      </c>
      <c r="B301" s="6" t="s">
        <v>2516</v>
      </c>
      <c r="C301" s="8">
        <v>11</v>
      </c>
      <c r="D301" s="6" t="s">
        <v>2529</v>
      </c>
      <c r="E301" s="6" t="s">
        <v>2518</v>
      </c>
      <c r="F301" s="8">
        <v>10832</v>
      </c>
      <c r="G301" s="8">
        <v>31128</v>
      </c>
      <c r="H301" s="8">
        <v>38500</v>
      </c>
      <c r="I301" s="8">
        <v>0</v>
      </c>
      <c r="J301" s="8">
        <v>10832</v>
      </c>
      <c r="K301" s="8">
        <v>0</v>
      </c>
      <c r="L301" s="8">
        <v>100</v>
      </c>
    </row>
    <row r="302" spans="1:12" x14ac:dyDescent="0.25">
      <c r="A302" s="6" t="s">
        <v>61</v>
      </c>
      <c r="B302" s="6" t="s">
        <v>2516</v>
      </c>
      <c r="C302" s="8">
        <v>12</v>
      </c>
      <c r="D302" s="6" t="s">
        <v>2530</v>
      </c>
      <c r="E302" s="6" t="s">
        <v>2518</v>
      </c>
      <c r="F302" s="8">
        <v>10909</v>
      </c>
      <c r="G302" s="8">
        <v>32728</v>
      </c>
      <c r="H302" s="8">
        <v>38500</v>
      </c>
      <c r="I302" s="8">
        <v>0</v>
      </c>
      <c r="J302" s="8">
        <v>10909</v>
      </c>
      <c r="K302" s="8">
        <v>0</v>
      </c>
      <c r="L302" s="8">
        <v>100</v>
      </c>
    </row>
    <row r="303" spans="1:12" x14ac:dyDescent="0.25">
      <c r="A303" s="6" t="s">
        <v>61</v>
      </c>
      <c r="B303" s="6" t="s">
        <v>2516</v>
      </c>
      <c r="C303" s="8">
        <v>13</v>
      </c>
      <c r="D303" s="6" t="s">
        <v>2531</v>
      </c>
      <c r="E303" s="6" t="s">
        <v>2518</v>
      </c>
      <c r="F303" s="8">
        <v>10968</v>
      </c>
      <c r="G303" s="8">
        <v>31128</v>
      </c>
      <c r="H303" s="8">
        <v>38500</v>
      </c>
      <c r="I303" s="8">
        <v>0</v>
      </c>
      <c r="J303" s="8">
        <v>10968</v>
      </c>
      <c r="K303" s="8">
        <v>0</v>
      </c>
      <c r="L303" s="8">
        <v>100</v>
      </c>
    </row>
    <row r="304" spans="1:12" x14ac:dyDescent="0.25">
      <c r="A304" s="6" t="s">
        <v>61</v>
      </c>
      <c r="B304" s="6" t="s">
        <v>2516</v>
      </c>
      <c r="C304" s="8">
        <v>14</v>
      </c>
      <c r="D304" s="6" t="s">
        <v>2532</v>
      </c>
      <c r="E304" s="6" t="s">
        <v>2518</v>
      </c>
      <c r="F304" s="8">
        <v>11005</v>
      </c>
      <c r="G304" s="8">
        <v>26614</v>
      </c>
      <c r="H304" s="8">
        <v>38500</v>
      </c>
      <c r="I304" s="8">
        <v>0</v>
      </c>
      <c r="J304" s="8">
        <v>11005</v>
      </c>
      <c r="K304" s="8">
        <v>0</v>
      </c>
      <c r="L304" s="8">
        <v>100</v>
      </c>
    </row>
    <row r="305" spans="1:12" x14ac:dyDescent="0.25">
      <c r="A305" s="6" t="s">
        <v>61</v>
      </c>
      <c r="B305" s="6" t="s">
        <v>2516</v>
      </c>
      <c r="C305" s="8">
        <v>15</v>
      </c>
      <c r="D305" s="6" t="s">
        <v>2533</v>
      </c>
      <c r="E305" s="6" t="s">
        <v>2518</v>
      </c>
      <c r="F305" s="8">
        <v>11018</v>
      </c>
      <c r="G305" s="8">
        <v>20001</v>
      </c>
      <c r="H305" s="8">
        <v>38500</v>
      </c>
      <c r="I305" s="8">
        <v>0</v>
      </c>
      <c r="J305" s="8">
        <v>11018</v>
      </c>
      <c r="K305" s="8">
        <v>0</v>
      </c>
      <c r="L305" s="8">
        <v>100</v>
      </c>
    </row>
    <row r="306" spans="1:12" x14ac:dyDescent="0.25">
      <c r="A306" s="6" t="s">
        <v>61</v>
      </c>
      <c r="B306" s="6" t="s">
        <v>2516</v>
      </c>
      <c r="C306" s="8">
        <v>16</v>
      </c>
      <c r="D306" s="6" t="s">
        <v>2534</v>
      </c>
      <c r="E306" s="6" t="s">
        <v>2518</v>
      </c>
      <c r="F306" s="8">
        <v>11005</v>
      </c>
      <c r="G306" s="8">
        <v>12514</v>
      </c>
      <c r="H306" s="8">
        <v>38500</v>
      </c>
      <c r="I306" s="8">
        <v>0</v>
      </c>
      <c r="J306" s="8">
        <v>11005</v>
      </c>
      <c r="K306" s="8">
        <v>0</v>
      </c>
      <c r="L306" s="8">
        <v>100</v>
      </c>
    </row>
    <row r="307" spans="1:12" x14ac:dyDescent="0.25">
      <c r="A307" s="6" t="s">
        <v>61</v>
      </c>
      <c r="B307" s="6" t="s">
        <v>2516</v>
      </c>
      <c r="C307" s="8">
        <v>17</v>
      </c>
      <c r="D307" s="6" t="s">
        <v>2535</v>
      </c>
      <c r="E307" s="6" t="s">
        <v>2518</v>
      </c>
      <c r="F307" s="8">
        <v>10968</v>
      </c>
      <c r="G307" s="8">
        <v>5617</v>
      </c>
      <c r="H307" s="8">
        <v>38500</v>
      </c>
      <c r="I307" s="8">
        <v>5351</v>
      </c>
      <c r="J307" s="8">
        <v>5617</v>
      </c>
      <c r="K307" s="8">
        <v>5351</v>
      </c>
      <c r="L307" s="10">
        <v>51.2</v>
      </c>
    </row>
    <row r="308" spans="1:12" x14ac:dyDescent="0.25">
      <c r="A308" s="6" t="s">
        <v>61</v>
      </c>
      <c r="B308" s="6" t="s">
        <v>2516</v>
      </c>
      <c r="C308" s="8">
        <v>18</v>
      </c>
      <c r="D308" s="6" t="s">
        <v>2536</v>
      </c>
      <c r="E308" s="6" t="s">
        <v>2518</v>
      </c>
      <c r="F308" s="8">
        <v>10909</v>
      </c>
      <c r="G308" s="8">
        <v>897</v>
      </c>
      <c r="H308" s="8">
        <v>38500</v>
      </c>
      <c r="I308" s="8">
        <v>10012</v>
      </c>
      <c r="J308" s="8">
        <v>897</v>
      </c>
      <c r="K308" s="8">
        <v>10012</v>
      </c>
      <c r="L308" s="10">
        <v>8.2</v>
      </c>
    </row>
    <row r="309" spans="1:12" x14ac:dyDescent="0.25">
      <c r="A309" s="6" t="s">
        <v>61</v>
      </c>
      <c r="B309" s="6" t="s">
        <v>2516</v>
      </c>
      <c r="C309" s="8">
        <v>19</v>
      </c>
      <c r="D309" s="6" t="s">
        <v>2537</v>
      </c>
      <c r="E309" s="6" t="s">
        <v>2518</v>
      </c>
      <c r="F309" s="8">
        <v>10832</v>
      </c>
      <c r="G309" s="8">
        <v>0</v>
      </c>
      <c r="H309" s="8">
        <v>38500</v>
      </c>
      <c r="I309" s="8">
        <v>10832</v>
      </c>
      <c r="J309" s="8">
        <v>0</v>
      </c>
      <c r="K309" s="8">
        <v>10832</v>
      </c>
      <c r="L309" s="8">
        <v>0</v>
      </c>
    </row>
    <row r="310" spans="1:12" x14ac:dyDescent="0.25">
      <c r="A310" s="6" t="s">
        <v>61</v>
      </c>
      <c r="B310" s="6" t="s">
        <v>2516</v>
      </c>
      <c r="C310" s="8">
        <v>20</v>
      </c>
      <c r="D310" s="6" t="s">
        <v>2538</v>
      </c>
      <c r="E310" s="6" t="s">
        <v>2518</v>
      </c>
      <c r="F310" s="8">
        <v>10742</v>
      </c>
      <c r="G310" s="8">
        <v>0</v>
      </c>
      <c r="H310" s="8">
        <v>38500</v>
      </c>
      <c r="I310" s="8">
        <v>10742</v>
      </c>
      <c r="J310" s="8">
        <v>0</v>
      </c>
      <c r="K310" s="8">
        <v>10742</v>
      </c>
      <c r="L310" s="8">
        <v>0</v>
      </c>
    </row>
    <row r="311" spans="1:12" x14ac:dyDescent="0.25">
      <c r="A311" s="6" t="s">
        <v>61</v>
      </c>
      <c r="B311" s="6" t="s">
        <v>2516</v>
      </c>
      <c r="C311" s="8">
        <v>21</v>
      </c>
      <c r="D311" s="6" t="s">
        <v>2539</v>
      </c>
      <c r="E311" s="6" t="s">
        <v>2518</v>
      </c>
      <c r="F311" s="8">
        <v>10646</v>
      </c>
      <c r="G311" s="8">
        <v>0</v>
      </c>
      <c r="H311" s="8">
        <v>38500</v>
      </c>
      <c r="I311" s="8">
        <v>10646</v>
      </c>
      <c r="J311" s="8">
        <v>0</v>
      </c>
      <c r="K311" s="8">
        <v>10646</v>
      </c>
      <c r="L311" s="8">
        <v>0</v>
      </c>
    </row>
    <row r="312" spans="1:12" x14ac:dyDescent="0.25">
      <c r="A312" s="6" t="s">
        <v>61</v>
      </c>
      <c r="B312" s="6" t="s">
        <v>2516</v>
      </c>
      <c r="C312" s="8">
        <v>22</v>
      </c>
      <c r="D312" s="6" t="s">
        <v>2540</v>
      </c>
      <c r="E312" s="6" t="s">
        <v>2518</v>
      </c>
      <c r="F312" s="8">
        <v>10549</v>
      </c>
      <c r="G312" s="8">
        <v>0</v>
      </c>
      <c r="H312" s="8">
        <v>38500</v>
      </c>
      <c r="I312" s="8">
        <v>10549</v>
      </c>
      <c r="J312" s="8">
        <v>0</v>
      </c>
      <c r="K312" s="8">
        <v>10549</v>
      </c>
      <c r="L312" s="8">
        <v>0</v>
      </c>
    </row>
    <row r="313" spans="1:12" x14ac:dyDescent="0.25">
      <c r="A313" s="6" t="s">
        <v>61</v>
      </c>
      <c r="B313" s="6" t="s">
        <v>2516</v>
      </c>
      <c r="C313" s="8">
        <v>23</v>
      </c>
      <c r="D313" s="6" t="s">
        <v>2541</v>
      </c>
      <c r="E313" s="6" t="s">
        <v>2518</v>
      </c>
      <c r="F313" s="8">
        <v>10459</v>
      </c>
      <c r="G313" s="8">
        <v>0</v>
      </c>
      <c r="H313" s="8">
        <v>38500</v>
      </c>
      <c r="I313" s="8">
        <v>10459</v>
      </c>
      <c r="J313" s="8">
        <v>0</v>
      </c>
      <c r="K313" s="8">
        <v>10459</v>
      </c>
      <c r="L313" s="8">
        <v>0</v>
      </c>
    </row>
    <row r="314" spans="1:12" x14ac:dyDescent="0.25">
      <c r="A314" s="6" t="s">
        <v>61</v>
      </c>
      <c r="B314" s="6" t="s">
        <v>2542</v>
      </c>
      <c r="C314" s="8">
        <v>0</v>
      </c>
      <c r="D314" s="6" t="s">
        <v>2543</v>
      </c>
      <c r="E314" s="6" t="s">
        <v>2219</v>
      </c>
      <c r="F314" s="8">
        <v>10572</v>
      </c>
      <c r="G314" s="8">
        <v>0</v>
      </c>
      <c r="H314" s="8">
        <v>38500</v>
      </c>
      <c r="I314" s="8">
        <v>10572</v>
      </c>
      <c r="J314" s="8">
        <v>0</v>
      </c>
      <c r="K314" s="8">
        <v>10572</v>
      </c>
      <c r="L314" s="8">
        <v>0</v>
      </c>
    </row>
    <row r="315" spans="1:12" x14ac:dyDescent="0.25">
      <c r="A315" s="6" t="s">
        <v>61</v>
      </c>
      <c r="B315" s="6" t="s">
        <v>2542</v>
      </c>
      <c r="C315" s="8">
        <v>1</v>
      </c>
      <c r="D315" s="6" t="s">
        <v>2544</v>
      </c>
      <c r="E315" s="6" t="s">
        <v>2219</v>
      </c>
      <c r="F315" s="8">
        <v>10512</v>
      </c>
      <c r="G315" s="8">
        <v>0</v>
      </c>
      <c r="H315" s="8">
        <v>38500</v>
      </c>
      <c r="I315" s="8">
        <v>10512</v>
      </c>
      <c r="J315" s="8">
        <v>0</v>
      </c>
      <c r="K315" s="8">
        <v>10512</v>
      </c>
      <c r="L315" s="8">
        <v>0</v>
      </c>
    </row>
    <row r="316" spans="1:12" x14ac:dyDescent="0.25">
      <c r="A316" s="6" t="s">
        <v>61</v>
      </c>
      <c r="B316" s="6" t="s">
        <v>2542</v>
      </c>
      <c r="C316" s="8">
        <v>2</v>
      </c>
      <c r="D316" s="6" t="s">
        <v>2545</v>
      </c>
      <c r="E316" s="6" t="s">
        <v>2219</v>
      </c>
      <c r="F316" s="8">
        <v>10474</v>
      </c>
      <c r="G316" s="8">
        <v>0</v>
      </c>
      <c r="H316" s="8">
        <v>38500</v>
      </c>
      <c r="I316" s="8">
        <v>10474</v>
      </c>
      <c r="J316" s="8">
        <v>0</v>
      </c>
      <c r="K316" s="8">
        <v>10474</v>
      </c>
      <c r="L316" s="8">
        <v>0</v>
      </c>
    </row>
    <row r="317" spans="1:12" x14ac:dyDescent="0.25">
      <c r="A317" s="6" t="s">
        <v>61</v>
      </c>
      <c r="B317" s="6" t="s">
        <v>2542</v>
      </c>
      <c r="C317" s="8">
        <v>3</v>
      </c>
      <c r="D317" s="6" t="s">
        <v>2546</v>
      </c>
      <c r="E317" s="6" t="s">
        <v>2219</v>
      </c>
      <c r="F317" s="8">
        <v>10461</v>
      </c>
      <c r="G317" s="8">
        <v>0</v>
      </c>
      <c r="H317" s="8">
        <v>38500</v>
      </c>
      <c r="I317" s="8">
        <v>10461</v>
      </c>
      <c r="J317" s="8">
        <v>0</v>
      </c>
      <c r="K317" s="8">
        <v>10461</v>
      </c>
      <c r="L317" s="8">
        <v>0</v>
      </c>
    </row>
    <row r="318" spans="1:12" x14ac:dyDescent="0.25">
      <c r="A318" s="6" t="s">
        <v>61</v>
      </c>
      <c r="B318" s="6" t="s">
        <v>2542</v>
      </c>
      <c r="C318" s="8">
        <v>4</v>
      </c>
      <c r="D318" s="6" t="s">
        <v>2547</v>
      </c>
      <c r="E318" s="6" t="s">
        <v>2219</v>
      </c>
      <c r="F318" s="8">
        <v>10474</v>
      </c>
      <c r="G318" s="8">
        <v>0</v>
      </c>
      <c r="H318" s="8">
        <v>38500</v>
      </c>
      <c r="I318" s="8">
        <v>10474</v>
      </c>
      <c r="J318" s="8">
        <v>0</v>
      </c>
      <c r="K318" s="8">
        <v>10474</v>
      </c>
      <c r="L318" s="8">
        <v>0</v>
      </c>
    </row>
    <row r="319" spans="1:12" x14ac:dyDescent="0.25">
      <c r="A319" s="6" t="s">
        <v>61</v>
      </c>
      <c r="B319" s="6" t="s">
        <v>2542</v>
      </c>
      <c r="C319" s="8">
        <v>5</v>
      </c>
      <c r="D319" s="6" t="s">
        <v>2548</v>
      </c>
      <c r="E319" s="6" t="s">
        <v>2219</v>
      </c>
      <c r="F319" s="8">
        <v>10512</v>
      </c>
      <c r="G319" s="8">
        <v>0</v>
      </c>
      <c r="H319" s="8">
        <v>38500</v>
      </c>
      <c r="I319" s="8">
        <v>10512</v>
      </c>
      <c r="J319" s="8">
        <v>0</v>
      </c>
      <c r="K319" s="8">
        <v>10512</v>
      </c>
      <c r="L319" s="8">
        <v>0</v>
      </c>
    </row>
    <row r="320" spans="1:12" x14ac:dyDescent="0.25">
      <c r="A320" s="6" t="s">
        <v>61</v>
      </c>
      <c r="B320" s="6" t="s">
        <v>2542</v>
      </c>
      <c r="C320" s="8">
        <v>6</v>
      </c>
      <c r="D320" s="6" t="s">
        <v>2549</v>
      </c>
      <c r="E320" s="6" t="s">
        <v>2219</v>
      </c>
      <c r="F320" s="8">
        <v>10572</v>
      </c>
      <c r="G320" s="8">
        <v>1010</v>
      </c>
      <c r="H320" s="8">
        <v>38500</v>
      </c>
      <c r="I320" s="8">
        <v>9562</v>
      </c>
      <c r="J320" s="8">
        <v>1010</v>
      </c>
      <c r="K320" s="8">
        <v>9562</v>
      </c>
      <c r="L320" s="10">
        <v>9.6</v>
      </c>
    </row>
    <row r="321" spans="1:12" x14ac:dyDescent="0.25">
      <c r="A321" s="6" t="s">
        <v>61</v>
      </c>
      <c r="B321" s="6" t="s">
        <v>2542</v>
      </c>
      <c r="C321" s="8">
        <v>7</v>
      </c>
      <c r="D321" s="6" t="s">
        <v>2550</v>
      </c>
      <c r="E321" s="6" t="s">
        <v>2219</v>
      </c>
      <c r="F321" s="8">
        <v>10651</v>
      </c>
      <c r="G321" s="8">
        <v>6322</v>
      </c>
      <c r="H321" s="8">
        <v>38500</v>
      </c>
      <c r="I321" s="8">
        <v>4329</v>
      </c>
      <c r="J321" s="8">
        <v>6322</v>
      </c>
      <c r="K321" s="8">
        <v>4329</v>
      </c>
      <c r="L321" s="10">
        <v>59.4</v>
      </c>
    </row>
    <row r="322" spans="1:12" x14ac:dyDescent="0.25">
      <c r="A322" s="6" t="s">
        <v>61</v>
      </c>
      <c r="B322" s="6" t="s">
        <v>2542</v>
      </c>
      <c r="C322" s="8">
        <v>8</v>
      </c>
      <c r="D322" s="6" t="s">
        <v>2551</v>
      </c>
      <c r="E322" s="6" t="s">
        <v>2219</v>
      </c>
      <c r="F322" s="8">
        <v>10742</v>
      </c>
      <c r="G322" s="8">
        <v>14085</v>
      </c>
      <c r="H322" s="8">
        <v>38500</v>
      </c>
      <c r="I322" s="8">
        <v>0</v>
      </c>
      <c r="J322" s="8">
        <v>10742</v>
      </c>
      <c r="K322" s="8">
        <v>0</v>
      </c>
      <c r="L322" s="8">
        <v>100</v>
      </c>
    </row>
    <row r="323" spans="1:12" x14ac:dyDescent="0.25">
      <c r="A323" s="6" t="s">
        <v>61</v>
      </c>
      <c r="B323" s="6" t="s">
        <v>2542</v>
      </c>
      <c r="C323" s="8">
        <v>9</v>
      </c>
      <c r="D323" s="6" t="s">
        <v>2552</v>
      </c>
      <c r="E323" s="6" t="s">
        <v>2219</v>
      </c>
      <c r="F323" s="8">
        <v>10841</v>
      </c>
      <c r="G323" s="8">
        <v>22512</v>
      </c>
      <c r="H323" s="8">
        <v>38500</v>
      </c>
      <c r="I323" s="8">
        <v>0</v>
      </c>
      <c r="J323" s="8">
        <v>10841</v>
      </c>
      <c r="K323" s="8">
        <v>0</v>
      </c>
      <c r="L323" s="8">
        <v>100</v>
      </c>
    </row>
    <row r="324" spans="1:12" x14ac:dyDescent="0.25">
      <c r="A324" s="6" t="s">
        <v>61</v>
      </c>
      <c r="B324" s="6" t="s">
        <v>2542</v>
      </c>
      <c r="C324" s="8">
        <v>10</v>
      </c>
      <c r="D324" s="6" t="s">
        <v>2553</v>
      </c>
      <c r="E324" s="6" t="s">
        <v>2219</v>
      </c>
      <c r="F324" s="8">
        <v>10939</v>
      </c>
      <c r="G324" s="8">
        <v>29955</v>
      </c>
      <c r="H324" s="8">
        <v>38500</v>
      </c>
      <c r="I324" s="8">
        <v>0</v>
      </c>
      <c r="J324" s="8">
        <v>10939</v>
      </c>
      <c r="K324" s="8">
        <v>0</v>
      </c>
      <c r="L324" s="8">
        <v>100</v>
      </c>
    </row>
    <row r="325" spans="1:12" x14ac:dyDescent="0.25">
      <c r="A325" s="6" t="s">
        <v>61</v>
      </c>
      <c r="B325" s="6" t="s">
        <v>2542</v>
      </c>
      <c r="C325" s="8">
        <v>11</v>
      </c>
      <c r="D325" s="6" t="s">
        <v>2554</v>
      </c>
      <c r="E325" s="6" t="s">
        <v>2219</v>
      </c>
      <c r="F325" s="8">
        <v>11030</v>
      </c>
      <c r="G325" s="8">
        <v>35036</v>
      </c>
      <c r="H325" s="8">
        <v>38500</v>
      </c>
      <c r="I325" s="8">
        <v>0</v>
      </c>
      <c r="J325" s="8">
        <v>11030</v>
      </c>
      <c r="K325" s="8">
        <v>0</v>
      </c>
      <c r="L325" s="8">
        <v>100</v>
      </c>
    </row>
    <row r="326" spans="1:12" x14ac:dyDescent="0.25">
      <c r="A326" s="6" t="s">
        <v>61</v>
      </c>
      <c r="B326" s="6" t="s">
        <v>2542</v>
      </c>
      <c r="C326" s="8">
        <v>12</v>
      </c>
      <c r="D326" s="6" t="s">
        <v>2555</v>
      </c>
      <c r="E326" s="6" t="s">
        <v>2219</v>
      </c>
      <c r="F326" s="8">
        <v>11109</v>
      </c>
      <c r="G326" s="8">
        <v>36837</v>
      </c>
      <c r="H326" s="8">
        <v>38500</v>
      </c>
      <c r="I326" s="8">
        <v>0</v>
      </c>
      <c r="J326" s="8">
        <v>11109</v>
      </c>
      <c r="K326" s="8">
        <v>0</v>
      </c>
      <c r="L326" s="8">
        <v>100</v>
      </c>
    </row>
    <row r="327" spans="1:12" x14ac:dyDescent="0.25">
      <c r="A327" s="6" t="s">
        <v>61</v>
      </c>
      <c r="B327" s="6" t="s">
        <v>2542</v>
      </c>
      <c r="C327" s="8">
        <v>13</v>
      </c>
      <c r="D327" s="6" t="s">
        <v>2556</v>
      </c>
      <c r="E327" s="6" t="s">
        <v>2219</v>
      </c>
      <c r="F327" s="8">
        <v>11169</v>
      </c>
      <c r="G327" s="8">
        <v>35036</v>
      </c>
      <c r="H327" s="8">
        <v>38500</v>
      </c>
      <c r="I327" s="8">
        <v>0</v>
      </c>
      <c r="J327" s="8">
        <v>11169</v>
      </c>
      <c r="K327" s="8">
        <v>0</v>
      </c>
      <c r="L327" s="8">
        <v>100</v>
      </c>
    </row>
    <row r="328" spans="1:12" x14ac:dyDescent="0.25">
      <c r="A328" s="6" t="s">
        <v>61</v>
      </c>
      <c r="B328" s="6" t="s">
        <v>2542</v>
      </c>
      <c r="C328" s="8">
        <v>14</v>
      </c>
      <c r="D328" s="6" t="s">
        <v>2557</v>
      </c>
      <c r="E328" s="6" t="s">
        <v>2219</v>
      </c>
      <c r="F328" s="8">
        <v>11207</v>
      </c>
      <c r="G328" s="8">
        <v>29955</v>
      </c>
      <c r="H328" s="8">
        <v>38500</v>
      </c>
      <c r="I328" s="8">
        <v>0</v>
      </c>
      <c r="J328" s="8">
        <v>11207</v>
      </c>
      <c r="K328" s="8">
        <v>0</v>
      </c>
      <c r="L328" s="8">
        <v>100</v>
      </c>
    </row>
    <row r="329" spans="1:12" x14ac:dyDescent="0.25">
      <c r="A329" s="6" t="s">
        <v>61</v>
      </c>
      <c r="B329" s="6" t="s">
        <v>2542</v>
      </c>
      <c r="C329" s="8">
        <v>15</v>
      </c>
      <c r="D329" s="6" t="s">
        <v>2558</v>
      </c>
      <c r="E329" s="6" t="s">
        <v>2219</v>
      </c>
      <c r="F329" s="8">
        <v>11220</v>
      </c>
      <c r="G329" s="8">
        <v>22512</v>
      </c>
      <c r="H329" s="8">
        <v>38500</v>
      </c>
      <c r="I329" s="8">
        <v>0</v>
      </c>
      <c r="J329" s="8">
        <v>11220</v>
      </c>
      <c r="K329" s="8">
        <v>0</v>
      </c>
      <c r="L329" s="8">
        <v>100</v>
      </c>
    </row>
    <row r="330" spans="1:12" x14ac:dyDescent="0.25">
      <c r="A330" s="6" t="s">
        <v>61</v>
      </c>
      <c r="B330" s="6" t="s">
        <v>2542</v>
      </c>
      <c r="C330" s="8">
        <v>16</v>
      </c>
      <c r="D330" s="6" t="s">
        <v>2559</v>
      </c>
      <c r="E330" s="6" t="s">
        <v>2219</v>
      </c>
      <c r="F330" s="8">
        <v>11207</v>
      </c>
      <c r="G330" s="8">
        <v>14085</v>
      </c>
      <c r="H330" s="8">
        <v>38500</v>
      </c>
      <c r="I330" s="8">
        <v>0</v>
      </c>
      <c r="J330" s="8">
        <v>11207</v>
      </c>
      <c r="K330" s="8">
        <v>0</v>
      </c>
      <c r="L330" s="8">
        <v>100</v>
      </c>
    </row>
    <row r="331" spans="1:12" x14ac:dyDescent="0.25">
      <c r="A331" s="6" t="s">
        <v>61</v>
      </c>
      <c r="B331" s="6" t="s">
        <v>2542</v>
      </c>
      <c r="C331" s="8">
        <v>17</v>
      </c>
      <c r="D331" s="6" t="s">
        <v>2560</v>
      </c>
      <c r="E331" s="6" t="s">
        <v>2219</v>
      </c>
      <c r="F331" s="8">
        <v>11169</v>
      </c>
      <c r="G331" s="8">
        <v>6322</v>
      </c>
      <c r="H331" s="8">
        <v>38500</v>
      </c>
      <c r="I331" s="8">
        <v>4847</v>
      </c>
      <c r="J331" s="8">
        <v>6322</v>
      </c>
      <c r="K331" s="8">
        <v>4847</v>
      </c>
      <c r="L331" s="10">
        <v>56.6</v>
      </c>
    </row>
    <row r="332" spans="1:12" x14ac:dyDescent="0.25">
      <c r="A332" s="6" t="s">
        <v>61</v>
      </c>
      <c r="B332" s="6" t="s">
        <v>2542</v>
      </c>
      <c r="C332" s="8">
        <v>18</v>
      </c>
      <c r="D332" s="6" t="s">
        <v>2561</v>
      </c>
      <c r="E332" s="6" t="s">
        <v>2219</v>
      </c>
      <c r="F332" s="8">
        <v>11109</v>
      </c>
      <c r="G332" s="8">
        <v>1010</v>
      </c>
      <c r="H332" s="8">
        <v>38500</v>
      </c>
      <c r="I332" s="8">
        <v>10099</v>
      </c>
      <c r="J332" s="8">
        <v>1010</v>
      </c>
      <c r="K332" s="8">
        <v>10099</v>
      </c>
      <c r="L332" s="10">
        <v>9.1</v>
      </c>
    </row>
    <row r="333" spans="1:12" x14ac:dyDescent="0.25">
      <c r="A333" s="6" t="s">
        <v>61</v>
      </c>
      <c r="B333" s="6" t="s">
        <v>2542</v>
      </c>
      <c r="C333" s="8">
        <v>19</v>
      </c>
      <c r="D333" s="6" t="s">
        <v>2562</v>
      </c>
      <c r="E333" s="6" t="s">
        <v>2219</v>
      </c>
      <c r="F333" s="8">
        <v>11030</v>
      </c>
      <c r="G333" s="8">
        <v>0</v>
      </c>
      <c r="H333" s="8">
        <v>38500</v>
      </c>
      <c r="I333" s="8">
        <v>11030</v>
      </c>
      <c r="J333" s="8">
        <v>0</v>
      </c>
      <c r="K333" s="8">
        <v>11030</v>
      </c>
      <c r="L333" s="8">
        <v>0</v>
      </c>
    </row>
    <row r="334" spans="1:12" x14ac:dyDescent="0.25">
      <c r="A334" s="6" t="s">
        <v>61</v>
      </c>
      <c r="B334" s="6" t="s">
        <v>2542</v>
      </c>
      <c r="C334" s="8">
        <v>20</v>
      </c>
      <c r="D334" s="6" t="s">
        <v>2563</v>
      </c>
      <c r="E334" s="6" t="s">
        <v>2219</v>
      </c>
      <c r="F334" s="8">
        <v>10939</v>
      </c>
      <c r="G334" s="8">
        <v>0</v>
      </c>
      <c r="H334" s="8">
        <v>38500</v>
      </c>
      <c r="I334" s="8">
        <v>10939</v>
      </c>
      <c r="J334" s="8">
        <v>0</v>
      </c>
      <c r="K334" s="8">
        <v>10939</v>
      </c>
      <c r="L334" s="8">
        <v>0</v>
      </c>
    </row>
    <row r="335" spans="1:12" x14ac:dyDescent="0.25">
      <c r="A335" s="6" t="s">
        <v>61</v>
      </c>
      <c r="B335" s="6" t="s">
        <v>2542</v>
      </c>
      <c r="C335" s="8">
        <v>21</v>
      </c>
      <c r="D335" s="6" t="s">
        <v>2564</v>
      </c>
      <c r="E335" s="6" t="s">
        <v>2219</v>
      </c>
      <c r="F335" s="8">
        <v>10841</v>
      </c>
      <c r="G335" s="8">
        <v>0</v>
      </c>
      <c r="H335" s="8">
        <v>38500</v>
      </c>
      <c r="I335" s="8">
        <v>10841</v>
      </c>
      <c r="J335" s="8">
        <v>0</v>
      </c>
      <c r="K335" s="8">
        <v>10841</v>
      </c>
      <c r="L335" s="8">
        <v>0</v>
      </c>
    </row>
    <row r="336" spans="1:12" x14ac:dyDescent="0.25">
      <c r="A336" s="6" t="s">
        <v>61</v>
      </c>
      <c r="B336" s="6" t="s">
        <v>2542</v>
      </c>
      <c r="C336" s="8">
        <v>22</v>
      </c>
      <c r="D336" s="6" t="s">
        <v>2565</v>
      </c>
      <c r="E336" s="6" t="s">
        <v>2219</v>
      </c>
      <c r="F336" s="8">
        <v>10742</v>
      </c>
      <c r="G336" s="8">
        <v>0</v>
      </c>
      <c r="H336" s="8">
        <v>38500</v>
      </c>
      <c r="I336" s="8">
        <v>10742</v>
      </c>
      <c r="J336" s="8">
        <v>0</v>
      </c>
      <c r="K336" s="8">
        <v>10742</v>
      </c>
      <c r="L336" s="8">
        <v>0</v>
      </c>
    </row>
    <row r="337" spans="1:12" x14ac:dyDescent="0.25">
      <c r="A337" s="6" t="s">
        <v>61</v>
      </c>
      <c r="B337" s="6" t="s">
        <v>2542</v>
      </c>
      <c r="C337" s="8">
        <v>23</v>
      </c>
      <c r="D337" s="6" t="s">
        <v>2566</v>
      </c>
      <c r="E337" s="6" t="s">
        <v>2219</v>
      </c>
      <c r="F337" s="8">
        <v>10651</v>
      </c>
      <c r="G337" s="8">
        <v>0</v>
      </c>
      <c r="H337" s="8">
        <v>38500</v>
      </c>
      <c r="I337" s="8">
        <v>10651</v>
      </c>
      <c r="J337" s="8">
        <v>0</v>
      </c>
      <c r="K337" s="8">
        <v>10651</v>
      </c>
      <c r="L337" s="8">
        <v>0</v>
      </c>
    </row>
    <row r="338" spans="1:12" x14ac:dyDescent="0.25">
      <c r="A338" s="6" t="s">
        <v>61</v>
      </c>
      <c r="B338" s="6" t="s">
        <v>2567</v>
      </c>
      <c r="C338" s="8">
        <v>0</v>
      </c>
      <c r="D338" s="6" t="s">
        <v>2568</v>
      </c>
      <c r="E338" s="6" t="s">
        <v>2518</v>
      </c>
      <c r="F338" s="8">
        <v>10572</v>
      </c>
      <c r="G338" s="8">
        <v>0</v>
      </c>
      <c r="H338" s="8">
        <v>38500</v>
      </c>
      <c r="I338" s="8">
        <v>10572</v>
      </c>
      <c r="J338" s="8">
        <v>0</v>
      </c>
      <c r="K338" s="8">
        <v>10572</v>
      </c>
      <c r="L338" s="8">
        <v>0</v>
      </c>
    </row>
    <row r="339" spans="1:12" x14ac:dyDescent="0.25">
      <c r="A339" s="6" t="s">
        <v>61</v>
      </c>
      <c r="B339" s="6" t="s">
        <v>2567</v>
      </c>
      <c r="C339" s="8">
        <v>1</v>
      </c>
      <c r="D339" s="6" t="s">
        <v>2569</v>
      </c>
      <c r="E339" s="6" t="s">
        <v>2518</v>
      </c>
      <c r="F339" s="8">
        <v>10512</v>
      </c>
      <c r="G339" s="8">
        <v>0</v>
      </c>
      <c r="H339" s="8">
        <v>38500</v>
      </c>
      <c r="I339" s="8">
        <v>10512</v>
      </c>
      <c r="J339" s="8">
        <v>0</v>
      </c>
      <c r="K339" s="8">
        <v>10512</v>
      </c>
      <c r="L339" s="8">
        <v>0</v>
      </c>
    </row>
    <row r="340" spans="1:12" x14ac:dyDescent="0.25">
      <c r="A340" s="6" t="s">
        <v>61</v>
      </c>
      <c r="B340" s="6" t="s">
        <v>2567</v>
      </c>
      <c r="C340" s="8">
        <v>2</v>
      </c>
      <c r="D340" s="6" t="s">
        <v>2570</v>
      </c>
      <c r="E340" s="6" t="s">
        <v>2518</v>
      </c>
      <c r="F340" s="8">
        <v>10474</v>
      </c>
      <c r="G340" s="8">
        <v>0</v>
      </c>
      <c r="H340" s="8">
        <v>38500</v>
      </c>
      <c r="I340" s="8">
        <v>10474</v>
      </c>
      <c r="J340" s="8">
        <v>0</v>
      </c>
      <c r="K340" s="8">
        <v>10474</v>
      </c>
      <c r="L340" s="8">
        <v>0</v>
      </c>
    </row>
    <row r="341" spans="1:12" x14ac:dyDescent="0.25">
      <c r="A341" s="6" t="s">
        <v>61</v>
      </c>
      <c r="B341" s="6" t="s">
        <v>2567</v>
      </c>
      <c r="C341" s="8">
        <v>3</v>
      </c>
      <c r="D341" s="6" t="s">
        <v>2571</v>
      </c>
      <c r="E341" s="6" t="s">
        <v>2518</v>
      </c>
      <c r="F341" s="8">
        <v>10461</v>
      </c>
      <c r="G341" s="8">
        <v>0</v>
      </c>
      <c r="H341" s="8">
        <v>38500</v>
      </c>
      <c r="I341" s="8">
        <v>10461</v>
      </c>
      <c r="J341" s="8">
        <v>0</v>
      </c>
      <c r="K341" s="8">
        <v>10461</v>
      </c>
      <c r="L341" s="8">
        <v>0</v>
      </c>
    </row>
    <row r="342" spans="1:12" x14ac:dyDescent="0.25">
      <c r="A342" s="6" t="s">
        <v>61</v>
      </c>
      <c r="B342" s="6" t="s">
        <v>2567</v>
      </c>
      <c r="C342" s="8">
        <v>4</v>
      </c>
      <c r="D342" s="6" t="s">
        <v>2572</v>
      </c>
      <c r="E342" s="6" t="s">
        <v>2518</v>
      </c>
      <c r="F342" s="8">
        <v>10474</v>
      </c>
      <c r="G342" s="8">
        <v>0</v>
      </c>
      <c r="H342" s="8">
        <v>38500</v>
      </c>
      <c r="I342" s="8">
        <v>10474</v>
      </c>
      <c r="J342" s="8">
        <v>0</v>
      </c>
      <c r="K342" s="8">
        <v>10474</v>
      </c>
      <c r="L342" s="8">
        <v>0</v>
      </c>
    </row>
    <row r="343" spans="1:12" x14ac:dyDescent="0.25">
      <c r="A343" s="6" t="s">
        <v>61</v>
      </c>
      <c r="B343" s="6" t="s">
        <v>2567</v>
      </c>
      <c r="C343" s="8">
        <v>5</v>
      </c>
      <c r="D343" s="6" t="s">
        <v>2573</v>
      </c>
      <c r="E343" s="6" t="s">
        <v>2518</v>
      </c>
      <c r="F343" s="8">
        <v>10512</v>
      </c>
      <c r="G343" s="8">
        <v>0</v>
      </c>
      <c r="H343" s="8">
        <v>38500</v>
      </c>
      <c r="I343" s="8">
        <v>10512</v>
      </c>
      <c r="J343" s="8">
        <v>0</v>
      </c>
      <c r="K343" s="8">
        <v>10512</v>
      </c>
      <c r="L343" s="8">
        <v>0</v>
      </c>
    </row>
    <row r="344" spans="1:12" x14ac:dyDescent="0.25">
      <c r="A344" s="6" t="s">
        <v>61</v>
      </c>
      <c r="B344" s="6" t="s">
        <v>2567</v>
      </c>
      <c r="C344" s="8">
        <v>6</v>
      </c>
      <c r="D344" s="6" t="s">
        <v>2574</v>
      </c>
      <c r="E344" s="6" t="s">
        <v>2518</v>
      </c>
      <c r="F344" s="8">
        <v>10572</v>
      </c>
      <c r="G344" s="8">
        <v>880</v>
      </c>
      <c r="H344" s="8">
        <v>38500</v>
      </c>
      <c r="I344" s="8">
        <v>9692</v>
      </c>
      <c r="J344" s="8">
        <v>880</v>
      </c>
      <c r="K344" s="8">
        <v>9692</v>
      </c>
      <c r="L344" s="10">
        <v>8.3</v>
      </c>
    </row>
    <row r="345" spans="1:12" x14ac:dyDescent="0.25">
      <c r="A345" s="6" t="s">
        <v>61</v>
      </c>
      <c r="B345" s="6" t="s">
        <v>2567</v>
      </c>
      <c r="C345" s="8">
        <v>7</v>
      </c>
      <c r="D345" s="6" t="s">
        <v>2575</v>
      </c>
      <c r="E345" s="6" t="s">
        <v>2518</v>
      </c>
      <c r="F345" s="8">
        <v>10651</v>
      </c>
      <c r="G345" s="8">
        <v>5510</v>
      </c>
      <c r="H345" s="8">
        <v>38500</v>
      </c>
      <c r="I345" s="8">
        <v>5141</v>
      </c>
      <c r="J345" s="8">
        <v>5510</v>
      </c>
      <c r="K345" s="8">
        <v>5141</v>
      </c>
      <c r="L345" s="10">
        <v>51.7</v>
      </c>
    </row>
    <row r="346" spans="1:12" x14ac:dyDescent="0.25">
      <c r="A346" s="6" t="s">
        <v>61</v>
      </c>
      <c r="B346" s="6" t="s">
        <v>2567</v>
      </c>
      <c r="C346" s="8">
        <v>8</v>
      </c>
      <c r="D346" s="6" t="s">
        <v>2576</v>
      </c>
      <c r="E346" s="6" t="s">
        <v>2518</v>
      </c>
      <c r="F346" s="8">
        <v>10742</v>
      </c>
      <c r="G346" s="8">
        <v>12276</v>
      </c>
      <c r="H346" s="8">
        <v>38500</v>
      </c>
      <c r="I346" s="8">
        <v>0</v>
      </c>
      <c r="J346" s="8">
        <v>10742</v>
      </c>
      <c r="K346" s="8">
        <v>0</v>
      </c>
      <c r="L346" s="8">
        <v>100</v>
      </c>
    </row>
    <row r="347" spans="1:12" x14ac:dyDescent="0.25">
      <c r="A347" s="6" t="s">
        <v>61</v>
      </c>
      <c r="B347" s="6" t="s">
        <v>2567</v>
      </c>
      <c r="C347" s="8">
        <v>9</v>
      </c>
      <c r="D347" s="6" t="s">
        <v>2577</v>
      </c>
      <c r="E347" s="6" t="s">
        <v>2518</v>
      </c>
      <c r="F347" s="8">
        <v>10841</v>
      </c>
      <c r="G347" s="8">
        <v>19620</v>
      </c>
      <c r="H347" s="8">
        <v>38500</v>
      </c>
      <c r="I347" s="8">
        <v>0</v>
      </c>
      <c r="J347" s="8">
        <v>10841</v>
      </c>
      <c r="K347" s="8">
        <v>0</v>
      </c>
      <c r="L347" s="8">
        <v>100</v>
      </c>
    </row>
    <row r="348" spans="1:12" x14ac:dyDescent="0.25">
      <c r="A348" s="6" t="s">
        <v>61</v>
      </c>
      <c r="B348" s="6" t="s">
        <v>2567</v>
      </c>
      <c r="C348" s="8">
        <v>10</v>
      </c>
      <c r="D348" s="6" t="s">
        <v>2578</v>
      </c>
      <c r="E348" s="6" t="s">
        <v>2518</v>
      </c>
      <c r="F348" s="8">
        <v>10939</v>
      </c>
      <c r="G348" s="8">
        <v>26107</v>
      </c>
      <c r="H348" s="8">
        <v>38500</v>
      </c>
      <c r="I348" s="8">
        <v>0</v>
      </c>
      <c r="J348" s="8">
        <v>10939</v>
      </c>
      <c r="K348" s="8">
        <v>0</v>
      </c>
      <c r="L348" s="8">
        <v>100</v>
      </c>
    </row>
    <row r="349" spans="1:12" x14ac:dyDescent="0.25">
      <c r="A349" s="6" t="s">
        <v>61</v>
      </c>
      <c r="B349" s="6" t="s">
        <v>2567</v>
      </c>
      <c r="C349" s="8">
        <v>11</v>
      </c>
      <c r="D349" s="6" t="s">
        <v>2579</v>
      </c>
      <c r="E349" s="6" t="s">
        <v>2518</v>
      </c>
      <c r="F349" s="8">
        <v>11030</v>
      </c>
      <c r="G349" s="8">
        <v>30535</v>
      </c>
      <c r="H349" s="8">
        <v>38500</v>
      </c>
      <c r="I349" s="8">
        <v>0</v>
      </c>
      <c r="J349" s="8">
        <v>11030</v>
      </c>
      <c r="K349" s="8">
        <v>0</v>
      </c>
      <c r="L349" s="8">
        <v>100</v>
      </c>
    </row>
    <row r="350" spans="1:12" x14ac:dyDescent="0.25">
      <c r="A350" s="6" t="s">
        <v>61</v>
      </c>
      <c r="B350" s="6" t="s">
        <v>2567</v>
      </c>
      <c r="C350" s="8">
        <v>12</v>
      </c>
      <c r="D350" s="6" t="s">
        <v>2580</v>
      </c>
      <c r="E350" s="6" t="s">
        <v>2518</v>
      </c>
      <c r="F350" s="8">
        <v>11109</v>
      </c>
      <c r="G350" s="8">
        <v>32105</v>
      </c>
      <c r="H350" s="8">
        <v>38500</v>
      </c>
      <c r="I350" s="8">
        <v>0</v>
      </c>
      <c r="J350" s="8">
        <v>11109</v>
      </c>
      <c r="K350" s="8">
        <v>0</v>
      </c>
      <c r="L350" s="8">
        <v>100</v>
      </c>
    </row>
    <row r="351" spans="1:12" x14ac:dyDescent="0.25">
      <c r="A351" s="6" t="s">
        <v>61</v>
      </c>
      <c r="B351" s="6" t="s">
        <v>2567</v>
      </c>
      <c r="C351" s="8">
        <v>13</v>
      </c>
      <c r="D351" s="6" t="s">
        <v>2581</v>
      </c>
      <c r="E351" s="6" t="s">
        <v>2518</v>
      </c>
      <c r="F351" s="8">
        <v>11169</v>
      </c>
      <c r="G351" s="8">
        <v>30535</v>
      </c>
      <c r="H351" s="8">
        <v>38500</v>
      </c>
      <c r="I351" s="8">
        <v>0</v>
      </c>
      <c r="J351" s="8">
        <v>11169</v>
      </c>
      <c r="K351" s="8">
        <v>0</v>
      </c>
      <c r="L351" s="8">
        <v>100</v>
      </c>
    </row>
    <row r="352" spans="1:12" x14ac:dyDescent="0.25">
      <c r="A352" s="6" t="s">
        <v>61</v>
      </c>
      <c r="B352" s="6" t="s">
        <v>2567</v>
      </c>
      <c r="C352" s="8">
        <v>14</v>
      </c>
      <c r="D352" s="6" t="s">
        <v>2582</v>
      </c>
      <c r="E352" s="6" t="s">
        <v>2518</v>
      </c>
      <c r="F352" s="8">
        <v>11207</v>
      </c>
      <c r="G352" s="8">
        <v>26107</v>
      </c>
      <c r="H352" s="8">
        <v>38500</v>
      </c>
      <c r="I352" s="8">
        <v>0</v>
      </c>
      <c r="J352" s="8">
        <v>11207</v>
      </c>
      <c r="K352" s="8">
        <v>0</v>
      </c>
      <c r="L352" s="8">
        <v>100</v>
      </c>
    </row>
    <row r="353" spans="1:12" x14ac:dyDescent="0.25">
      <c r="A353" s="6" t="s">
        <v>61</v>
      </c>
      <c r="B353" s="6" t="s">
        <v>2567</v>
      </c>
      <c r="C353" s="8">
        <v>15</v>
      </c>
      <c r="D353" s="6" t="s">
        <v>2583</v>
      </c>
      <c r="E353" s="6" t="s">
        <v>2518</v>
      </c>
      <c r="F353" s="8">
        <v>11220</v>
      </c>
      <c r="G353" s="8">
        <v>19620</v>
      </c>
      <c r="H353" s="8">
        <v>38500</v>
      </c>
      <c r="I353" s="8">
        <v>0</v>
      </c>
      <c r="J353" s="8">
        <v>11220</v>
      </c>
      <c r="K353" s="8">
        <v>0</v>
      </c>
      <c r="L353" s="8">
        <v>100</v>
      </c>
    </row>
    <row r="354" spans="1:12" x14ac:dyDescent="0.25">
      <c r="A354" s="6" t="s">
        <v>61</v>
      </c>
      <c r="B354" s="6" t="s">
        <v>2567</v>
      </c>
      <c r="C354" s="8">
        <v>16</v>
      </c>
      <c r="D354" s="6" t="s">
        <v>2584</v>
      </c>
      <c r="E354" s="6" t="s">
        <v>2518</v>
      </c>
      <c r="F354" s="8">
        <v>11207</v>
      </c>
      <c r="G354" s="8">
        <v>12276</v>
      </c>
      <c r="H354" s="8">
        <v>38500</v>
      </c>
      <c r="I354" s="8">
        <v>0</v>
      </c>
      <c r="J354" s="8">
        <v>11207</v>
      </c>
      <c r="K354" s="8">
        <v>0</v>
      </c>
      <c r="L354" s="8">
        <v>100</v>
      </c>
    </row>
    <row r="355" spans="1:12" x14ac:dyDescent="0.25">
      <c r="A355" s="6" t="s">
        <v>61</v>
      </c>
      <c r="B355" s="6" t="s">
        <v>2567</v>
      </c>
      <c r="C355" s="8">
        <v>17</v>
      </c>
      <c r="D355" s="6" t="s">
        <v>2585</v>
      </c>
      <c r="E355" s="6" t="s">
        <v>2518</v>
      </c>
      <c r="F355" s="8">
        <v>11169</v>
      </c>
      <c r="G355" s="8">
        <v>5510</v>
      </c>
      <c r="H355" s="8">
        <v>38500</v>
      </c>
      <c r="I355" s="8">
        <v>5659</v>
      </c>
      <c r="J355" s="8">
        <v>5510</v>
      </c>
      <c r="K355" s="8">
        <v>5659</v>
      </c>
      <c r="L355" s="10">
        <v>49.3</v>
      </c>
    </row>
    <row r="356" spans="1:12" x14ac:dyDescent="0.25">
      <c r="A356" s="6" t="s">
        <v>61</v>
      </c>
      <c r="B356" s="6" t="s">
        <v>2567</v>
      </c>
      <c r="C356" s="8">
        <v>18</v>
      </c>
      <c r="D356" s="6" t="s">
        <v>2586</v>
      </c>
      <c r="E356" s="6" t="s">
        <v>2518</v>
      </c>
      <c r="F356" s="8">
        <v>11109</v>
      </c>
      <c r="G356" s="8">
        <v>880</v>
      </c>
      <c r="H356" s="8">
        <v>38500</v>
      </c>
      <c r="I356" s="8">
        <v>10229</v>
      </c>
      <c r="J356" s="8">
        <v>880</v>
      </c>
      <c r="K356" s="8">
        <v>10229</v>
      </c>
      <c r="L356" s="10">
        <v>7.9</v>
      </c>
    </row>
    <row r="357" spans="1:12" x14ac:dyDescent="0.25">
      <c r="A357" s="6" t="s">
        <v>61</v>
      </c>
      <c r="B357" s="6" t="s">
        <v>2567</v>
      </c>
      <c r="C357" s="8">
        <v>19</v>
      </c>
      <c r="D357" s="6" t="s">
        <v>2587</v>
      </c>
      <c r="E357" s="6" t="s">
        <v>2518</v>
      </c>
      <c r="F357" s="8">
        <v>11030</v>
      </c>
      <c r="G357" s="8">
        <v>0</v>
      </c>
      <c r="H357" s="8">
        <v>38500</v>
      </c>
      <c r="I357" s="8">
        <v>11030</v>
      </c>
      <c r="J357" s="8">
        <v>0</v>
      </c>
      <c r="K357" s="8">
        <v>11030</v>
      </c>
      <c r="L357" s="8">
        <v>0</v>
      </c>
    </row>
    <row r="358" spans="1:12" x14ac:dyDescent="0.25">
      <c r="A358" s="6" t="s">
        <v>61</v>
      </c>
      <c r="B358" s="6" t="s">
        <v>2567</v>
      </c>
      <c r="C358" s="8">
        <v>20</v>
      </c>
      <c r="D358" s="6" t="s">
        <v>2588</v>
      </c>
      <c r="E358" s="6" t="s">
        <v>2518</v>
      </c>
      <c r="F358" s="8">
        <v>10939</v>
      </c>
      <c r="G358" s="8">
        <v>0</v>
      </c>
      <c r="H358" s="8">
        <v>38500</v>
      </c>
      <c r="I358" s="8">
        <v>10939</v>
      </c>
      <c r="J358" s="8">
        <v>0</v>
      </c>
      <c r="K358" s="8">
        <v>10939</v>
      </c>
      <c r="L358" s="8">
        <v>0</v>
      </c>
    </row>
    <row r="359" spans="1:12" x14ac:dyDescent="0.25">
      <c r="A359" s="6" t="s">
        <v>61</v>
      </c>
      <c r="B359" s="6" t="s">
        <v>2567</v>
      </c>
      <c r="C359" s="8">
        <v>21</v>
      </c>
      <c r="D359" s="6" t="s">
        <v>2589</v>
      </c>
      <c r="E359" s="6" t="s">
        <v>2518</v>
      </c>
      <c r="F359" s="8">
        <v>10841</v>
      </c>
      <c r="G359" s="8">
        <v>0</v>
      </c>
      <c r="H359" s="8">
        <v>38500</v>
      </c>
      <c r="I359" s="8">
        <v>10841</v>
      </c>
      <c r="J359" s="8">
        <v>0</v>
      </c>
      <c r="K359" s="8">
        <v>10841</v>
      </c>
      <c r="L359" s="8">
        <v>0</v>
      </c>
    </row>
    <row r="360" spans="1:12" x14ac:dyDescent="0.25">
      <c r="A360" s="6" t="s">
        <v>61</v>
      </c>
      <c r="B360" s="6" t="s">
        <v>2567</v>
      </c>
      <c r="C360" s="8">
        <v>22</v>
      </c>
      <c r="D360" s="6" t="s">
        <v>2590</v>
      </c>
      <c r="E360" s="6" t="s">
        <v>2518</v>
      </c>
      <c r="F360" s="8">
        <v>10742</v>
      </c>
      <c r="G360" s="8">
        <v>0</v>
      </c>
      <c r="H360" s="8">
        <v>38500</v>
      </c>
      <c r="I360" s="8">
        <v>10742</v>
      </c>
      <c r="J360" s="8">
        <v>0</v>
      </c>
      <c r="K360" s="8">
        <v>10742</v>
      </c>
      <c r="L360" s="8">
        <v>0</v>
      </c>
    </row>
    <row r="361" spans="1:12" x14ac:dyDescent="0.25">
      <c r="A361" s="6" t="s">
        <v>61</v>
      </c>
      <c r="B361" s="6" t="s">
        <v>2567</v>
      </c>
      <c r="C361" s="8">
        <v>23</v>
      </c>
      <c r="D361" s="6" t="s">
        <v>2591</v>
      </c>
      <c r="E361" s="6" t="s">
        <v>2518</v>
      </c>
      <c r="F361" s="8">
        <v>10651</v>
      </c>
      <c r="G361" s="8">
        <v>0</v>
      </c>
      <c r="H361" s="8">
        <v>38500</v>
      </c>
      <c r="I361" s="8">
        <v>10651</v>
      </c>
      <c r="J361" s="8">
        <v>0</v>
      </c>
      <c r="K361" s="8">
        <v>10651</v>
      </c>
      <c r="L361" s="8">
        <v>0</v>
      </c>
    </row>
    <row r="362" spans="1:12" x14ac:dyDescent="0.25">
      <c r="A362" s="6" t="s">
        <v>61</v>
      </c>
      <c r="B362" s="6" t="s">
        <v>1705</v>
      </c>
      <c r="C362" s="8">
        <v>0</v>
      </c>
      <c r="D362" s="6" t="s">
        <v>2592</v>
      </c>
      <c r="E362" s="6" t="s">
        <v>2219</v>
      </c>
      <c r="F362" s="8">
        <v>10572</v>
      </c>
      <c r="G362" s="8">
        <v>0</v>
      </c>
      <c r="H362" s="8">
        <v>38500</v>
      </c>
      <c r="I362" s="8">
        <v>10572</v>
      </c>
      <c r="J362" s="8">
        <v>0</v>
      </c>
      <c r="K362" s="8">
        <v>10572</v>
      </c>
      <c r="L362" s="8">
        <v>0</v>
      </c>
    </row>
    <row r="363" spans="1:12" x14ac:dyDescent="0.25">
      <c r="A363" s="6" t="s">
        <v>61</v>
      </c>
      <c r="B363" s="6" t="s">
        <v>1705</v>
      </c>
      <c r="C363" s="8">
        <v>1</v>
      </c>
      <c r="D363" s="6" t="s">
        <v>2593</v>
      </c>
      <c r="E363" s="6" t="s">
        <v>2219</v>
      </c>
      <c r="F363" s="8">
        <v>10512</v>
      </c>
      <c r="G363" s="8">
        <v>0</v>
      </c>
      <c r="H363" s="8">
        <v>38500</v>
      </c>
      <c r="I363" s="8">
        <v>10512</v>
      </c>
      <c r="J363" s="8">
        <v>0</v>
      </c>
      <c r="K363" s="8">
        <v>10512</v>
      </c>
      <c r="L363" s="8">
        <v>0</v>
      </c>
    </row>
    <row r="364" spans="1:12" x14ac:dyDescent="0.25">
      <c r="A364" s="6" t="s">
        <v>61</v>
      </c>
      <c r="B364" s="6" t="s">
        <v>1705</v>
      </c>
      <c r="C364" s="8">
        <v>2</v>
      </c>
      <c r="D364" s="6" t="s">
        <v>2594</v>
      </c>
      <c r="E364" s="6" t="s">
        <v>2219</v>
      </c>
      <c r="F364" s="8">
        <v>10474</v>
      </c>
      <c r="G364" s="8">
        <v>0</v>
      </c>
      <c r="H364" s="8">
        <v>38500</v>
      </c>
      <c r="I364" s="8">
        <v>10474</v>
      </c>
      <c r="J364" s="8">
        <v>0</v>
      </c>
      <c r="K364" s="8">
        <v>10474</v>
      </c>
      <c r="L364" s="8">
        <v>0</v>
      </c>
    </row>
    <row r="365" spans="1:12" x14ac:dyDescent="0.25">
      <c r="A365" s="6" t="s">
        <v>61</v>
      </c>
      <c r="B365" s="6" t="s">
        <v>1705</v>
      </c>
      <c r="C365" s="8">
        <v>3</v>
      </c>
      <c r="D365" s="6" t="s">
        <v>2595</v>
      </c>
      <c r="E365" s="6" t="s">
        <v>2219</v>
      </c>
      <c r="F365" s="8">
        <v>10461</v>
      </c>
      <c r="G365" s="8">
        <v>0</v>
      </c>
      <c r="H365" s="8">
        <v>38500</v>
      </c>
      <c r="I365" s="8">
        <v>10461</v>
      </c>
      <c r="J365" s="8">
        <v>0</v>
      </c>
      <c r="K365" s="8">
        <v>10461</v>
      </c>
      <c r="L365" s="8">
        <v>0</v>
      </c>
    </row>
    <row r="366" spans="1:12" x14ac:dyDescent="0.25">
      <c r="A366" s="6" t="s">
        <v>61</v>
      </c>
      <c r="B366" s="6" t="s">
        <v>1705</v>
      </c>
      <c r="C366" s="8">
        <v>4</v>
      </c>
      <c r="D366" s="6" t="s">
        <v>2596</v>
      </c>
      <c r="E366" s="6" t="s">
        <v>2219</v>
      </c>
      <c r="F366" s="8">
        <v>10474</v>
      </c>
      <c r="G366" s="8">
        <v>0</v>
      </c>
      <c r="H366" s="8">
        <v>38500</v>
      </c>
      <c r="I366" s="8">
        <v>10474</v>
      </c>
      <c r="J366" s="8">
        <v>0</v>
      </c>
      <c r="K366" s="8">
        <v>10474</v>
      </c>
      <c r="L366" s="8">
        <v>0</v>
      </c>
    </row>
    <row r="367" spans="1:12" x14ac:dyDescent="0.25">
      <c r="A367" s="6" t="s">
        <v>61</v>
      </c>
      <c r="B367" s="6" t="s">
        <v>1705</v>
      </c>
      <c r="C367" s="8">
        <v>5</v>
      </c>
      <c r="D367" s="6" t="s">
        <v>2597</v>
      </c>
      <c r="E367" s="6" t="s">
        <v>2219</v>
      </c>
      <c r="F367" s="8">
        <v>10512</v>
      </c>
      <c r="G367" s="8">
        <v>0</v>
      </c>
      <c r="H367" s="8">
        <v>38500</v>
      </c>
      <c r="I367" s="8">
        <v>10512</v>
      </c>
      <c r="J367" s="8">
        <v>0</v>
      </c>
      <c r="K367" s="8">
        <v>10512</v>
      </c>
      <c r="L367" s="8">
        <v>0</v>
      </c>
    </row>
    <row r="368" spans="1:12" x14ac:dyDescent="0.25">
      <c r="A368" s="6" t="s">
        <v>61</v>
      </c>
      <c r="B368" s="6" t="s">
        <v>1705</v>
      </c>
      <c r="C368" s="8">
        <v>6</v>
      </c>
      <c r="D368" s="6" t="s">
        <v>2598</v>
      </c>
      <c r="E368" s="6" t="s">
        <v>2219</v>
      </c>
      <c r="F368" s="8">
        <v>10572</v>
      </c>
      <c r="G368" s="8">
        <v>990</v>
      </c>
      <c r="H368" s="8">
        <v>38500</v>
      </c>
      <c r="I368" s="8">
        <v>9582</v>
      </c>
      <c r="J368" s="8">
        <v>990</v>
      </c>
      <c r="K368" s="8">
        <v>9582</v>
      </c>
      <c r="L368" s="10">
        <v>9.4</v>
      </c>
    </row>
    <row r="369" spans="1:12" x14ac:dyDescent="0.25">
      <c r="A369" s="6" t="s">
        <v>61</v>
      </c>
      <c r="B369" s="6" t="s">
        <v>1705</v>
      </c>
      <c r="C369" s="8">
        <v>7</v>
      </c>
      <c r="D369" s="6" t="s">
        <v>2599</v>
      </c>
      <c r="E369" s="6" t="s">
        <v>2219</v>
      </c>
      <c r="F369" s="8">
        <v>10651</v>
      </c>
      <c r="G369" s="8">
        <v>6200</v>
      </c>
      <c r="H369" s="8">
        <v>38500</v>
      </c>
      <c r="I369" s="8">
        <v>4451</v>
      </c>
      <c r="J369" s="8">
        <v>6200</v>
      </c>
      <c r="K369" s="8">
        <v>4451</v>
      </c>
      <c r="L369" s="10">
        <v>58.2</v>
      </c>
    </row>
    <row r="370" spans="1:12" x14ac:dyDescent="0.25">
      <c r="A370" s="6" t="s">
        <v>61</v>
      </c>
      <c r="B370" s="6" t="s">
        <v>1705</v>
      </c>
      <c r="C370" s="8">
        <v>8</v>
      </c>
      <c r="D370" s="6" t="s">
        <v>2600</v>
      </c>
      <c r="E370" s="6" t="s">
        <v>2219</v>
      </c>
      <c r="F370" s="8">
        <v>10742</v>
      </c>
      <c r="G370" s="8">
        <v>13814</v>
      </c>
      <c r="H370" s="8">
        <v>38500</v>
      </c>
      <c r="I370" s="8">
        <v>0</v>
      </c>
      <c r="J370" s="8">
        <v>10742</v>
      </c>
      <c r="K370" s="8">
        <v>0</v>
      </c>
      <c r="L370" s="8">
        <v>100</v>
      </c>
    </row>
    <row r="371" spans="1:12" x14ac:dyDescent="0.25">
      <c r="A371" s="6" t="s">
        <v>61</v>
      </c>
      <c r="B371" s="6" t="s">
        <v>1705</v>
      </c>
      <c r="C371" s="8">
        <v>9</v>
      </c>
      <c r="D371" s="6" t="s">
        <v>2601</v>
      </c>
      <c r="E371" s="6" t="s">
        <v>2219</v>
      </c>
      <c r="F371" s="8">
        <v>10841</v>
      </c>
      <c r="G371" s="8">
        <v>22079</v>
      </c>
      <c r="H371" s="8">
        <v>38500</v>
      </c>
      <c r="I371" s="8">
        <v>0</v>
      </c>
      <c r="J371" s="8">
        <v>10841</v>
      </c>
      <c r="K371" s="8">
        <v>0</v>
      </c>
      <c r="L371" s="8">
        <v>100</v>
      </c>
    </row>
    <row r="372" spans="1:12" x14ac:dyDescent="0.25">
      <c r="A372" s="6" t="s">
        <v>61</v>
      </c>
      <c r="B372" s="6" t="s">
        <v>1705</v>
      </c>
      <c r="C372" s="8">
        <v>10</v>
      </c>
      <c r="D372" s="6" t="s">
        <v>2602</v>
      </c>
      <c r="E372" s="6" t="s">
        <v>2219</v>
      </c>
      <c r="F372" s="8">
        <v>10939</v>
      </c>
      <c r="G372" s="8">
        <v>29379</v>
      </c>
      <c r="H372" s="8">
        <v>38500</v>
      </c>
      <c r="I372" s="8">
        <v>0</v>
      </c>
      <c r="J372" s="8">
        <v>10939</v>
      </c>
      <c r="K372" s="8">
        <v>0</v>
      </c>
      <c r="L372" s="8">
        <v>100</v>
      </c>
    </row>
    <row r="373" spans="1:12" x14ac:dyDescent="0.25">
      <c r="A373" s="6" t="s">
        <v>61</v>
      </c>
      <c r="B373" s="6" t="s">
        <v>1705</v>
      </c>
      <c r="C373" s="8">
        <v>11</v>
      </c>
      <c r="D373" s="6" t="s">
        <v>2603</v>
      </c>
      <c r="E373" s="6" t="s">
        <v>2219</v>
      </c>
      <c r="F373" s="8">
        <v>11030</v>
      </c>
      <c r="G373" s="8">
        <v>34362</v>
      </c>
      <c r="H373" s="8">
        <v>38500</v>
      </c>
      <c r="I373" s="8">
        <v>0</v>
      </c>
      <c r="J373" s="8">
        <v>11030</v>
      </c>
      <c r="K373" s="8">
        <v>0</v>
      </c>
      <c r="L373" s="8">
        <v>100</v>
      </c>
    </row>
    <row r="374" spans="1:12" x14ac:dyDescent="0.25">
      <c r="A374" s="6" t="s">
        <v>61</v>
      </c>
      <c r="B374" s="6" t="s">
        <v>1705</v>
      </c>
      <c r="C374" s="8">
        <v>12</v>
      </c>
      <c r="D374" s="6" t="s">
        <v>2604</v>
      </c>
      <c r="E374" s="6" t="s">
        <v>2219</v>
      </c>
      <c r="F374" s="8">
        <v>11109</v>
      </c>
      <c r="G374" s="8">
        <v>36128</v>
      </c>
      <c r="H374" s="8">
        <v>38500</v>
      </c>
      <c r="I374" s="8">
        <v>0</v>
      </c>
      <c r="J374" s="8">
        <v>11109</v>
      </c>
      <c r="K374" s="8">
        <v>0</v>
      </c>
      <c r="L374" s="8">
        <v>100</v>
      </c>
    </row>
    <row r="375" spans="1:12" x14ac:dyDescent="0.25">
      <c r="A375" s="6" t="s">
        <v>61</v>
      </c>
      <c r="B375" s="6" t="s">
        <v>1705</v>
      </c>
      <c r="C375" s="8">
        <v>13</v>
      </c>
      <c r="D375" s="6" t="s">
        <v>2605</v>
      </c>
      <c r="E375" s="6" t="s">
        <v>2219</v>
      </c>
      <c r="F375" s="8">
        <v>11169</v>
      </c>
      <c r="G375" s="8">
        <v>34362</v>
      </c>
      <c r="H375" s="8">
        <v>38500</v>
      </c>
      <c r="I375" s="8">
        <v>0</v>
      </c>
      <c r="J375" s="8">
        <v>11169</v>
      </c>
      <c r="K375" s="8">
        <v>0</v>
      </c>
      <c r="L375" s="8">
        <v>100</v>
      </c>
    </row>
    <row r="376" spans="1:12" x14ac:dyDescent="0.25">
      <c r="A376" s="6" t="s">
        <v>61</v>
      </c>
      <c r="B376" s="6" t="s">
        <v>1705</v>
      </c>
      <c r="C376" s="8">
        <v>14</v>
      </c>
      <c r="D376" s="6" t="s">
        <v>2606</v>
      </c>
      <c r="E376" s="6" t="s">
        <v>2219</v>
      </c>
      <c r="F376" s="8">
        <v>11207</v>
      </c>
      <c r="G376" s="8">
        <v>29379</v>
      </c>
      <c r="H376" s="8">
        <v>38500</v>
      </c>
      <c r="I376" s="8">
        <v>0</v>
      </c>
      <c r="J376" s="8">
        <v>11207</v>
      </c>
      <c r="K376" s="8">
        <v>0</v>
      </c>
      <c r="L376" s="8">
        <v>100</v>
      </c>
    </row>
    <row r="377" spans="1:12" x14ac:dyDescent="0.25">
      <c r="A377" s="6" t="s">
        <v>61</v>
      </c>
      <c r="B377" s="6" t="s">
        <v>1705</v>
      </c>
      <c r="C377" s="8">
        <v>15</v>
      </c>
      <c r="D377" s="6" t="s">
        <v>2607</v>
      </c>
      <c r="E377" s="6" t="s">
        <v>2219</v>
      </c>
      <c r="F377" s="8">
        <v>11220</v>
      </c>
      <c r="G377" s="8">
        <v>22079</v>
      </c>
      <c r="H377" s="8">
        <v>38500</v>
      </c>
      <c r="I377" s="8">
        <v>0</v>
      </c>
      <c r="J377" s="8">
        <v>11220</v>
      </c>
      <c r="K377" s="8">
        <v>0</v>
      </c>
      <c r="L377" s="8">
        <v>100</v>
      </c>
    </row>
    <row r="378" spans="1:12" x14ac:dyDescent="0.25">
      <c r="A378" s="6" t="s">
        <v>61</v>
      </c>
      <c r="B378" s="6" t="s">
        <v>1705</v>
      </c>
      <c r="C378" s="8">
        <v>16</v>
      </c>
      <c r="D378" s="6" t="s">
        <v>2608</v>
      </c>
      <c r="E378" s="6" t="s">
        <v>2219</v>
      </c>
      <c r="F378" s="8">
        <v>11207</v>
      </c>
      <c r="G378" s="8">
        <v>13814</v>
      </c>
      <c r="H378" s="8">
        <v>38500</v>
      </c>
      <c r="I378" s="8">
        <v>0</v>
      </c>
      <c r="J378" s="8">
        <v>11207</v>
      </c>
      <c r="K378" s="8">
        <v>0</v>
      </c>
      <c r="L378" s="8">
        <v>100</v>
      </c>
    </row>
    <row r="379" spans="1:12" x14ac:dyDescent="0.25">
      <c r="A379" s="6" t="s">
        <v>61</v>
      </c>
      <c r="B379" s="6" t="s">
        <v>1705</v>
      </c>
      <c r="C379" s="8">
        <v>17</v>
      </c>
      <c r="D379" s="6" t="s">
        <v>2609</v>
      </c>
      <c r="E379" s="6" t="s">
        <v>2219</v>
      </c>
      <c r="F379" s="8">
        <v>11169</v>
      </c>
      <c r="G379" s="8">
        <v>6200</v>
      </c>
      <c r="H379" s="8">
        <v>38500</v>
      </c>
      <c r="I379" s="8">
        <v>4969</v>
      </c>
      <c r="J379" s="8">
        <v>6200</v>
      </c>
      <c r="K379" s="8">
        <v>4969</v>
      </c>
      <c r="L379" s="10">
        <v>55.5</v>
      </c>
    </row>
    <row r="380" spans="1:12" x14ac:dyDescent="0.25">
      <c r="A380" s="6" t="s">
        <v>61</v>
      </c>
      <c r="B380" s="6" t="s">
        <v>1705</v>
      </c>
      <c r="C380" s="8">
        <v>18</v>
      </c>
      <c r="D380" s="6" t="s">
        <v>2610</v>
      </c>
      <c r="E380" s="6" t="s">
        <v>2219</v>
      </c>
      <c r="F380" s="8">
        <v>11109</v>
      </c>
      <c r="G380" s="8">
        <v>990</v>
      </c>
      <c r="H380" s="8">
        <v>38500</v>
      </c>
      <c r="I380" s="8">
        <v>10119</v>
      </c>
      <c r="J380" s="8">
        <v>990</v>
      </c>
      <c r="K380" s="8">
        <v>10119</v>
      </c>
      <c r="L380" s="10">
        <v>8.9</v>
      </c>
    </row>
    <row r="381" spans="1:12" x14ac:dyDescent="0.25">
      <c r="A381" s="6" t="s">
        <v>61</v>
      </c>
      <c r="B381" s="6" t="s">
        <v>1705</v>
      </c>
      <c r="C381" s="8">
        <v>19</v>
      </c>
      <c r="D381" s="6" t="s">
        <v>2611</v>
      </c>
      <c r="E381" s="6" t="s">
        <v>2219</v>
      </c>
      <c r="F381" s="8">
        <v>11030</v>
      </c>
      <c r="G381" s="8">
        <v>0</v>
      </c>
      <c r="H381" s="8">
        <v>38500</v>
      </c>
      <c r="I381" s="8">
        <v>11030</v>
      </c>
      <c r="J381" s="8">
        <v>0</v>
      </c>
      <c r="K381" s="8">
        <v>11030</v>
      </c>
      <c r="L381" s="8">
        <v>0</v>
      </c>
    </row>
    <row r="382" spans="1:12" x14ac:dyDescent="0.25">
      <c r="A382" s="6" t="s">
        <v>61</v>
      </c>
      <c r="B382" s="6" t="s">
        <v>1705</v>
      </c>
      <c r="C382" s="8">
        <v>20</v>
      </c>
      <c r="D382" s="6" t="s">
        <v>2612</v>
      </c>
      <c r="E382" s="6" t="s">
        <v>2219</v>
      </c>
      <c r="F382" s="8">
        <v>10939</v>
      </c>
      <c r="G382" s="8">
        <v>0</v>
      </c>
      <c r="H382" s="8">
        <v>38500</v>
      </c>
      <c r="I382" s="8">
        <v>10939</v>
      </c>
      <c r="J382" s="8">
        <v>0</v>
      </c>
      <c r="K382" s="8">
        <v>10939</v>
      </c>
      <c r="L382" s="8">
        <v>0</v>
      </c>
    </row>
    <row r="383" spans="1:12" x14ac:dyDescent="0.25">
      <c r="A383" s="6" t="s">
        <v>61</v>
      </c>
      <c r="B383" s="6" t="s">
        <v>1705</v>
      </c>
      <c r="C383" s="8">
        <v>21</v>
      </c>
      <c r="D383" s="6" t="s">
        <v>2613</v>
      </c>
      <c r="E383" s="6" t="s">
        <v>2219</v>
      </c>
      <c r="F383" s="8">
        <v>10841</v>
      </c>
      <c r="G383" s="8">
        <v>0</v>
      </c>
      <c r="H383" s="8">
        <v>38500</v>
      </c>
      <c r="I383" s="8">
        <v>10841</v>
      </c>
      <c r="J383" s="8">
        <v>0</v>
      </c>
      <c r="K383" s="8">
        <v>10841</v>
      </c>
      <c r="L383" s="8">
        <v>0</v>
      </c>
    </row>
    <row r="384" spans="1:12" x14ac:dyDescent="0.25">
      <c r="A384" s="6" t="s">
        <v>61</v>
      </c>
      <c r="B384" s="6" t="s">
        <v>1705</v>
      </c>
      <c r="C384" s="8">
        <v>22</v>
      </c>
      <c r="D384" s="6" t="s">
        <v>2614</v>
      </c>
      <c r="E384" s="6" t="s">
        <v>2219</v>
      </c>
      <c r="F384" s="8">
        <v>10742</v>
      </c>
      <c r="G384" s="8">
        <v>0</v>
      </c>
      <c r="H384" s="8">
        <v>38500</v>
      </c>
      <c r="I384" s="8">
        <v>10742</v>
      </c>
      <c r="J384" s="8">
        <v>0</v>
      </c>
      <c r="K384" s="8">
        <v>10742</v>
      </c>
      <c r="L384" s="8">
        <v>0</v>
      </c>
    </row>
    <row r="385" spans="1:12" x14ac:dyDescent="0.25">
      <c r="A385" s="6" t="s">
        <v>61</v>
      </c>
      <c r="B385" s="6" t="s">
        <v>1705</v>
      </c>
      <c r="C385" s="8">
        <v>23</v>
      </c>
      <c r="D385" s="6" t="s">
        <v>2615</v>
      </c>
      <c r="E385" s="6" t="s">
        <v>2219</v>
      </c>
      <c r="F385" s="8">
        <v>10651</v>
      </c>
      <c r="G385" s="8">
        <v>0</v>
      </c>
      <c r="H385" s="8">
        <v>38500</v>
      </c>
      <c r="I385" s="8">
        <v>10651</v>
      </c>
      <c r="J385" s="8">
        <v>0</v>
      </c>
      <c r="K385" s="8">
        <v>10651</v>
      </c>
      <c r="L385" s="8">
        <v>0</v>
      </c>
    </row>
    <row r="386" spans="1:12" x14ac:dyDescent="0.25">
      <c r="A386" s="6" t="s">
        <v>61</v>
      </c>
      <c r="B386" s="6" t="s">
        <v>1696</v>
      </c>
      <c r="C386" s="8">
        <v>0</v>
      </c>
      <c r="D386" s="6" t="s">
        <v>2616</v>
      </c>
      <c r="E386" s="6" t="s">
        <v>2269</v>
      </c>
      <c r="F386" s="8">
        <v>10572</v>
      </c>
      <c r="G386" s="8">
        <v>0</v>
      </c>
      <c r="H386" s="8">
        <v>38500</v>
      </c>
      <c r="I386" s="8">
        <v>10572</v>
      </c>
      <c r="J386" s="8">
        <v>0</v>
      </c>
      <c r="K386" s="8">
        <v>10572</v>
      </c>
      <c r="L386" s="8">
        <v>0</v>
      </c>
    </row>
    <row r="387" spans="1:12" x14ac:dyDescent="0.25">
      <c r="A387" s="6" t="s">
        <v>61</v>
      </c>
      <c r="B387" s="6" t="s">
        <v>1696</v>
      </c>
      <c r="C387" s="8">
        <v>1</v>
      </c>
      <c r="D387" s="6" t="s">
        <v>2617</v>
      </c>
      <c r="E387" s="6" t="s">
        <v>2269</v>
      </c>
      <c r="F387" s="8">
        <v>10512</v>
      </c>
      <c r="G387" s="8">
        <v>0</v>
      </c>
      <c r="H387" s="8">
        <v>38500</v>
      </c>
      <c r="I387" s="8">
        <v>10512</v>
      </c>
      <c r="J387" s="8">
        <v>0</v>
      </c>
      <c r="K387" s="8">
        <v>10512</v>
      </c>
      <c r="L387" s="8">
        <v>0</v>
      </c>
    </row>
    <row r="388" spans="1:12" x14ac:dyDescent="0.25">
      <c r="A388" s="6" t="s">
        <v>61</v>
      </c>
      <c r="B388" s="6" t="s">
        <v>1696</v>
      </c>
      <c r="C388" s="8">
        <v>2</v>
      </c>
      <c r="D388" s="6" t="s">
        <v>2618</v>
      </c>
      <c r="E388" s="6" t="s">
        <v>2269</v>
      </c>
      <c r="F388" s="8">
        <v>10474</v>
      </c>
      <c r="G388" s="8">
        <v>0</v>
      </c>
      <c r="H388" s="8">
        <v>38500</v>
      </c>
      <c r="I388" s="8">
        <v>10474</v>
      </c>
      <c r="J388" s="8">
        <v>0</v>
      </c>
      <c r="K388" s="8">
        <v>10474</v>
      </c>
      <c r="L388" s="8">
        <v>0</v>
      </c>
    </row>
    <row r="389" spans="1:12" x14ac:dyDescent="0.25">
      <c r="A389" s="6" t="s">
        <v>61</v>
      </c>
      <c r="B389" s="6" t="s">
        <v>1696</v>
      </c>
      <c r="C389" s="8">
        <v>3</v>
      </c>
      <c r="D389" s="6" t="s">
        <v>2619</v>
      </c>
      <c r="E389" s="6" t="s">
        <v>2269</v>
      </c>
      <c r="F389" s="8">
        <v>10461</v>
      </c>
      <c r="G389" s="8">
        <v>0</v>
      </c>
      <c r="H389" s="8">
        <v>38500</v>
      </c>
      <c r="I389" s="8">
        <v>10461</v>
      </c>
      <c r="J389" s="8">
        <v>0</v>
      </c>
      <c r="K389" s="8">
        <v>10461</v>
      </c>
      <c r="L389" s="8">
        <v>0</v>
      </c>
    </row>
    <row r="390" spans="1:12" x14ac:dyDescent="0.25">
      <c r="A390" s="6" t="s">
        <v>61</v>
      </c>
      <c r="B390" s="6" t="s">
        <v>1696</v>
      </c>
      <c r="C390" s="8">
        <v>4</v>
      </c>
      <c r="D390" s="6" t="s">
        <v>2620</v>
      </c>
      <c r="E390" s="6" t="s">
        <v>2269</v>
      </c>
      <c r="F390" s="8">
        <v>10474</v>
      </c>
      <c r="G390" s="8">
        <v>0</v>
      </c>
      <c r="H390" s="8">
        <v>38500</v>
      </c>
      <c r="I390" s="8">
        <v>10474</v>
      </c>
      <c r="J390" s="8">
        <v>0</v>
      </c>
      <c r="K390" s="8">
        <v>10474</v>
      </c>
      <c r="L390" s="8">
        <v>0</v>
      </c>
    </row>
    <row r="391" spans="1:12" x14ac:dyDescent="0.25">
      <c r="A391" s="6" t="s">
        <v>61</v>
      </c>
      <c r="B391" s="6" t="s">
        <v>1696</v>
      </c>
      <c r="C391" s="8">
        <v>5</v>
      </c>
      <c r="D391" s="6" t="s">
        <v>2621</v>
      </c>
      <c r="E391" s="6" t="s">
        <v>2269</v>
      </c>
      <c r="F391" s="8">
        <v>10512</v>
      </c>
      <c r="G391" s="8">
        <v>0</v>
      </c>
      <c r="H391" s="8">
        <v>38500</v>
      </c>
      <c r="I391" s="8">
        <v>10512</v>
      </c>
      <c r="J391" s="8">
        <v>0</v>
      </c>
      <c r="K391" s="8">
        <v>10512</v>
      </c>
      <c r="L391" s="8">
        <v>0</v>
      </c>
    </row>
    <row r="392" spans="1:12" x14ac:dyDescent="0.25">
      <c r="A392" s="6" t="s">
        <v>61</v>
      </c>
      <c r="B392" s="6" t="s">
        <v>1696</v>
      </c>
      <c r="C392" s="8">
        <v>6</v>
      </c>
      <c r="D392" s="6" t="s">
        <v>2622</v>
      </c>
      <c r="E392" s="6" t="s">
        <v>2269</v>
      </c>
      <c r="F392" s="8">
        <v>10572</v>
      </c>
      <c r="G392" s="8">
        <v>726</v>
      </c>
      <c r="H392" s="8">
        <v>38500</v>
      </c>
      <c r="I392" s="8">
        <v>9846</v>
      </c>
      <c r="J392" s="8">
        <v>726</v>
      </c>
      <c r="K392" s="8">
        <v>9846</v>
      </c>
      <c r="L392" s="10">
        <v>6.9</v>
      </c>
    </row>
    <row r="393" spans="1:12" x14ac:dyDescent="0.25">
      <c r="A393" s="6" t="s">
        <v>61</v>
      </c>
      <c r="B393" s="6" t="s">
        <v>1696</v>
      </c>
      <c r="C393" s="8">
        <v>7</v>
      </c>
      <c r="D393" s="6" t="s">
        <v>2623</v>
      </c>
      <c r="E393" s="6" t="s">
        <v>2269</v>
      </c>
      <c r="F393" s="8">
        <v>10651</v>
      </c>
      <c r="G393" s="8">
        <v>4543</v>
      </c>
      <c r="H393" s="8">
        <v>38500</v>
      </c>
      <c r="I393" s="8">
        <v>6108</v>
      </c>
      <c r="J393" s="8">
        <v>4543</v>
      </c>
      <c r="K393" s="8">
        <v>6108</v>
      </c>
      <c r="L393" s="10">
        <v>42.7</v>
      </c>
    </row>
    <row r="394" spans="1:12" x14ac:dyDescent="0.25">
      <c r="A394" s="6" t="s">
        <v>61</v>
      </c>
      <c r="B394" s="6" t="s">
        <v>1696</v>
      </c>
      <c r="C394" s="8">
        <v>8</v>
      </c>
      <c r="D394" s="6" t="s">
        <v>2624</v>
      </c>
      <c r="E394" s="6" t="s">
        <v>2269</v>
      </c>
      <c r="F394" s="8">
        <v>10742</v>
      </c>
      <c r="G394" s="8">
        <v>10122</v>
      </c>
      <c r="H394" s="8">
        <v>38500</v>
      </c>
      <c r="I394" s="8">
        <v>620</v>
      </c>
      <c r="J394" s="8">
        <v>10122</v>
      </c>
      <c r="K394" s="8">
        <v>620</v>
      </c>
      <c r="L394" s="10">
        <v>94.2</v>
      </c>
    </row>
    <row r="395" spans="1:12" x14ac:dyDescent="0.25">
      <c r="A395" s="6" t="s">
        <v>61</v>
      </c>
      <c r="B395" s="6" t="s">
        <v>1696</v>
      </c>
      <c r="C395" s="8">
        <v>9</v>
      </c>
      <c r="D395" s="6" t="s">
        <v>2625</v>
      </c>
      <c r="E395" s="6" t="s">
        <v>2269</v>
      </c>
      <c r="F395" s="8">
        <v>10841</v>
      </c>
      <c r="G395" s="8">
        <v>16179</v>
      </c>
      <c r="H395" s="8">
        <v>38500</v>
      </c>
      <c r="I395" s="8">
        <v>0</v>
      </c>
      <c r="J395" s="8">
        <v>10841</v>
      </c>
      <c r="K395" s="8">
        <v>0</v>
      </c>
      <c r="L395" s="8">
        <v>100</v>
      </c>
    </row>
    <row r="396" spans="1:12" x14ac:dyDescent="0.25">
      <c r="A396" s="6" t="s">
        <v>61</v>
      </c>
      <c r="B396" s="6" t="s">
        <v>1696</v>
      </c>
      <c r="C396" s="8">
        <v>10</v>
      </c>
      <c r="D396" s="6" t="s">
        <v>2626</v>
      </c>
      <c r="E396" s="6" t="s">
        <v>2269</v>
      </c>
      <c r="F396" s="8">
        <v>10939</v>
      </c>
      <c r="G396" s="8">
        <v>21527</v>
      </c>
      <c r="H396" s="8">
        <v>38500</v>
      </c>
      <c r="I396" s="8">
        <v>0</v>
      </c>
      <c r="J396" s="8">
        <v>10939</v>
      </c>
      <c r="K396" s="8">
        <v>0</v>
      </c>
      <c r="L396" s="8">
        <v>100</v>
      </c>
    </row>
    <row r="397" spans="1:12" x14ac:dyDescent="0.25">
      <c r="A397" s="6" t="s">
        <v>61</v>
      </c>
      <c r="B397" s="6" t="s">
        <v>1696</v>
      </c>
      <c r="C397" s="8">
        <v>11</v>
      </c>
      <c r="D397" s="6" t="s">
        <v>2627</v>
      </c>
      <c r="E397" s="6" t="s">
        <v>2269</v>
      </c>
      <c r="F397" s="8">
        <v>11030</v>
      </c>
      <c r="G397" s="8">
        <v>25179</v>
      </c>
      <c r="H397" s="8">
        <v>38500</v>
      </c>
      <c r="I397" s="8">
        <v>0</v>
      </c>
      <c r="J397" s="8">
        <v>11030</v>
      </c>
      <c r="K397" s="8">
        <v>0</v>
      </c>
      <c r="L397" s="8">
        <v>100</v>
      </c>
    </row>
    <row r="398" spans="1:12" x14ac:dyDescent="0.25">
      <c r="A398" s="6" t="s">
        <v>61</v>
      </c>
      <c r="B398" s="6" t="s">
        <v>1696</v>
      </c>
      <c r="C398" s="8">
        <v>12</v>
      </c>
      <c r="D398" s="6" t="s">
        <v>2628</v>
      </c>
      <c r="E398" s="6" t="s">
        <v>2269</v>
      </c>
      <c r="F398" s="8">
        <v>11109</v>
      </c>
      <c r="G398" s="8">
        <v>26473</v>
      </c>
      <c r="H398" s="8">
        <v>38500</v>
      </c>
      <c r="I398" s="8">
        <v>0</v>
      </c>
      <c r="J398" s="8">
        <v>11109</v>
      </c>
      <c r="K398" s="8">
        <v>0</v>
      </c>
      <c r="L398" s="8">
        <v>100</v>
      </c>
    </row>
    <row r="399" spans="1:12" x14ac:dyDescent="0.25">
      <c r="A399" s="6" t="s">
        <v>61</v>
      </c>
      <c r="B399" s="6" t="s">
        <v>1696</v>
      </c>
      <c r="C399" s="8">
        <v>13</v>
      </c>
      <c r="D399" s="6" t="s">
        <v>2629</v>
      </c>
      <c r="E399" s="6" t="s">
        <v>2269</v>
      </c>
      <c r="F399" s="8">
        <v>11169</v>
      </c>
      <c r="G399" s="8">
        <v>25179</v>
      </c>
      <c r="H399" s="8">
        <v>38500</v>
      </c>
      <c r="I399" s="8">
        <v>0</v>
      </c>
      <c r="J399" s="8">
        <v>11169</v>
      </c>
      <c r="K399" s="8">
        <v>0</v>
      </c>
      <c r="L399" s="8">
        <v>100</v>
      </c>
    </row>
    <row r="400" spans="1:12" x14ac:dyDescent="0.25">
      <c r="A400" s="6" t="s">
        <v>61</v>
      </c>
      <c r="B400" s="6" t="s">
        <v>1696</v>
      </c>
      <c r="C400" s="8">
        <v>14</v>
      </c>
      <c r="D400" s="6" t="s">
        <v>2630</v>
      </c>
      <c r="E400" s="6" t="s">
        <v>2269</v>
      </c>
      <c r="F400" s="8">
        <v>11207</v>
      </c>
      <c r="G400" s="8">
        <v>21527</v>
      </c>
      <c r="H400" s="8">
        <v>38500</v>
      </c>
      <c r="I400" s="8">
        <v>0</v>
      </c>
      <c r="J400" s="8">
        <v>11207</v>
      </c>
      <c r="K400" s="8">
        <v>0</v>
      </c>
      <c r="L400" s="8">
        <v>100</v>
      </c>
    </row>
    <row r="401" spans="1:12" x14ac:dyDescent="0.25">
      <c r="A401" s="6" t="s">
        <v>61</v>
      </c>
      <c r="B401" s="6" t="s">
        <v>1696</v>
      </c>
      <c r="C401" s="8">
        <v>15</v>
      </c>
      <c r="D401" s="6" t="s">
        <v>2631</v>
      </c>
      <c r="E401" s="6" t="s">
        <v>2269</v>
      </c>
      <c r="F401" s="8">
        <v>11220</v>
      </c>
      <c r="G401" s="8">
        <v>16179</v>
      </c>
      <c r="H401" s="8">
        <v>38500</v>
      </c>
      <c r="I401" s="8">
        <v>0</v>
      </c>
      <c r="J401" s="8">
        <v>11220</v>
      </c>
      <c r="K401" s="8">
        <v>0</v>
      </c>
      <c r="L401" s="8">
        <v>100</v>
      </c>
    </row>
    <row r="402" spans="1:12" x14ac:dyDescent="0.25">
      <c r="A402" s="6" t="s">
        <v>61</v>
      </c>
      <c r="B402" s="6" t="s">
        <v>1696</v>
      </c>
      <c r="C402" s="8">
        <v>16</v>
      </c>
      <c r="D402" s="6" t="s">
        <v>2632</v>
      </c>
      <c r="E402" s="6" t="s">
        <v>2269</v>
      </c>
      <c r="F402" s="8">
        <v>11207</v>
      </c>
      <c r="G402" s="8">
        <v>10122</v>
      </c>
      <c r="H402" s="8">
        <v>38500</v>
      </c>
      <c r="I402" s="8">
        <v>1085</v>
      </c>
      <c r="J402" s="8">
        <v>10122</v>
      </c>
      <c r="K402" s="8">
        <v>1085</v>
      </c>
      <c r="L402" s="10">
        <v>90.3</v>
      </c>
    </row>
    <row r="403" spans="1:12" x14ac:dyDescent="0.25">
      <c r="A403" s="6" t="s">
        <v>61</v>
      </c>
      <c r="B403" s="6" t="s">
        <v>1696</v>
      </c>
      <c r="C403" s="8">
        <v>17</v>
      </c>
      <c r="D403" s="6" t="s">
        <v>2633</v>
      </c>
      <c r="E403" s="6" t="s">
        <v>2269</v>
      </c>
      <c r="F403" s="8">
        <v>11169</v>
      </c>
      <c r="G403" s="8">
        <v>4543</v>
      </c>
      <c r="H403" s="8">
        <v>38500</v>
      </c>
      <c r="I403" s="8">
        <v>6626</v>
      </c>
      <c r="J403" s="8">
        <v>4543</v>
      </c>
      <c r="K403" s="8">
        <v>6626</v>
      </c>
      <c r="L403" s="10">
        <v>40.7</v>
      </c>
    </row>
    <row r="404" spans="1:12" x14ac:dyDescent="0.25">
      <c r="A404" s="6" t="s">
        <v>61</v>
      </c>
      <c r="B404" s="6" t="s">
        <v>1696</v>
      </c>
      <c r="C404" s="8">
        <v>18</v>
      </c>
      <c r="D404" s="6" t="s">
        <v>2634</v>
      </c>
      <c r="E404" s="6" t="s">
        <v>2269</v>
      </c>
      <c r="F404" s="8">
        <v>11109</v>
      </c>
      <c r="G404" s="8">
        <v>726</v>
      </c>
      <c r="H404" s="8">
        <v>38500</v>
      </c>
      <c r="I404" s="8">
        <v>10383</v>
      </c>
      <c r="J404" s="8">
        <v>726</v>
      </c>
      <c r="K404" s="8">
        <v>10383</v>
      </c>
      <c r="L404" s="10">
        <v>6.5</v>
      </c>
    </row>
    <row r="405" spans="1:12" x14ac:dyDescent="0.25">
      <c r="A405" s="6" t="s">
        <v>61</v>
      </c>
      <c r="B405" s="6" t="s">
        <v>1696</v>
      </c>
      <c r="C405" s="8">
        <v>19</v>
      </c>
      <c r="D405" s="6" t="s">
        <v>2635</v>
      </c>
      <c r="E405" s="6" t="s">
        <v>2269</v>
      </c>
      <c r="F405" s="8">
        <v>11030</v>
      </c>
      <c r="G405" s="8">
        <v>0</v>
      </c>
      <c r="H405" s="8">
        <v>38500</v>
      </c>
      <c r="I405" s="8">
        <v>11030</v>
      </c>
      <c r="J405" s="8">
        <v>0</v>
      </c>
      <c r="K405" s="8">
        <v>11030</v>
      </c>
      <c r="L405" s="8">
        <v>0</v>
      </c>
    </row>
    <row r="406" spans="1:12" x14ac:dyDescent="0.25">
      <c r="A406" s="6" t="s">
        <v>61</v>
      </c>
      <c r="B406" s="6" t="s">
        <v>1696</v>
      </c>
      <c r="C406" s="8">
        <v>20</v>
      </c>
      <c r="D406" s="6" t="s">
        <v>2636</v>
      </c>
      <c r="E406" s="6" t="s">
        <v>2269</v>
      </c>
      <c r="F406" s="8">
        <v>10939</v>
      </c>
      <c r="G406" s="8">
        <v>0</v>
      </c>
      <c r="H406" s="8">
        <v>38500</v>
      </c>
      <c r="I406" s="8">
        <v>10939</v>
      </c>
      <c r="J406" s="8">
        <v>0</v>
      </c>
      <c r="K406" s="8">
        <v>10939</v>
      </c>
      <c r="L406" s="8">
        <v>0</v>
      </c>
    </row>
    <row r="407" spans="1:12" x14ac:dyDescent="0.25">
      <c r="A407" s="6" t="s">
        <v>61</v>
      </c>
      <c r="B407" s="6" t="s">
        <v>1696</v>
      </c>
      <c r="C407" s="8">
        <v>21</v>
      </c>
      <c r="D407" s="6" t="s">
        <v>2637</v>
      </c>
      <c r="E407" s="6" t="s">
        <v>2269</v>
      </c>
      <c r="F407" s="8">
        <v>10841</v>
      </c>
      <c r="G407" s="8">
        <v>0</v>
      </c>
      <c r="H407" s="8">
        <v>38500</v>
      </c>
      <c r="I407" s="8">
        <v>10841</v>
      </c>
      <c r="J407" s="8">
        <v>0</v>
      </c>
      <c r="K407" s="8">
        <v>10841</v>
      </c>
      <c r="L407" s="8">
        <v>0</v>
      </c>
    </row>
    <row r="408" spans="1:12" x14ac:dyDescent="0.25">
      <c r="A408" s="6" t="s">
        <v>61</v>
      </c>
      <c r="B408" s="6" t="s">
        <v>1696</v>
      </c>
      <c r="C408" s="8">
        <v>22</v>
      </c>
      <c r="D408" s="6" t="s">
        <v>2638</v>
      </c>
      <c r="E408" s="6" t="s">
        <v>2269</v>
      </c>
      <c r="F408" s="8">
        <v>10742</v>
      </c>
      <c r="G408" s="8">
        <v>0</v>
      </c>
      <c r="H408" s="8">
        <v>38500</v>
      </c>
      <c r="I408" s="8">
        <v>10742</v>
      </c>
      <c r="J408" s="8">
        <v>0</v>
      </c>
      <c r="K408" s="8">
        <v>10742</v>
      </c>
      <c r="L408" s="8">
        <v>0</v>
      </c>
    </row>
    <row r="409" spans="1:12" x14ac:dyDescent="0.25">
      <c r="A409" s="6" t="s">
        <v>61</v>
      </c>
      <c r="B409" s="6" t="s">
        <v>1696</v>
      </c>
      <c r="C409" s="8">
        <v>23</v>
      </c>
      <c r="D409" s="6" t="s">
        <v>2639</v>
      </c>
      <c r="E409" s="6" t="s">
        <v>2269</v>
      </c>
      <c r="F409" s="8">
        <v>10651</v>
      </c>
      <c r="G409" s="8">
        <v>0</v>
      </c>
      <c r="H409" s="8">
        <v>38500</v>
      </c>
      <c r="I409" s="8">
        <v>10651</v>
      </c>
      <c r="J409" s="8">
        <v>0</v>
      </c>
      <c r="K409" s="8">
        <v>10651</v>
      </c>
      <c r="L409" s="8">
        <v>0</v>
      </c>
    </row>
    <row r="410" spans="1:12" x14ac:dyDescent="0.25">
      <c r="A410" s="6" t="s">
        <v>61</v>
      </c>
      <c r="B410" s="6" t="s">
        <v>2640</v>
      </c>
      <c r="C410" s="8">
        <v>0</v>
      </c>
      <c r="D410" s="6" t="s">
        <v>2641</v>
      </c>
      <c r="E410" s="6" t="s">
        <v>2269</v>
      </c>
      <c r="F410" s="8">
        <v>10751</v>
      </c>
      <c r="G410" s="8">
        <v>0</v>
      </c>
      <c r="H410" s="8">
        <v>38500</v>
      </c>
      <c r="I410" s="8">
        <v>10751</v>
      </c>
      <c r="J410" s="8">
        <v>0</v>
      </c>
      <c r="K410" s="8">
        <v>10751</v>
      </c>
      <c r="L410" s="8">
        <v>0</v>
      </c>
    </row>
    <row r="411" spans="1:12" x14ac:dyDescent="0.25">
      <c r="A411" s="6" t="s">
        <v>61</v>
      </c>
      <c r="B411" s="6" t="s">
        <v>2640</v>
      </c>
      <c r="C411" s="8">
        <v>1</v>
      </c>
      <c r="D411" s="6" t="s">
        <v>2642</v>
      </c>
      <c r="E411" s="6" t="s">
        <v>2269</v>
      </c>
      <c r="F411" s="8">
        <v>10690</v>
      </c>
      <c r="G411" s="8">
        <v>0</v>
      </c>
      <c r="H411" s="8">
        <v>38500</v>
      </c>
      <c r="I411" s="8">
        <v>10690</v>
      </c>
      <c r="J411" s="8">
        <v>0</v>
      </c>
      <c r="K411" s="8">
        <v>10690</v>
      </c>
      <c r="L411" s="8">
        <v>0</v>
      </c>
    </row>
    <row r="412" spans="1:12" x14ac:dyDescent="0.25">
      <c r="A412" s="6" t="s">
        <v>61</v>
      </c>
      <c r="B412" s="6" t="s">
        <v>2640</v>
      </c>
      <c r="C412" s="8">
        <v>2</v>
      </c>
      <c r="D412" s="6" t="s">
        <v>2643</v>
      </c>
      <c r="E412" s="6" t="s">
        <v>2269</v>
      </c>
      <c r="F412" s="8">
        <v>10651</v>
      </c>
      <c r="G412" s="8">
        <v>0</v>
      </c>
      <c r="H412" s="8">
        <v>38500</v>
      </c>
      <c r="I412" s="8">
        <v>10651</v>
      </c>
      <c r="J412" s="8">
        <v>0</v>
      </c>
      <c r="K412" s="8">
        <v>10651</v>
      </c>
      <c r="L412" s="8">
        <v>0</v>
      </c>
    </row>
    <row r="413" spans="1:12" x14ac:dyDescent="0.25">
      <c r="A413" s="6" t="s">
        <v>61</v>
      </c>
      <c r="B413" s="6" t="s">
        <v>2640</v>
      </c>
      <c r="C413" s="8">
        <v>3</v>
      </c>
      <c r="D413" s="6" t="s">
        <v>2644</v>
      </c>
      <c r="E413" s="6" t="s">
        <v>2269</v>
      </c>
      <c r="F413" s="8">
        <v>10638</v>
      </c>
      <c r="G413" s="8">
        <v>0</v>
      </c>
      <c r="H413" s="8">
        <v>38500</v>
      </c>
      <c r="I413" s="8">
        <v>10638</v>
      </c>
      <c r="J413" s="8">
        <v>0</v>
      </c>
      <c r="K413" s="8">
        <v>10638</v>
      </c>
      <c r="L413" s="8">
        <v>0</v>
      </c>
    </row>
    <row r="414" spans="1:12" x14ac:dyDescent="0.25">
      <c r="A414" s="6" t="s">
        <v>61</v>
      </c>
      <c r="B414" s="6" t="s">
        <v>2640</v>
      </c>
      <c r="C414" s="8">
        <v>4</v>
      </c>
      <c r="D414" s="6" t="s">
        <v>2645</v>
      </c>
      <c r="E414" s="6" t="s">
        <v>2269</v>
      </c>
      <c r="F414" s="8">
        <v>10651</v>
      </c>
      <c r="G414" s="8">
        <v>0</v>
      </c>
      <c r="H414" s="8">
        <v>38500</v>
      </c>
      <c r="I414" s="8">
        <v>10651</v>
      </c>
      <c r="J414" s="8">
        <v>0</v>
      </c>
      <c r="K414" s="8">
        <v>10651</v>
      </c>
      <c r="L414" s="8">
        <v>0</v>
      </c>
    </row>
    <row r="415" spans="1:12" x14ac:dyDescent="0.25">
      <c r="A415" s="6" t="s">
        <v>61</v>
      </c>
      <c r="B415" s="6" t="s">
        <v>2640</v>
      </c>
      <c r="C415" s="8">
        <v>5</v>
      </c>
      <c r="D415" s="6" t="s">
        <v>2646</v>
      </c>
      <c r="E415" s="6" t="s">
        <v>2269</v>
      </c>
      <c r="F415" s="8">
        <v>10690</v>
      </c>
      <c r="G415" s="8">
        <v>0</v>
      </c>
      <c r="H415" s="8">
        <v>38500</v>
      </c>
      <c r="I415" s="8">
        <v>10690</v>
      </c>
      <c r="J415" s="8">
        <v>0</v>
      </c>
      <c r="K415" s="8">
        <v>10690</v>
      </c>
      <c r="L415" s="8">
        <v>0</v>
      </c>
    </row>
    <row r="416" spans="1:12" x14ac:dyDescent="0.25">
      <c r="A416" s="6" t="s">
        <v>61</v>
      </c>
      <c r="B416" s="6" t="s">
        <v>2640</v>
      </c>
      <c r="C416" s="8">
        <v>6</v>
      </c>
      <c r="D416" s="6" t="s">
        <v>2647</v>
      </c>
      <c r="E416" s="6" t="s">
        <v>2269</v>
      </c>
      <c r="F416" s="8">
        <v>10751</v>
      </c>
      <c r="G416" s="8">
        <v>718</v>
      </c>
      <c r="H416" s="8">
        <v>38500</v>
      </c>
      <c r="I416" s="8">
        <v>10033</v>
      </c>
      <c r="J416" s="8">
        <v>718</v>
      </c>
      <c r="K416" s="8">
        <v>10033</v>
      </c>
      <c r="L416" s="10">
        <v>6.7</v>
      </c>
    </row>
    <row r="417" spans="1:12" x14ac:dyDescent="0.25">
      <c r="A417" s="6" t="s">
        <v>61</v>
      </c>
      <c r="B417" s="6" t="s">
        <v>2640</v>
      </c>
      <c r="C417" s="8">
        <v>7</v>
      </c>
      <c r="D417" s="6" t="s">
        <v>2648</v>
      </c>
      <c r="E417" s="6" t="s">
        <v>2269</v>
      </c>
      <c r="F417" s="8">
        <v>10831</v>
      </c>
      <c r="G417" s="8">
        <v>4498</v>
      </c>
      <c r="H417" s="8">
        <v>38500</v>
      </c>
      <c r="I417" s="8">
        <v>6333</v>
      </c>
      <c r="J417" s="8">
        <v>4498</v>
      </c>
      <c r="K417" s="8">
        <v>6333</v>
      </c>
      <c r="L417" s="10">
        <v>41.5</v>
      </c>
    </row>
    <row r="418" spans="1:12" x14ac:dyDescent="0.25">
      <c r="A418" s="6" t="s">
        <v>61</v>
      </c>
      <c r="B418" s="6" t="s">
        <v>2640</v>
      </c>
      <c r="C418" s="8">
        <v>8</v>
      </c>
      <c r="D418" s="6" t="s">
        <v>2649</v>
      </c>
      <c r="E418" s="6" t="s">
        <v>2269</v>
      </c>
      <c r="F418" s="8">
        <v>10924</v>
      </c>
      <c r="G418" s="8">
        <v>10022</v>
      </c>
      <c r="H418" s="8">
        <v>38500</v>
      </c>
      <c r="I418" s="8">
        <v>902</v>
      </c>
      <c r="J418" s="8">
        <v>10022</v>
      </c>
      <c r="K418" s="8">
        <v>902</v>
      </c>
      <c r="L418" s="10">
        <v>91.7</v>
      </c>
    </row>
    <row r="419" spans="1:12" x14ac:dyDescent="0.25">
      <c r="A419" s="6" t="s">
        <v>61</v>
      </c>
      <c r="B419" s="6" t="s">
        <v>2640</v>
      </c>
      <c r="C419" s="8">
        <v>9</v>
      </c>
      <c r="D419" s="6" t="s">
        <v>2650</v>
      </c>
      <c r="E419" s="6" t="s">
        <v>2269</v>
      </c>
      <c r="F419" s="8">
        <v>11024</v>
      </c>
      <c r="G419" s="8">
        <v>16018</v>
      </c>
      <c r="H419" s="8">
        <v>38500</v>
      </c>
      <c r="I419" s="8">
        <v>0</v>
      </c>
      <c r="J419" s="8">
        <v>11024</v>
      </c>
      <c r="K419" s="8">
        <v>0</v>
      </c>
      <c r="L419" s="8">
        <v>100</v>
      </c>
    </row>
    <row r="420" spans="1:12" x14ac:dyDescent="0.25">
      <c r="A420" s="6" t="s">
        <v>61</v>
      </c>
      <c r="B420" s="6" t="s">
        <v>2640</v>
      </c>
      <c r="C420" s="8">
        <v>10</v>
      </c>
      <c r="D420" s="6" t="s">
        <v>2651</v>
      </c>
      <c r="E420" s="6" t="s">
        <v>2269</v>
      </c>
      <c r="F420" s="8">
        <v>11124</v>
      </c>
      <c r="G420" s="8">
        <v>21314</v>
      </c>
      <c r="H420" s="8">
        <v>38500</v>
      </c>
      <c r="I420" s="8">
        <v>0</v>
      </c>
      <c r="J420" s="8">
        <v>11124</v>
      </c>
      <c r="K420" s="8">
        <v>0</v>
      </c>
      <c r="L420" s="8">
        <v>100</v>
      </c>
    </row>
    <row r="421" spans="1:12" x14ac:dyDescent="0.25">
      <c r="A421" s="6" t="s">
        <v>61</v>
      </c>
      <c r="B421" s="6" t="s">
        <v>2640</v>
      </c>
      <c r="C421" s="8">
        <v>11</v>
      </c>
      <c r="D421" s="6" t="s">
        <v>2652</v>
      </c>
      <c r="E421" s="6" t="s">
        <v>2269</v>
      </c>
      <c r="F421" s="8">
        <v>11217</v>
      </c>
      <c r="G421" s="8">
        <v>24929</v>
      </c>
      <c r="H421" s="8">
        <v>38500</v>
      </c>
      <c r="I421" s="8">
        <v>0</v>
      </c>
      <c r="J421" s="8">
        <v>11217</v>
      </c>
      <c r="K421" s="8">
        <v>0</v>
      </c>
      <c r="L421" s="8">
        <v>100</v>
      </c>
    </row>
    <row r="422" spans="1:12" x14ac:dyDescent="0.25">
      <c r="A422" s="6" t="s">
        <v>61</v>
      </c>
      <c r="B422" s="6" t="s">
        <v>2640</v>
      </c>
      <c r="C422" s="8">
        <v>12</v>
      </c>
      <c r="D422" s="6" t="s">
        <v>2653</v>
      </c>
      <c r="E422" s="6" t="s">
        <v>2269</v>
      </c>
      <c r="F422" s="8">
        <v>11297</v>
      </c>
      <c r="G422" s="8">
        <v>26211</v>
      </c>
      <c r="H422" s="8">
        <v>38500</v>
      </c>
      <c r="I422" s="8">
        <v>0</v>
      </c>
      <c r="J422" s="8">
        <v>11297</v>
      </c>
      <c r="K422" s="8">
        <v>0</v>
      </c>
      <c r="L422" s="8">
        <v>100</v>
      </c>
    </row>
    <row r="423" spans="1:12" x14ac:dyDescent="0.25">
      <c r="A423" s="6" t="s">
        <v>61</v>
      </c>
      <c r="B423" s="6" t="s">
        <v>2640</v>
      </c>
      <c r="C423" s="8">
        <v>13</v>
      </c>
      <c r="D423" s="6" t="s">
        <v>2654</v>
      </c>
      <c r="E423" s="6" t="s">
        <v>2269</v>
      </c>
      <c r="F423" s="8">
        <v>11358</v>
      </c>
      <c r="G423" s="8">
        <v>24929</v>
      </c>
      <c r="H423" s="8">
        <v>38500</v>
      </c>
      <c r="I423" s="8">
        <v>0</v>
      </c>
      <c r="J423" s="8">
        <v>11358</v>
      </c>
      <c r="K423" s="8">
        <v>0</v>
      </c>
      <c r="L423" s="8">
        <v>100</v>
      </c>
    </row>
    <row r="424" spans="1:12" x14ac:dyDescent="0.25">
      <c r="A424" s="6" t="s">
        <v>61</v>
      </c>
      <c r="B424" s="6" t="s">
        <v>2640</v>
      </c>
      <c r="C424" s="8">
        <v>14</v>
      </c>
      <c r="D424" s="6" t="s">
        <v>2655</v>
      </c>
      <c r="E424" s="6" t="s">
        <v>2269</v>
      </c>
      <c r="F424" s="8">
        <v>11397</v>
      </c>
      <c r="G424" s="8">
        <v>21314</v>
      </c>
      <c r="H424" s="8">
        <v>38500</v>
      </c>
      <c r="I424" s="8">
        <v>0</v>
      </c>
      <c r="J424" s="8">
        <v>11397</v>
      </c>
      <c r="K424" s="8">
        <v>0</v>
      </c>
      <c r="L424" s="8">
        <v>100</v>
      </c>
    </row>
    <row r="425" spans="1:12" x14ac:dyDescent="0.25">
      <c r="A425" s="6" t="s">
        <v>61</v>
      </c>
      <c r="B425" s="6" t="s">
        <v>2640</v>
      </c>
      <c r="C425" s="8">
        <v>15</v>
      </c>
      <c r="D425" s="6" t="s">
        <v>2656</v>
      </c>
      <c r="E425" s="6" t="s">
        <v>2269</v>
      </c>
      <c r="F425" s="8">
        <v>11410</v>
      </c>
      <c r="G425" s="8">
        <v>16018</v>
      </c>
      <c r="H425" s="8">
        <v>38500</v>
      </c>
      <c r="I425" s="8">
        <v>0</v>
      </c>
      <c r="J425" s="8">
        <v>11410</v>
      </c>
      <c r="K425" s="8">
        <v>0</v>
      </c>
      <c r="L425" s="8">
        <v>100</v>
      </c>
    </row>
    <row r="426" spans="1:12" x14ac:dyDescent="0.25">
      <c r="A426" s="6" t="s">
        <v>61</v>
      </c>
      <c r="B426" s="6" t="s">
        <v>2640</v>
      </c>
      <c r="C426" s="8">
        <v>16</v>
      </c>
      <c r="D426" s="6" t="s">
        <v>2657</v>
      </c>
      <c r="E426" s="6" t="s">
        <v>2269</v>
      </c>
      <c r="F426" s="8">
        <v>11397</v>
      </c>
      <c r="G426" s="8">
        <v>10022</v>
      </c>
      <c r="H426" s="8">
        <v>38500</v>
      </c>
      <c r="I426" s="8">
        <v>1375</v>
      </c>
      <c r="J426" s="8">
        <v>10022</v>
      </c>
      <c r="K426" s="8">
        <v>1375</v>
      </c>
      <c r="L426" s="10">
        <v>87.9</v>
      </c>
    </row>
    <row r="427" spans="1:12" x14ac:dyDescent="0.25">
      <c r="A427" s="6" t="s">
        <v>61</v>
      </c>
      <c r="B427" s="6" t="s">
        <v>2640</v>
      </c>
      <c r="C427" s="8">
        <v>17</v>
      </c>
      <c r="D427" s="6" t="s">
        <v>2658</v>
      </c>
      <c r="E427" s="6" t="s">
        <v>2269</v>
      </c>
      <c r="F427" s="8">
        <v>11358</v>
      </c>
      <c r="G427" s="8">
        <v>4498</v>
      </c>
      <c r="H427" s="8">
        <v>38500</v>
      </c>
      <c r="I427" s="8">
        <v>6860</v>
      </c>
      <c r="J427" s="8">
        <v>4498</v>
      </c>
      <c r="K427" s="8">
        <v>6860</v>
      </c>
      <c r="L427" s="10">
        <v>39.6</v>
      </c>
    </row>
    <row r="428" spans="1:12" x14ac:dyDescent="0.25">
      <c r="A428" s="6" t="s">
        <v>61</v>
      </c>
      <c r="B428" s="6" t="s">
        <v>2640</v>
      </c>
      <c r="C428" s="8">
        <v>18</v>
      </c>
      <c r="D428" s="6" t="s">
        <v>2659</v>
      </c>
      <c r="E428" s="6" t="s">
        <v>2269</v>
      </c>
      <c r="F428" s="8">
        <v>11297</v>
      </c>
      <c r="G428" s="8">
        <v>718</v>
      </c>
      <c r="H428" s="8">
        <v>38500</v>
      </c>
      <c r="I428" s="8">
        <v>10579</v>
      </c>
      <c r="J428" s="8">
        <v>718</v>
      </c>
      <c r="K428" s="8">
        <v>10579</v>
      </c>
      <c r="L428" s="10">
        <v>6.4</v>
      </c>
    </row>
    <row r="429" spans="1:12" x14ac:dyDescent="0.25">
      <c r="A429" s="6" t="s">
        <v>61</v>
      </c>
      <c r="B429" s="6" t="s">
        <v>2640</v>
      </c>
      <c r="C429" s="8">
        <v>19</v>
      </c>
      <c r="D429" s="6" t="s">
        <v>2660</v>
      </c>
      <c r="E429" s="6" t="s">
        <v>2269</v>
      </c>
      <c r="F429" s="8">
        <v>11217</v>
      </c>
      <c r="G429" s="8">
        <v>0</v>
      </c>
      <c r="H429" s="8">
        <v>38500</v>
      </c>
      <c r="I429" s="8">
        <v>11217</v>
      </c>
      <c r="J429" s="8">
        <v>0</v>
      </c>
      <c r="K429" s="8">
        <v>11217</v>
      </c>
      <c r="L429" s="8">
        <v>0</v>
      </c>
    </row>
    <row r="430" spans="1:12" x14ac:dyDescent="0.25">
      <c r="A430" s="6" t="s">
        <v>61</v>
      </c>
      <c r="B430" s="6" t="s">
        <v>2640</v>
      </c>
      <c r="C430" s="8">
        <v>20</v>
      </c>
      <c r="D430" s="6" t="s">
        <v>2661</v>
      </c>
      <c r="E430" s="6" t="s">
        <v>2269</v>
      </c>
      <c r="F430" s="8">
        <v>11124</v>
      </c>
      <c r="G430" s="8">
        <v>0</v>
      </c>
      <c r="H430" s="8">
        <v>38500</v>
      </c>
      <c r="I430" s="8">
        <v>11124</v>
      </c>
      <c r="J430" s="8">
        <v>0</v>
      </c>
      <c r="K430" s="8">
        <v>11124</v>
      </c>
      <c r="L430" s="8">
        <v>0</v>
      </c>
    </row>
    <row r="431" spans="1:12" x14ac:dyDescent="0.25">
      <c r="A431" s="6" t="s">
        <v>61</v>
      </c>
      <c r="B431" s="6" t="s">
        <v>2640</v>
      </c>
      <c r="C431" s="8">
        <v>21</v>
      </c>
      <c r="D431" s="6" t="s">
        <v>2662</v>
      </c>
      <c r="E431" s="6" t="s">
        <v>2269</v>
      </c>
      <c r="F431" s="8">
        <v>11024</v>
      </c>
      <c r="G431" s="8">
        <v>0</v>
      </c>
      <c r="H431" s="8">
        <v>38500</v>
      </c>
      <c r="I431" s="8">
        <v>11024</v>
      </c>
      <c r="J431" s="8">
        <v>0</v>
      </c>
      <c r="K431" s="8">
        <v>11024</v>
      </c>
      <c r="L431" s="8">
        <v>0</v>
      </c>
    </row>
    <row r="432" spans="1:12" x14ac:dyDescent="0.25">
      <c r="A432" s="6" t="s">
        <v>61</v>
      </c>
      <c r="B432" s="6" t="s">
        <v>2640</v>
      </c>
      <c r="C432" s="8">
        <v>22</v>
      </c>
      <c r="D432" s="6" t="s">
        <v>2663</v>
      </c>
      <c r="E432" s="6" t="s">
        <v>2269</v>
      </c>
      <c r="F432" s="8">
        <v>10924</v>
      </c>
      <c r="G432" s="8">
        <v>0</v>
      </c>
      <c r="H432" s="8">
        <v>38500</v>
      </c>
      <c r="I432" s="8">
        <v>10924</v>
      </c>
      <c r="J432" s="8">
        <v>0</v>
      </c>
      <c r="K432" s="8">
        <v>10924</v>
      </c>
      <c r="L432" s="8">
        <v>0</v>
      </c>
    </row>
    <row r="433" spans="1:12" x14ac:dyDescent="0.25">
      <c r="A433" s="6" t="s">
        <v>61</v>
      </c>
      <c r="B433" s="6" t="s">
        <v>2640</v>
      </c>
      <c r="C433" s="8">
        <v>23</v>
      </c>
      <c r="D433" s="6" t="s">
        <v>2664</v>
      </c>
      <c r="E433" s="6" t="s">
        <v>2269</v>
      </c>
      <c r="F433" s="8">
        <v>10831</v>
      </c>
      <c r="G433" s="8">
        <v>0</v>
      </c>
      <c r="H433" s="8">
        <v>38500</v>
      </c>
      <c r="I433" s="8">
        <v>10831</v>
      </c>
      <c r="J433" s="8">
        <v>0</v>
      </c>
      <c r="K433" s="8">
        <v>10831</v>
      </c>
      <c r="L433" s="8">
        <v>0</v>
      </c>
    </row>
    <row r="434" spans="1:12" x14ac:dyDescent="0.25">
      <c r="A434" s="6" t="s">
        <v>61</v>
      </c>
      <c r="B434" s="6" t="s">
        <v>1823</v>
      </c>
      <c r="C434" s="8">
        <v>0</v>
      </c>
      <c r="D434" s="6" t="s">
        <v>2665</v>
      </c>
      <c r="E434" s="6" t="s">
        <v>2666</v>
      </c>
      <c r="F434" s="8">
        <v>10751</v>
      </c>
      <c r="G434" s="8">
        <v>0</v>
      </c>
      <c r="H434" s="8">
        <v>38500</v>
      </c>
      <c r="I434" s="8">
        <v>10751</v>
      </c>
      <c r="J434" s="8">
        <v>0</v>
      </c>
      <c r="K434" s="8">
        <v>10751</v>
      </c>
      <c r="L434" s="8">
        <v>0</v>
      </c>
    </row>
    <row r="435" spans="1:12" x14ac:dyDescent="0.25">
      <c r="A435" s="6" t="s">
        <v>61</v>
      </c>
      <c r="B435" s="6" t="s">
        <v>1823</v>
      </c>
      <c r="C435" s="8">
        <v>1</v>
      </c>
      <c r="D435" s="6" t="s">
        <v>2667</v>
      </c>
      <c r="E435" s="6" t="s">
        <v>2666</v>
      </c>
      <c r="F435" s="8">
        <v>10690</v>
      </c>
      <c r="G435" s="8">
        <v>0</v>
      </c>
      <c r="H435" s="8">
        <v>38500</v>
      </c>
      <c r="I435" s="8">
        <v>10690</v>
      </c>
      <c r="J435" s="8">
        <v>0</v>
      </c>
      <c r="K435" s="8">
        <v>10690</v>
      </c>
      <c r="L435" s="8">
        <v>0</v>
      </c>
    </row>
    <row r="436" spans="1:12" x14ac:dyDescent="0.25">
      <c r="A436" s="6" t="s">
        <v>61</v>
      </c>
      <c r="B436" s="6" t="s">
        <v>1823</v>
      </c>
      <c r="C436" s="8">
        <v>2</v>
      </c>
      <c r="D436" s="6" t="s">
        <v>2668</v>
      </c>
      <c r="E436" s="6" t="s">
        <v>2666</v>
      </c>
      <c r="F436" s="8">
        <v>10651</v>
      </c>
      <c r="G436" s="8">
        <v>0</v>
      </c>
      <c r="H436" s="8">
        <v>38500</v>
      </c>
      <c r="I436" s="8">
        <v>10651</v>
      </c>
      <c r="J436" s="8">
        <v>0</v>
      </c>
      <c r="K436" s="8">
        <v>10651</v>
      </c>
      <c r="L436" s="8">
        <v>0</v>
      </c>
    </row>
    <row r="437" spans="1:12" x14ac:dyDescent="0.25">
      <c r="A437" s="6" t="s">
        <v>61</v>
      </c>
      <c r="B437" s="6" t="s">
        <v>1823</v>
      </c>
      <c r="C437" s="8">
        <v>3</v>
      </c>
      <c r="D437" s="6" t="s">
        <v>2669</v>
      </c>
      <c r="E437" s="6" t="s">
        <v>2666</v>
      </c>
      <c r="F437" s="8">
        <v>10638</v>
      </c>
      <c r="G437" s="8">
        <v>0</v>
      </c>
      <c r="H437" s="8">
        <v>38500</v>
      </c>
      <c r="I437" s="8">
        <v>10638</v>
      </c>
      <c r="J437" s="8">
        <v>0</v>
      </c>
      <c r="K437" s="8">
        <v>10638</v>
      </c>
      <c r="L437" s="8">
        <v>0</v>
      </c>
    </row>
    <row r="438" spans="1:12" x14ac:dyDescent="0.25">
      <c r="A438" s="6" t="s">
        <v>61</v>
      </c>
      <c r="B438" s="6" t="s">
        <v>1823</v>
      </c>
      <c r="C438" s="8">
        <v>4</v>
      </c>
      <c r="D438" s="6" t="s">
        <v>2670</v>
      </c>
      <c r="E438" s="6" t="s">
        <v>2666</v>
      </c>
      <c r="F438" s="8">
        <v>10651</v>
      </c>
      <c r="G438" s="8">
        <v>0</v>
      </c>
      <c r="H438" s="8">
        <v>38500</v>
      </c>
      <c r="I438" s="8">
        <v>10651</v>
      </c>
      <c r="J438" s="8">
        <v>0</v>
      </c>
      <c r="K438" s="8">
        <v>10651</v>
      </c>
      <c r="L438" s="8">
        <v>0</v>
      </c>
    </row>
    <row r="439" spans="1:12" x14ac:dyDescent="0.25">
      <c r="A439" s="6" t="s">
        <v>61</v>
      </c>
      <c r="B439" s="6" t="s">
        <v>1823</v>
      </c>
      <c r="C439" s="8">
        <v>5</v>
      </c>
      <c r="D439" s="6" t="s">
        <v>2671</v>
      </c>
      <c r="E439" s="6" t="s">
        <v>2666</v>
      </c>
      <c r="F439" s="8">
        <v>10690</v>
      </c>
      <c r="G439" s="8">
        <v>0</v>
      </c>
      <c r="H439" s="8">
        <v>38500</v>
      </c>
      <c r="I439" s="8">
        <v>10690</v>
      </c>
      <c r="J439" s="8">
        <v>0</v>
      </c>
      <c r="K439" s="8">
        <v>10690</v>
      </c>
      <c r="L439" s="8">
        <v>0</v>
      </c>
    </row>
    <row r="440" spans="1:12" x14ac:dyDescent="0.25">
      <c r="A440" s="6" t="s">
        <v>61</v>
      </c>
      <c r="B440" s="6" t="s">
        <v>1823</v>
      </c>
      <c r="C440" s="8">
        <v>6</v>
      </c>
      <c r="D440" s="6" t="s">
        <v>2672</v>
      </c>
      <c r="E440" s="6" t="s">
        <v>2666</v>
      </c>
      <c r="F440" s="8">
        <v>10751</v>
      </c>
      <c r="G440" s="8">
        <v>384</v>
      </c>
      <c r="H440" s="8">
        <v>38500</v>
      </c>
      <c r="I440" s="8">
        <v>10367</v>
      </c>
      <c r="J440" s="8">
        <v>384</v>
      </c>
      <c r="K440" s="8">
        <v>10367</v>
      </c>
      <c r="L440" s="10">
        <v>3.6</v>
      </c>
    </row>
    <row r="441" spans="1:12" x14ac:dyDescent="0.25">
      <c r="A441" s="6" t="s">
        <v>61</v>
      </c>
      <c r="B441" s="6" t="s">
        <v>1823</v>
      </c>
      <c r="C441" s="8">
        <v>7</v>
      </c>
      <c r="D441" s="6" t="s">
        <v>2673</v>
      </c>
      <c r="E441" s="6" t="s">
        <v>2666</v>
      </c>
      <c r="F441" s="8">
        <v>10831</v>
      </c>
      <c r="G441" s="8">
        <v>2407</v>
      </c>
      <c r="H441" s="8">
        <v>38500</v>
      </c>
      <c r="I441" s="8">
        <v>8424</v>
      </c>
      <c r="J441" s="8">
        <v>2407</v>
      </c>
      <c r="K441" s="8">
        <v>8424</v>
      </c>
      <c r="L441" s="10">
        <v>22.2</v>
      </c>
    </row>
    <row r="442" spans="1:12" x14ac:dyDescent="0.25">
      <c r="A442" s="6" t="s">
        <v>61</v>
      </c>
      <c r="B442" s="6" t="s">
        <v>1823</v>
      </c>
      <c r="C442" s="8">
        <v>8</v>
      </c>
      <c r="D442" s="6" t="s">
        <v>2674</v>
      </c>
      <c r="E442" s="6" t="s">
        <v>2666</v>
      </c>
      <c r="F442" s="8">
        <v>10924</v>
      </c>
      <c r="G442" s="8">
        <v>5363</v>
      </c>
      <c r="H442" s="8">
        <v>38500</v>
      </c>
      <c r="I442" s="8">
        <v>5561</v>
      </c>
      <c r="J442" s="8">
        <v>5363</v>
      </c>
      <c r="K442" s="8">
        <v>5561</v>
      </c>
      <c r="L442" s="10">
        <v>49.1</v>
      </c>
    </row>
    <row r="443" spans="1:12" x14ac:dyDescent="0.25">
      <c r="A443" s="6" t="s">
        <v>61</v>
      </c>
      <c r="B443" s="6" t="s">
        <v>1823</v>
      </c>
      <c r="C443" s="8">
        <v>9</v>
      </c>
      <c r="D443" s="6" t="s">
        <v>2675</v>
      </c>
      <c r="E443" s="6" t="s">
        <v>2666</v>
      </c>
      <c r="F443" s="8">
        <v>11024</v>
      </c>
      <c r="G443" s="8">
        <v>8572</v>
      </c>
      <c r="H443" s="8">
        <v>38500</v>
      </c>
      <c r="I443" s="8">
        <v>2452</v>
      </c>
      <c r="J443" s="8">
        <v>8572</v>
      </c>
      <c r="K443" s="8">
        <v>2452</v>
      </c>
      <c r="L443" s="10">
        <v>77.8</v>
      </c>
    </row>
    <row r="444" spans="1:12" x14ac:dyDescent="0.25">
      <c r="A444" s="6" t="s">
        <v>61</v>
      </c>
      <c r="B444" s="6" t="s">
        <v>1823</v>
      </c>
      <c r="C444" s="8">
        <v>10</v>
      </c>
      <c r="D444" s="6" t="s">
        <v>2676</v>
      </c>
      <c r="E444" s="6" t="s">
        <v>2666</v>
      </c>
      <c r="F444" s="8">
        <v>11124</v>
      </c>
      <c r="G444" s="8">
        <v>11406</v>
      </c>
      <c r="H444" s="8">
        <v>38500</v>
      </c>
      <c r="I444" s="8">
        <v>0</v>
      </c>
      <c r="J444" s="8">
        <v>11124</v>
      </c>
      <c r="K444" s="8">
        <v>0</v>
      </c>
      <c r="L444" s="8">
        <v>100</v>
      </c>
    </row>
    <row r="445" spans="1:12" x14ac:dyDescent="0.25">
      <c r="A445" s="6" t="s">
        <v>61</v>
      </c>
      <c r="B445" s="6" t="s">
        <v>1823</v>
      </c>
      <c r="C445" s="8">
        <v>11</v>
      </c>
      <c r="D445" s="6" t="s">
        <v>2677</v>
      </c>
      <c r="E445" s="6" t="s">
        <v>2666</v>
      </c>
      <c r="F445" s="8">
        <v>11217</v>
      </c>
      <c r="G445" s="8">
        <v>13341</v>
      </c>
      <c r="H445" s="8">
        <v>38500</v>
      </c>
      <c r="I445" s="8">
        <v>0</v>
      </c>
      <c r="J445" s="8">
        <v>11217</v>
      </c>
      <c r="K445" s="8">
        <v>0</v>
      </c>
      <c r="L445" s="8">
        <v>100</v>
      </c>
    </row>
    <row r="446" spans="1:12" x14ac:dyDescent="0.25">
      <c r="A446" s="6" t="s">
        <v>61</v>
      </c>
      <c r="B446" s="6" t="s">
        <v>1823</v>
      </c>
      <c r="C446" s="8">
        <v>12</v>
      </c>
      <c r="D446" s="6" t="s">
        <v>2678</v>
      </c>
      <c r="E446" s="6" t="s">
        <v>2666</v>
      </c>
      <c r="F446" s="8">
        <v>11297</v>
      </c>
      <c r="G446" s="8">
        <v>14026</v>
      </c>
      <c r="H446" s="8">
        <v>38500</v>
      </c>
      <c r="I446" s="8">
        <v>0</v>
      </c>
      <c r="J446" s="8">
        <v>11297</v>
      </c>
      <c r="K446" s="8">
        <v>0</v>
      </c>
      <c r="L446" s="8">
        <v>100</v>
      </c>
    </row>
    <row r="447" spans="1:12" x14ac:dyDescent="0.25">
      <c r="A447" s="6" t="s">
        <v>61</v>
      </c>
      <c r="B447" s="6" t="s">
        <v>1823</v>
      </c>
      <c r="C447" s="8">
        <v>13</v>
      </c>
      <c r="D447" s="6" t="s">
        <v>2679</v>
      </c>
      <c r="E447" s="6" t="s">
        <v>2666</v>
      </c>
      <c r="F447" s="8">
        <v>11358</v>
      </c>
      <c r="G447" s="8">
        <v>13341</v>
      </c>
      <c r="H447" s="8">
        <v>38500</v>
      </c>
      <c r="I447" s="8">
        <v>0</v>
      </c>
      <c r="J447" s="8">
        <v>11358</v>
      </c>
      <c r="K447" s="8">
        <v>0</v>
      </c>
      <c r="L447" s="8">
        <v>100</v>
      </c>
    </row>
    <row r="448" spans="1:12" x14ac:dyDescent="0.25">
      <c r="A448" s="6" t="s">
        <v>61</v>
      </c>
      <c r="B448" s="6" t="s">
        <v>1823</v>
      </c>
      <c r="C448" s="8">
        <v>14</v>
      </c>
      <c r="D448" s="6" t="s">
        <v>2680</v>
      </c>
      <c r="E448" s="6" t="s">
        <v>2666</v>
      </c>
      <c r="F448" s="8">
        <v>11397</v>
      </c>
      <c r="G448" s="8">
        <v>11406</v>
      </c>
      <c r="H448" s="8">
        <v>38500</v>
      </c>
      <c r="I448" s="8">
        <v>0</v>
      </c>
      <c r="J448" s="8">
        <v>11397</v>
      </c>
      <c r="K448" s="8">
        <v>0</v>
      </c>
      <c r="L448" s="8">
        <v>100</v>
      </c>
    </row>
    <row r="449" spans="1:12" x14ac:dyDescent="0.25">
      <c r="A449" s="6" t="s">
        <v>61</v>
      </c>
      <c r="B449" s="6" t="s">
        <v>1823</v>
      </c>
      <c r="C449" s="8">
        <v>15</v>
      </c>
      <c r="D449" s="6" t="s">
        <v>2681</v>
      </c>
      <c r="E449" s="6" t="s">
        <v>2666</v>
      </c>
      <c r="F449" s="8">
        <v>11410</v>
      </c>
      <c r="G449" s="8">
        <v>8572</v>
      </c>
      <c r="H449" s="8">
        <v>38500</v>
      </c>
      <c r="I449" s="8">
        <v>2838</v>
      </c>
      <c r="J449" s="8">
        <v>8572</v>
      </c>
      <c r="K449" s="8">
        <v>2838</v>
      </c>
      <c r="L449" s="10">
        <v>75.1</v>
      </c>
    </row>
    <row r="450" spans="1:12" x14ac:dyDescent="0.25">
      <c r="A450" s="6" t="s">
        <v>61</v>
      </c>
      <c r="B450" s="6" t="s">
        <v>1823</v>
      </c>
      <c r="C450" s="8">
        <v>16</v>
      </c>
      <c r="D450" s="6" t="s">
        <v>2682</v>
      </c>
      <c r="E450" s="6" t="s">
        <v>2666</v>
      </c>
      <c r="F450" s="8">
        <v>11397</v>
      </c>
      <c r="G450" s="8">
        <v>5363</v>
      </c>
      <c r="H450" s="8">
        <v>38500</v>
      </c>
      <c r="I450" s="8">
        <v>6034</v>
      </c>
      <c r="J450" s="8">
        <v>5363</v>
      </c>
      <c r="K450" s="8">
        <v>6034</v>
      </c>
      <c r="L450" s="10">
        <v>47.1</v>
      </c>
    </row>
    <row r="451" spans="1:12" x14ac:dyDescent="0.25">
      <c r="A451" s="6" t="s">
        <v>61</v>
      </c>
      <c r="B451" s="6" t="s">
        <v>1823</v>
      </c>
      <c r="C451" s="8">
        <v>17</v>
      </c>
      <c r="D451" s="6" t="s">
        <v>2683</v>
      </c>
      <c r="E451" s="6" t="s">
        <v>2666</v>
      </c>
      <c r="F451" s="8">
        <v>11358</v>
      </c>
      <c r="G451" s="8">
        <v>2407</v>
      </c>
      <c r="H451" s="8">
        <v>38500</v>
      </c>
      <c r="I451" s="8">
        <v>8951</v>
      </c>
      <c r="J451" s="8">
        <v>2407</v>
      </c>
      <c r="K451" s="8">
        <v>8951</v>
      </c>
      <c r="L451" s="10">
        <v>21.2</v>
      </c>
    </row>
    <row r="452" spans="1:12" x14ac:dyDescent="0.25">
      <c r="A452" s="6" t="s">
        <v>61</v>
      </c>
      <c r="B452" s="6" t="s">
        <v>1823</v>
      </c>
      <c r="C452" s="8">
        <v>18</v>
      </c>
      <c r="D452" s="6" t="s">
        <v>2684</v>
      </c>
      <c r="E452" s="6" t="s">
        <v>2666</v>
      </c>
      <c r="F452" s="8">
        <v>11297</v>
      </c>
      <c r="G452" s="8">
        <v>384</v>
      </c>
      <c r="H452" s="8">
        <v>38500</v>
      </c>
      <c r="I452" s="8">
        <v>10913</v>
      </c>
      <c r="J452" s="8">
        <v>384</v>
      </c>
      <c r="K452" s="8">
        <v>10913</v>
      </c>
      <c r="L452" s="10">
        <v>3.4</v>
      </c>
    </row>
    <row r="453" spans="1:12" x14ac:dyDescent="0.25">
      <c r="A453" s="6" t="s">
        <v>61</v>
      </c>
      <c r="B453" s="6" t="s">
        <v>1823</v>
      </c>
      <c r="C453" s="8">
        <v>19</v>
      </c>
      <c r="D453" s="6" t="s">
        <v>2685</v>
      </c>
      <c r="E453" s="6" t="s">
        <v>2666</v>
      </c>
      <c r="F453" s="8">
        <v>11217</v>
      </c>
      <c r="G453" s="8">
        <v>0</v>
      </c>
      <c r="H453" s="8">
        <v>38500</v>
      </c>
      <c r="I453" s="8">
        <v>11217</v>
      </c>
      <c r="J453" s="8">
        <v>0</v>
      </c>
      <c r="K453" s="8">
        <v>11217</v>
      </c>
      <c r="L453" s="8">
        <v>0</v>
      </c>
    </row>
    <row r="454" spans="1:12" x14ac:dyDescent="0.25">
      <c r="A454" s="6" t="s">
        <v>61</v>
      </c>
      <c r="B454" s="6" t="s">
        <v>1823</v>
      </c>
      <c r="C454" s="8">
        <v>20</v>
      </c>
      <c r="D454" s="6" t="s">
        <v>2686</v>
      </c>
      <c r="E454" s="6" t="s">
        <v>2666</v>
      </c>
      <c r="F454" s="8">
        <v>11124</v>
      </c>
      <c r="G454" s="8">
        <v>0</v>
      </c>
      <c r="H454" s="8">
        <v>38500</v>
      </c>
      <c r="I454" s="8">
        <v>11124</v>
      </c>
      <c r="J454" s="8">
        <v>0</v>
      </c>
      <c r="K454" s="8">
        <v>11124</v>
      </c>
      <c r="L454" s="8">
        <v>0</v>
      </c>
    </row>
    <row r="455" spans="1:12" x14ac:dyDescent="0.25">
      <c r="A455" s="6" t="s">
        <v>61</v>
      </c>
      <c r="B455" s="6" t="s">
        <v>1823</v>
      </c>
      <c r="C455" s="8">
        <v>21</v>
      </c>
      <c r="D455" s="6" t="s">
        <v>2687</v>
      </c>
      <c r="E455" s="6" t="s">
        <v>2666</v>
      </c>
      <c r="F455" s="8">
        <v>11024</v>
      </c>
      <c r="G455" s="8">
        <v>0</v>
      </c>
      <c r="H455" s="8">
        <v>38500</v>
      </c>
      <c r="I455" s="8">
        <v>11024</v>
      </c>
      <c r="J455" s="8">
        <v>0</v>
      </c>
      <c r="K455" s="8">
        <v>11024</v>
      </c>
      <c r="L455" s="8">
        <v>0</v>
      </c>
    </row>
    <row r="456" spans="1:12" x14ac:dyDescent="0.25">
      <c r="A456" s="6" t="s">
        <v>61</v>
      </c>
      <c r="B456" s="6" t="s">
        <v>1823</v>
      </c>
      <c r="C456" s="8">
        <v>22</v>
      </c>
      <c r="D456" s="6" t="s">
        <v>2688</v>
      </c>
      <c r="E456" s="6" t="s">
        <v>2666</v>
      </c>
      <c r="F456" s="8">
        <v>10924</v>
      </c>
      <c r="G456" s="8">
        <v>0</v>
      </c>
      <c r="H456" s="8">
        <v>38500</v>
      </c>
      <c r="I456" s="8">
        <v>10924</v>
      </c>
      <c r="J456" s="8">
        <v>0</v>
      </c>
      <c r="K456" s="8">
        <v>10924</v>
      </c>
      <c r="L456" s="8">
        <v>0</v>
      </c>
    </row>
    <row r="457" spans="1:12" x14ac:dyDescent="0.25">
      <c r="A457" s="6" t="s">
        <v>61</v>
      </c>
      <c r="B457" s="6" t="s">
        <v>1823</v>
      </c>
      <c r="C457" s="8">
        <v>23</v>
      </c>
      <c r="D457" s="6" t="s">
        <v>2689</v>
      </c>
      <c r="E457" s="6" t="s">
        <v>2666</v>
      </c>
      <c r="F457" s="8">
        <v>10831</v>
      </c>
      <c r="G457" s="8">
        <v>0</v>
      </c>
      <c r="H457" s="8">
        <v>38500</v>
      </c>
      <c r="I457" s="8">
        <v>10831</v>
      </c>
      <c r="J457" s="8">
        <v>0</v>
      </c>
      <c r="K457" s="8">
        <v>10831</v>
      </c>
      <c r="L457" s="8">
        <v>0</v>
      </c>
    </row>
    <row r="458" spans="1:12" x14ac:dyDescent="0.25">
      <c r="A458" s="6" t="s">
        <v>61</v>
      </c>
      <c r="B458" s="6" t="s">
        <v>1646</v>
      </c>
      <c r="C458" s="8">
        <v>0</v>
      </c>
      <c r="D458" s="6" t="s">
        <v>2690</v>
      </c>
      <c r="E458" s="6" t="s">
        <v>2666</v>
      </c>
      <c r="F458" s="8">
        <v>10751</v>
      </c>
      <c r="G458" s="8">
        <v>0</v>
      </c>
      <c r="H458" s="8">
        <v>38500</v>
      </c>
      <c r="I458" s="8">
        <v>10751</v>
      </c>
      <c r="J458" s="8">
        <v>0</v>
      </c>
      <c r="K458" s="8">
        <v>10751</v>
      </c>
      <c r="L458" s="8">
        <v>0</v>
      </c>
    </row>
    <row r="459" spans="1:12" x14ac:dyDescent="0.25">
      <c r="A459" s="6" t="s">
        <v>61</v>
      </c>
      <c r="B459" s="6" t="s">
        <v>1646</v>
      </c>
      <c r="C459" s="8">
        <v>1</v>
      </c>
      <c r="D459" s="6" t="s">
        <v>2691</v>
      </c>
      <c r="E459" s="6" t="s">
        <v>2666</v>
      </c>
      <c r="F459" s="8">
        <v>10690</v>
      </c>
      <c r="G459" s="8">
        <v>0</v>
      </c>
      <c r="H459" s="8">
        <v>38500</v>
      </c>
      <c r="I459" s="8">
        <v>10690</v>
      </c>
      <c r="J459" s="8">
        <v>0</v>
      </c>
      <c r="K459" s="8">
        <v>10690</v>
      </c>
      <c r="L459" s="8">
        <v>0</v>
      </c>
    </row>
    <row r="460" spans="1:12" x14ac:dyDescent="0.25">
      <c r="A460" s="6" t="s">
        <v>61</v>
      </c>
      <c r="B460" s="6" t="s">
        <v>1646</v>
      </c>
      <c r="C460" s="8">
        <v>2</v>
      </c>
      <c r="D460" s="6" t="s">
        <v>2692</v>
      </c>
      <c r="E460" s="6" t="s">
        <v>2666</v>
      </c>
      <c r="F460" s="8">
        <v>10651</v>
      </c>
      <c r="G460" s="8">
        <v>0</v>
      </c>
      <c r="H460" s="8">
        <v>38500</v>
      </c>
      <c r="I460" s="8">
        <v>10651</v>
      </c>
      <c r="J460" s="8">
        <v>0</v>
      </c>
      <c r="K460" s="8">
        <v>10651</v>
      </c>
      <c r="L460" s="8">
        <v>0</v>
      </c>
    </row>
    <row r="461" spans="1:12" x14ac:dyDescent="0.25">
      <c r="A461" s="6" t="s">
        <v>61</v>
      </c>
      <c r="B461" s="6" t="s">
        <v>1646</v>
      </c>
      <c r="C461" s="8">
        <v>3</v>
      </c>
      <c r="D461" s="6" t="s">
        <v>2693</v>
      </c>
      <c r="E461" s="6" t="s">
        <v>2666</v>
      </c>
      <c r="F461" s="8">
        <v>10638</v>
      </c>
      <c r="G461" s="8">
        <v>0</v>
      </c>
      <c r="H461" s="8">
        <v>38500</v>
      </c>
      <c r="I461" s="8">
        <v>10638</v>
      </c>
      <c r="J461" s="8">
        <v>0</v>
      </c>
      <c r="K461" s="8">
        <v>10638</v>
      </c>
      <c r="L461" s="8">
        <v>0</v>
      </c>
    </row>
    <row r="462" spans="1:12" x14ac:dyDescent="0.25">
      <c r="A462" s="6" t="s">
        <v>61</v>
      </c>
      <c r="B462" s="6" t="s">
        <v>1646</v>
      </c>
      <c r="C462" s="8">
        <v>4</v>
      </c>
      <c r="D462" s="6" t="s">
        <v>2694</v>
      </c>
      <c r="E462" s="6" t="s">
        <v>2666</v>
      </c>
      <c r="F462" s="8">
        <v>10651</v>
      </c>
      <c r="G462" s="8">
        <v>0</v>
      </c>
      <c r="H462" s="8">
        <v>38500</v>
      </c>
      <c r="I462" s="8">
        <v>10651</v>
      </c>
      <c r="J462" s="8">
        <v>0</v>
      </c>
      <c r="K462" s="8">
        <v>10651</v>
      </c>
      <c r="L462" s="8">
        <v>0</v>
      </c>
    </row>
    <row r="463" spans="1:12" x14ac:dyDescent="0.25">
      <c r="A463" s="6" t="s">
        <v>61</v>
      </c>
      <c r="B463" s="6" t="s">
        <v>1646</v>
      </c>
      <c r="C463" s="8">
        <v>5</v>
      </c>
      <c r="D463" s="6" t="s">
        <v>2695</v>
      </c>
      <c r="E463" s="6" t="s">
        <v>2666</v>
      </c>
      <c r="F463" s="8">
        <v>10690</v>
      </c>
      <c r="G463" s="8">
        <v>0</v>
      </c>
      <c r="H463" s="8">
        <v>38500</v>
      </c>
      <c r="I463" s="8">
        <v>10690</v>
      </c>
      <c r="J463" s="8">
        <v>0</v>
      </c>
      <c r="K463" s="8">
        <v>10690</v>
      </c>
      <c r="L463" s="8">
        <v>0</v>
      </c>
    </row>
    <row r="464" spans="1:12" x14ac:dyDescent="0.25">
      <c r="A464" s="6" t="s">
        <v>61</v>
      </c>
      <c r="B464" s="6" t="s">
        <v>1646</v>
      </c>
      <c r="C464" s="8">
        <v>6</v>
      </c>
      <c r="D464" s="6" t="s">
        <v>2696</v>
      </c>
      <c r="E464" s="6" t="s">
        <v>2666</v>
      </c>
      <c r="F464" s="8">
        <v>10751</v>
      </c>
      <c r="G464" s="8">
        <v>381</v>
      </c>
      <c r="H464" s="8">
        <v>38500</v>
      </c>
      <c r="I464" s="8">
        <v>10370</v>
      </c>
      <c r="J464" s="8">
        <v>381</v>
      </c>
      <c r="K464" s="8">
        <v>10370</v>
      </c>
      <c r="L464" s="10">
        <v>3.5</v>
      </c>
    </row>
    <row r="465" spans="1:12" x14ac:dyDescent="0.25">
      <c r="A465" s="6" t="s">
        <v>61</v>
      </c>
      <c r="B465" s="6" t="s">
        <v>1646</v>
      </c>
      <c r="C465" s="8">
        <v>7</v>
      </c>
      <c r="D465" s="6" t="s">
        <v>2697</v>
      </c>
      <c r="E465" s="6" t="s">
        <v>2666</v>
      </c>
      <c r="F465" s="8">
        <v>10831</v>
      </c>
      <c r="G465" s="8">
        <v>2383</v>
      </c>
      <c r="H465" s="8">
        <v>38500</v>
      </c>
      <c r="I465" s="8">
        <v>8448</v>
      </c>
      <c r="J465" s="8">
        <v>2383</v>
      </c>
      <c r="K465" s="8">
        <v>8448</v>
      </c>
      <c r="L465" s="8">
        <v>22</v>
      </c>
    </row>
    <row r="466" spans="1:12" x14ac:dyDescent="0.25">
      <c r="A466" s="6" t="s">
        <v>61</v>
      </c>
      <c r="B466" s="6" t="s">
        <v>1646</v>
      </c>
      <c r="C466" s="8">
        <v>8</v>
      </c>
      <c r="D466" s="6" t="s">
        <v>2698</v>
      </c>
      <c r="E466" s="6" t="s">
        <v>2666</v>
      </c>
      <c r="F466" s="8">
        <v>10924</v>
      </c>
      <c r="G466" s="8">
        <v>5309</v>
      </c>
      <c r="H466" s="8">
        <v>38500</v>
      </c>
      <c r="I466" s="8">
        <v>5615</v>
      </c>
      <c r="J466" s="8">
        <v>5309</v>
      </c>
      <c r="K466" s="8">
        <v>5615</v>
      </c>
      <c r="L466" s="10">
        <v>48.6</v>
      </c>
    </row>
    <row r="467" spans="1:12" x14ac:dyDescent="0.25">
      <c r="A467" s="6" t="s">
        <v>61</v>
      </c>
      <c r="B467" s="6" t="s">
        <v>1646</v>
      </c>
      <c r="C467" s="8">
        <v>9</v>
      </c>
      <c r="D467" s="6" t="s">
        <v>2699</v>
      </c>
      <c r="E467" s="6" t="s">
        <v>2666</v>
      </c>
      <c r="F467" s="8">
        <v>11024</v>
      </c>
      <c r="G467" s="8">
        <v>8485</v>
      </c>
      <c r="H467" s="8">
        <v>38500</v>
      </c>
      <c r="I467" s="8">
        <v>2539</v>
      </c>
      <c r="J467" s="8">
        <v>8485</v>
      </c>
      <c r="K467" s="8">
        <v>2539</v>
      </c>
      <c r="L467" s="8">
        <v>77</v>
      </c>
    </row>
    <row r="468" spans="1:12" x14ac:dyDescent="0.25">
      <c r="A468" s="6" t="s">
        <v>61</v>
      </c>
      <c r="B468" s="6" t="s">
        <v>1646</v>
      </c>
      <c r="C468" s="8">
        <v>10</v>
      </c>
      <c r="D468" s="6" t="s">
        <v>2700</v>
      </c>
      <c r="E468" s="6" t="s">
        <v>2666</v>
      </c>
      <c r="F468" s="8">
        <v>11124</v>
      </c>
      <c r="G468" s="8">
        <v>11291</v>
      </c>
      <c r="H468" s="8">
        <v>38500</v>
      </c>
      <c r="I468" s="8">
        <v>0</v>
      </c>
      <c r="J468" s="8">
        <v>11124</v>
      </c>
      <c r="K468" s="8">
        <v>0</v>
      </c>
      <c r="L468" s="8">
        <v>100</v>
      </c>
    </row>
    <row r="469" spans="1:12" x14ac:dyDescent="0.25">
      <c r="A469" s="6" t="s">
        <v>61</v>
      </c>
      <c r="B469" s="6" t="s">
        <v>1646</v>
      </c>
      <c r="C469" s="8">
        <v>11</v>
      </c>
      <c r="D469" s="6" t="s">
        <v>2701</v>
      </c>
      <c r="E469" s="6" t="s">
        <v>2666</v>
      </c>
      <c r="F469" s="8">
        <v>11217</v>
      </c>
      <c r="G469" s="8">
        <v>13206</v>
      </c>
      <c r="H469" s="8">
        <v>38500</v>
      </c>
      <c r="I469" s="8">
        <v>0</v>
      </c>
      <c r="J469" s="8">
        <v>11217</v>
      </c>
      <c r="K469" s="8">
        <v>0</v>
      </c>
      <c r="L469" s="8">
        <v>100</v>
      </c>
    </row>
    <row r="470" spans="1:12" x14ac:dyDescent="0.25">
      <c r="A470" s="6" t="s">
        <v>61</v>
      </c>
      <c r="B470" s="6" t="s">
        <v>1646</v>
      </c>
      <c r="C470" s="8">
        <v>12</v>
      </c>
      <c r="D470" s="6" t="s">
        <v>2702</v>
      </c>
      <c r="E470" s="6" t="s">
        <v>2666</v>
      </c>
      <c r="F470" s="8">
        <v>11297</v>
      </c>
      <c r="G470" s="8">
        <v>13885</v>
      </c>
      <c r="H470" s="8">
        <v>38500</v>
      </c>
      <c r="I470" s="8">
        <v>0</v>
      </c>
      <c r="J470" s="8">
        <v>11297</v>
      </c>
      <c r="K470" s="8">
        <v>0</v>
      </c>
      <c r="L470" s="8">
        <v>100</v>
      </c>
    </row>
    <row r="471" spans="1:12" x14ac:dyDescent="0.25">
      <c r="A471" s="6" t="s">
        <v>61</v>
      </c>
      <c r="B471" s="6" t="s">
        <v>1646</v>
      </c>
      <c r="C471" s="8">
        <v>13</v>
      </c>
      <c r="D471" s="6" t="s">
        <v>2703</v>
      </c>
      <c r="E471" s="6" t="s">
        <v>2666</v>
      </c>
      <c r="F471" s="8">
        <v>11358</v>
      </c>
      <c r="G471" s="8">
        <v>13206</v>
      </c>
      <c r="H471" s="8">
        <v>38500</v>
      </c>
      <c r="I471" s="8">
        <v>0</v>
      </c>
      <c r="J471" s="8">
        <v>11358</v>
      </c>
      <c r="K471" s="8">
        <v>0</v>
      </c>
      <c r="L471" s="8">
        <v>100</v>
      </c>
    </row>
    <row r="472" spans="1:12" x14ac:dyDescent="0.25">
      <c r="A472" s="6" t="s">
        <v>61</v>
      </c>
      <c r="B472" s="6" t="s">
        <v>1646</v>
      </c>
      <c r="C472" s="8">
        <v>14</v>
      </c>
      <c r="D472" s="6" t="s">
        <v>2704</v>
      </c>
      <c r="E472" s="6" t="s">
        <v>2666</v>
      </c>
      <c r="F472" s="8">
        <v>11397</v>
      </c>
      <c r="G472" s="8">
        <v>11291</v>
      </c>
      <c r="H472" s="8">
        <v>38500</v>
      </c>
      <c r="I472" s="8">
        <v>106</v>
      </c>
      <c r="J472" s="8">
        <v>11291</v>
      </c>
      <c r="K472" s="8">
        <v>106</v>
      </c>
      <c r="L472" s="10">
        <v>99.1</v>
      </c>
    </row>
    <row r="473" spans="1:12" x14ac:dyDescent="0.25">
      <c r="A473" s="6" t="s">
        <v>61</v>
      </c>
      <c r="B473" s="6" t="s">
        <v>1646</v>
      </c>
      <c r="C473" s="8">
        <v>15</v>
      </c>
      <c r="D473" s="6" t="s">
        <v>2705</v>
      </c>
      <c r="E473" s="6" t="s">
        <v>2666</v>
      </c>
      <c r="F473" s="8">
        <v>11410</v>
      </c>
      <c r="G473" s="8">
        <v>8485</v>
      </c>
      <c r="H473" s="8">
        <v>38500</v>
      </c>
      <c r="I473" s="8">
        <v>2925</v>
      </c>
      <c r="J473" s="8">
        <v>8485</v>
      </c>
      <c r="K473" s="8">
        <v>2925</v>
      </c>
      <c r="L473" s="10">
        <v>74.4</v>
      </c>
    </row>
    <row r="474" spans="1:12" x14ac:dyDescent="0.25">
      <c r="A474" s="6" t="s">
        <v>61</v>
      </c>
      <c r="B474" s="6" t="s">
        <v>1646</v>
      </c>
      <c r="C474" s="8">
        <v>16</v>
      </c>
      <c r="D474" s="6" t="s">
        <v>2706</v>
      </c>
      <c r="E474" s="6" t="s">
        <v>2666</v>
      </c>
      <c r="F474" s="8">
        <v>11397</v>
      </c>
      <c r="G474" s="8">
        <v>5309</v>
      </c>
      <c r="H474" s="8">
        <v>38500</v>
      </c>
      <c r="I474" s="8">
        <v>6088</v>
      </c>
      <c r="J474" s="8">
        <v>5309</v>
      </c>
      <c r="K474" s="8">
        <v>6088</v>
      </c>
      <c r="L474" s="10">
        <v>46.6</v>
      </c>
    </row>
    <row r="475" spans="1:12" x14ac:dyDescent="0.25">
      <c r="A475" s="6" t="s">
        <v>61</v>
      </c>
      <c r="B475" s="6" t="s">
        <v>1646</v>
      </c>
      <c r="C475" s="8">
        <v>17</v>
      </c>
      <c r="D475" s="6" t="s">
        <v>2707</v>
      </c>
      <c r="E475" s="6" t="s">
        <v>2666</v>
      </c>
      <c r="F475" s="8">
        <v>11358</v>
      </c>
      <c r="G475" s="8">
        <v>2383</v>
      </c>
      <c r="H475" s="8">
        <v>38500</v>
      </c>
      <c r="I475" s="8">
        <v>8975</v>
      </c>
      <c r="J475" s="8">
        <v>2383</v>
      </c>
      <c r="K475" s="8">
        <v>8975</v>
      </c>
      <c r="L475" s="8">
        <v>21</v>
      </c>
    </row>
    <row r="476" spans="1:12" x14ac:dyDescent="0.25">
      <c r="A476" s="6" t="s">
        <v>61</v>
      </c>
      <c r="B476" s="6" t="s">
        <v>1646</v>
      </c>
      <c r="C476" s="8">
        <v>18</v>
      </c>
      <c r="D476" s="6" t="s">
        <v>2708</v>
      </c>
      <c r="E476" s="6" t="s">
        <v>2666</v>
      </c>
      <c r="F476" s="8">
        <v>11297</v>
      </c>
      <c r="G476" s="8">
        <v>381</v>
      </c>
      <c r="H476" s="8">
        <v>38500</v>
      </c>
      <c r="I476" s="8">
        <v>10916</v>
      </c>
      <c r="J476" s="8">
        <v>381</v>
      </c>
      <c r="K476" s="8">
        <v>10916</v>
      </c>
      <c r="L476" s="10">
        <v>3.4</v>
      </c>
    </row>
    <row r="477" spans="1:12" x14ac:dyDescent="0.25">
      <c r="A477" s="6" t="s">
        <v>61</v>
      </c>
      <c r="B477" s="6" t="s">
        <v>1646</v>
      </c>
      <c r="C477" s="8">
        <v>19</v>
      </c>
      <c r="D477" s="6" t="s">
        <v>2709</v>
      </c>
      <c r="E477" s="6" t="s">
        <v>2666</v>
      </c>
      <c r="F477" s="8">
        <v>11217</v>
      </c>
      <c r="G477" s="8">
        <v>0</v>
      </c>
      <c r="H477" s="8">
        <v>38500</v>
      </c>
      <c r="I477" s="8">
        <v>11217</v>
      </c>
      <c r="J477" s="8">
        <v>0</v>
      </c>
      <c r="K477" s="8">
        <v>11217</v>
      </c>
      <c r="L477" s="8">
        <v>0</v>
      </c>
    </row>
    <row r="478" spans="1:12" x14ac:dyDescent="0.25">
      <c r="A478" s="6" t="s">
        <v>61</v>
      </c>
      <c r="B478" s="6" t="s">
        <v>1646</v>
      </c>
      <c r="C478" s="8">
        <v>20</v>
      </c>
      <c r="D478" s="6" t="s">
        <v>2710</v>
      </c>
      <c r="E478" s="6" t="s">
        <v>2666</v>
      </c>
      <c r="F478" s="8">
        <v>11124</v>
      </c>
      <c r="G478" s="8">
        <v>0</v>
      </c>
      <c r="H478" s="8">
        <v>38500</v>
      </c>
      <c r="I478" s="8">
        <v>11124</v>
      </c>
      <c r="J478" s="8">
        <v>0</v>
      </c>
      <c r="K478" s="8">
        <v>11124</v>
      </c>
      <c r="L478" s="8">
        <v>0</v>
      </c>
    </row>
    <row r="479" spans="1:12" x14ac:dyDescent="0.25">
      <c r="A479" s="6" t="s">
        <v>61</v>
      </c>
      <c r="B479" s="6" t="s">
        <v>1646</v>
      </c>
      <c r="C479" s="8">
        <v>21</v>
      </c>
      <c r="D479" s="6" t="s">
        <v>2711</v>
      </c>
      <c r="E479" s="6" t="s">
        <v>2666</v>
      </c>
      <c r="F479" s="8">
        <v>11024</v>
      </c>
      <c r="G479" s="8">
        <v>0</v>
      </c>
      <c r="H479" s="8">
        <v>38500</v>
      </c>
      <c r="I479" s="8">
        <v>11024</v>
      </c>
      <c r="J479" s="8">
        <v>0</v>
      </c>
      <c r="K479" s="8">
        <v>11024</v>
      </c>
      <c r="L479" s="8">
        <v>0</v>
      </c>
    </row>
    <row r="480" spans="1:12" x14ac:dyDescent="0.25">
      <c r="A480" s="6" t="s">
        <v>61</v>
      </c>
      <c r="B480" s="6" t="s">
        <v>1646</v>
      </c>
      <c r="C480" s="8">
        <v>22</v>
      </c>
      <c r="D480" s="6" t="s">
        <v>2712</v>
      </c>
      <c r="E480" s="6" t="s">
        <v>2666</v>
      </c>
      <c r="F480" s="8">
        <v>10924</v>
      </c>
      <c r="G480" s="8">
        <v>0</v>
      </c>
      <c r="H480" s="8">
        <v>38500</v>
      </c>
      <c r="I480" s="8">
        <v>10924</v>
      </c>
      <c r="J480" s="8">
        <v>0</v>
      </c>
      <c r="K480" s="8">
        <v>10924</v>
      </c>
      <c r="L480" s="8">
        <v>0</v>
      </c>
    </row>
    <row r="481" spans="1:12" x14ac:dyDescent="0.25">
      <c r="A481" s="6" t="s">
        <v>61</v>
      </c>
      <c r="B481" s="6" t="s">
        <v>1646</v>
      </c>
      <c r="C481" s="8">
        <v>23</v>
      </c>
      <c r="D481" s="6" t="s">
        <v>2713</v>
      </c>
      <c r="E481" s="6" t="s">
        <v>2666</v>
      </c>
      <c r="F481" s="8">
        <v>10831</v>
      </c>
      <c r="G481" s="8">
        <v>0</v>
      </c>
      <c r="H481" s="8">
        <v>38500</v>
      </c>
      <c r="I481" s="8">
        <v>10831</v>
      </c>
      <c r="J481" s="8">
        <v>0</v>
      </c>
      <c r="K481" s="8">
        <v>10831</v>
      </c>
      <c r="L481" s="8">
        <v>0</v>
      </c>
    </row>
    <row r="482" spans="1:12" x14ac:dyDescent="0.25">
      <c r="A482" s="6" t="s">
        <v>61</v>
      </c>
      <c r="B482" s="6" t="s">
        <v>2714</v>
      </c>
      <c r="C482" s="8">
        <v>0</v>
      </c>
      <c r="D482" s="6" t="s">
        <v>2715</v>
      </c>
      <c r="E482" s="6" t="s">
        <v>2666</v>
      </c>
      <c r="F482" s="8">
        <v>10817</v>
      </c>
      <c r="G482" s="8">
        <v>0</v>
      </c>
      <c r="H482" s="8">
        <v>38500</v>
      </c>
      <c r="I482" s="8">
        <v>10817</v>
      </c>
      <c r="J482" s="8">
        <v>0</v>
      </c>
      <c r="K482" s="8">
        <v>10817</v>
      </c>
      <c r="L482" s="8">
        <v>0</v>
      </c>
    </row>
    <row r="483" spans="1:12" x14ac:dyDescent="0.25">
      <c r="A483" s="6" t="s">
        <v>61</v>
      </c>
      <c r="B483" s="6" t="s">
        <v>2714</v>
      </c>
      <c r="C483" s="8">
        <v>1</v>
      </c>
      <c r="D483" s="6" t="s">
        <v>2716</v>
      </c>
      <c r="E483" s="6" t="s">
        <v>2666</v>
      </c>
      <c r="F483" s="8">
        <v>10755</v>
      </c>
      <c r="G483" s="8">
        <v>0</v>
      </c>
      <c r="H483" s="8">
        <v>38500</v>
      </c>
      <c r="I483" s="8">
        <v>10755</v>
      </c>
      <c r="J483" s="8">
        <v>0</v>
      </c>
      <c r="K483" s="8">
        <v>10755</v>
      </c>
      <c r="L483" s="8">
        <v>0</v>
      </c>
    </row>
    <row r="484" spans="1:12" x14ac:dyDescent="0.25">
      <c r="A484" s="6" t="s">
        <v>61</v>
      </c>
      <c r="B484" s="6" t="s">
        <v>2714</v>
      </c>
      <c r="C484" s="8">
        <v>2</v>
      </c>
      <c r="D484" s="6" t="s">
        <v>2717</v>
      </c>
      <c r="E484" s="6" t="s">
        <v>2666</v>
      </c>
      <c r="F484" s="8">
        <v>10716</v>
      </c>
      <c r="G484" s="8">
        <v>0</v>
      </c>
      <c r="H484" s="8">
        <v>38500</v>
      </c>
      <c r="I484" s="8">
        <v>10716</v>
      </c>
      <c r="J484" s="8">
        <v>0</v>
      </c>
      <c r="K484" s="8">
        <v>10716</v>
      </c>
      <c r="L484" s="8">
        <v>0</v>
      </c>
    </row>
    <row r="485" spans="1:12" x14ac:dyDescent="0.25">
      <c r="A485" s="6" t="s">
        <v>61</v>
      </c>
      <c r="B485" s="6" t="s">
        <v>2714</v>
      </c>
      <c r="C485" s="8">
        <v>3</v>
      </c>
      <c r="D485" s="6" t="s">
        <v>2718</v>
      </c>
      <c r="E485" s="6" t="s">
        <v>2666</v>
      </c>
      <c r="F485" s="8">
        <v>10703</v>
      </c>
      <c r="G485" s="8">
        <v>0</v>
      </c>
      <c r="H485" s="8">
        <v>38500</v>
      </c>
      <c r="I485" s="8">
        <v>10703</v>
      </c>
      <c r="J485" s="8">
        <v>0</v>
      </c>
      <c r="K485" s="8">
        <v>10703</v>
      </c>
      <c r="L485" s="8">
        <v>0</v>
      </c>
    </row>
    <row r="486" spans="1:12" x14ac:dyDescent="0.25">
      <c r="A486" s="6" t="s">
        <v>61</v>
      </c>
      <c r="B486" s="6" t="s">
        <v>2714</v>
      </c>
      <c r="C486" s="8">
        <v>4</v>
      </c>
      <c r="D486" s="6" t="s">
        <v>2719</v>
      </c>
      <c r="E486" s="6" t="s">
        <v>2666</v>
      </c>
      <c r="F486" s="8">
        <v>10716</v>
      </c>
      <c r="G486" s="8">
        <v>0</v>
      </c>
      <c r="H486" s="8">
        <v>38500</v>
      </c>
      <c r="I486" s="8">
        <v>10716</v>
      </c>
      <c r="J486" s="8">
        <v>0</v>
      </c>
      <c r="K486" s="8">
        <v>10716</v>
      </c>
      <c r="L486" s="8">
        <v>0</v>
      </c>
    </row>
    <row r="487" spans="1:12" x14ac:dyDescent="0.25">
      <c r="A487" s="6" t="s">
        <v>61</v>
      </c>
      <c r="B487" s="6" t="s">
        <v>2714</v>
      </c>
      <c r="C487" s="8">
        <v>5</v>
      </c>
      <c r="D487" s="6" t="s">
        <v>2720</v>
      </c>
      <c r="E487" s="6" t="s">
        <v>2666</v>
      </c>
      <c r="F487" s="8">
        <v>10755</v>
      </c>
      <c r="G487" s="8">
        <v>0</v>
      </c>
      <c r="H487" s="8">
        <v>38500</v>
      </c>
      <c r="I487" s="8">
        <v>10755</v>
      </c>
      <c r="J487" s="8">
        <v>0</v>
      </c>
      <c r="K487" s="8">
        <v>10755</v>
      </c>
      <c r="L487" s="8">
        <v>0</v>
      </c>
    </row>
    <row r="488" spans="1:12" x14ac:dyDescent="0.25">
      <c r="A488" s="6" t="s">
        <v>61</v>
      </c>
      <c r="B488" s="6" t="s">
        <v>2714</v>
      </c>
      <c r="C488" s="8">
        <v>6</v>
      </c>
      <c r="D488" s="6" t="s">
        <v>2721</v>
      </c>
      <c r="E488" s="6" t="s">
        <v>2666</v>
      </c>
      <c r="F488" s="8">
        <v>10817</v>
      </c>
      <c r="G488" s="8">
        <v>377</v>
      </c>
      <c r="H488" s="8">
        <v>38500</v>
      </c>
      <c r="I488" s="8">
        <v>10440</v>
      </c>
      <c r="J488" s="8">
        <v>377</v>
      </c>
      <c r="K488" s="8">
        <v>10440</v>
      </c>
      <c r="L488" s="10">
        <v>3.5</v>
      </c>
    </row>
    <row r="489" spans="1:12" x14ac:dyDescent="0.25">
      <c r="A489" s="6" t="s">
        <v>61</v>
      </c>
      <c r="B489" s="6" t="s">
        <v>2714</v>
      </c>
      <c r="C489" s="8">
        <v>7</v>
      </c>
      <c r="D489" s="6" t="s">
        <v>2722</v>
      </c>
      <c r="E489" s="6" t="s">
        <v>2666</v>
      </c>
      <c r="F489" s="8">
        <v>10897</v>
      </c>
      <c r="G489" s="8">
        <v>2359</v>
      </c>
      <c r="H489" s="8">
        <v>38500</v>
      </c>
      <c r="I489" s="8">
        <v>8538</v>
      </c>
      <c r="J489" s="8">
        <v>2359</v>
      </c>
      <c r="K489" s="8">
        <v>8538</v>
      </c>
      <c r="L489" s="10">
        <v>21.6</v>
      </c>
    </row>
    <row r="490" spans="1:12" x14ac:dyDescent="0.25">
      <c r="A490" s="6" t="s">
        <v>61</v>
      </c>
      <c r="B490" s="6" t="s">
        <v>2714</v>
      </c>
      <c r="C490" s="8">
        <v>8</v>
      </c>
      <c r="D490" s="6" t="s">
        <v>2723</v>
      </c>
      <c r="E490" s="6" t="s">
        <v>2666</v>
      </c>
      <c r="F490" s="8">
        <v>10991</v>
      </c>
      <c r="G490" s="8">
        <v>5255</v>
      </c>
      <c r="H490" s="8">
        <v>38500</v>
      </c>
      <c r="I490" s="8">
        <v>5736</v>
      </c>
      <c r="J490" s="8">
        <v>5255</v>
      </c>
      <c r="K490" s="8">
        <v>5736</v>
      </c>
      <c r="L490" s="10">
        <v>47.8</v>
      </c>
    </row>
    <row r="491" spans="1:12" x14ac:dyDescent="0.25">
      <c r="A491" s="6" t="s">
        <v>61</v>
      </c>
      <c r="B491" s="6" t="s">
        <v>2714</v>
      </c>
      <c r="C491" s="8">
        <v>9</v>
      </c>
      <c r="D491" s="6" t="s">
        <v>2724</v>
      </c>
      <c r="E491" s="6" t="s">
        <v>2666</v>
      </c>
      <c r="F491" s="8">
        <v>11091</v>
      </c>
      <c r="G491" s="8">
        <v>8399</v>
      </c>
      <c r="H491" s="8">
        <v>38500</v>
      </c>
      <c r="I491" s="8">
        <v>2692</v>
      </c>
      <c r="J491" s="8">
        <v>8399</v>
      </c>
      <c r="K491" s="8">
        <v>2692</v>
      </c>
      <c r="L491" s="10">
        <v>75.7</v>
      </c>
    </row>
    <row r="492" spans="1:12" x14ac:dyDescent="0.25">
      <c r="A492" s="6" t="s">
        <v>61</v>
      </c>
      <c r="B492" s="6" t="s">
        <v>2714</v>
      </c>
      <c r="C492" s="8">
        <v>10</v>
      </c>
      <c r="D492" s="6" t="s">
        <v>2725</v>
      </c>
      <c r="E492" s="6" t="s">
        <v>2666</v>
      </c>
      <c r="F492" s="8">
        <v>11192</v>
      </c>
      <c r="G492" s="8">
        <v>11175</v>
      </c>
      <c r="H492" s="8">
        <v>38500</v>
      </c>
      <c r="I492" s="8">
        <v>17</v>
      </c>
      <c r="J492" s="8">
        <v>11175</v>
      </c>
      <c r="K492" s="8">
        <v>17</v>
      </c>
      <c r="L492" s="10">
        <v>99.8</v>
      </c>
    </row>
    <row r="493" spans="1:12" x14ac:dyDescent="0.25">
      <c r="A493" s="6" t="s">
        <v>61</v>
      </c>
      <c r="B493" s="6" t="s">
        <v>2714</v>
      </c>
      <c r="C493" s="8">
        <v>11</v>
      </c>
      <c r="D493" s="6" t="s">
        <v>2726</v>
      </c>
      <c r="E493" s="6" t="s">
        <v>2666</v>
      </c>
      <c r="F493" s="8">
        <v>11285</v>
      </c>
      <c r="G493" s="8">
        <v>13071</v>
      </c>
      <c r="H493" s="8">
        <v>38500</v>
      </c>
      <c r="I493" s="8">
        <v>0</v>
      </c>
      <c r="J493" s="8">
        <v>11285</v>
      </c>
      <c r="K493" s="8">
        <v>0</v>
      </c>
      <c r="L493" s="8">
        <v>100</v>
      </c>
    </row>
    <row r="494" spans="1:12" x14ac:dyDescent="0.25">
      <c r="A494" s="6" t="s">
        <v>61</v>
      </c>
      <c r="B494" s="6" t="s">
        <v>2714</v>
      </c>
      <c r="C494" s="8">
        <v>12</v>
      </c>
      <c r="D494" s="6" t="s">
        <v>2727</v>
      </c>
      <c r="E494" s="6" t="s">
        <v>2666</v>
      </c>
      <c r="F494" s="8">
        <v>11366</v>
      </c>
      <c r="G494" s="8">
        <v>13743</v>
      </c>
      <c r="H494" s="8">
        <v>38500</v>
      </c>
      <c r="I494" s="8">
        <v>0</v>
      </c>
      <c r="J494" s="8">
        <v>11366</v>
      </c>
      <c r="K494" s="8">
        <v>0</v>
      </c>
      <c r="L494" s="8">
        <v>100</v>
      </c>
    </row>
    <row r="495" spans="1:12" x14ac:dyDescent="0.25">
      <c r="A495" s="6" t="s">
        <v>61</v>
      </c>
      <c r="B495" s="6" t="s">
        <v>2714</v>
      </c>
      <c r="C495" s="8">
        <v>13</v>
      </c>
      <c r="D495" s="6" t="s">
        <v>2728</v>
      </c>
      <c r="E495" s="6" t="s">
        <v>2666</v>
      </c>
      <c r="F495" s="8">
        <v>11427</v>
      </c>
      <c r="G495" s="8">
        <v>13071</v>
      </c>
      <c r="H495" s="8">
        <v>38500</v>
      </c>
      <c r="I495" s="8">
        <v>0</v>
      </c>
      <c r="J495" s="8">
        <v>11427</v>
      </c>
      <c r="K495" s="8">
        <v>0</v>
      </c>
      <c r="L495" s="8">
        <v>100</v>
      </c>
    </row>
    <row r="496" spans="1:12" x14ac:dyDescent="0.25">
      <c r="A496" s="6" t="s">
        <v>61</v>
      </c>
      <c r="B496" s="6" t="s">
        <v>2714</v>
      </c>
      <c r="C496" s="8">
        <v>14</v>
      </c>
      <c r="D496" s="6" t="s">
        <v>2729</v>
      </c>
      <c r="E496" s="6" t="s">
        <v>2666</v>
      </c>
      <c r="F496" s="8">
        <v>11466</v>
      </c>
      <c r="G496" s="8">
        <v>11175</v>
      </c>
      <c r="H496" s="8">
        <v>38500</v>
      </c>
      <c r="I496" s="8">
        <v>291</v>
      </c>
      <c r="J496" s="8">
        <v>11175</v>
      </c>
      <c r="K496" s="8">
        <v>291</v>
      </c>
      <c r="L496" s="10">
        <v>97.5</v>
      </c>
    </row>
    <row r="497" spans="1:12" x14ac:dyDescent="0.25">
      <c r="A497" s="6" t="s">
        <v>61</v>
      </c>
      <c r="B497" s="6" t="s">
        <v>2714</v>
      </c>
      <c r="C497" s="8">
        <v>15</v>
      </c>
      <c r="D497" s="6" t="s">
        <v>2730</v>
      </c>
      <c r="E497" s="6" t="s">
        <v>2666</v>
      </c>
      <c r="F497" s="8">
        <v>11479</v>
      </c>
      <c r="G497" s="8">
        <v>8399</v>
      </c>
      <c r="H497" s="8">
        <v>38500</v>
      </c>
      <c r="I497" s="8">
        <v>3080</v>
      </c>
      <c r="J497" s="8">
        <v>8399</v>
      </c>
      <c r="K497" s="8">
        <v>3080</v>
      </c>
      <c r="L497" s="10">
        <v>73.2</v>
      </c>
    </row>
    <row r="498" spans="1:12" x14ac:dyDescent="0.25">
      <c r="A498" s="6" t="s">
        <v>61</v>
      </c>
      <c r="B498" s="6" t="s">
        <v>2714</v>
      </c>
      <c r="C498" s="8">
        <v>16</v>
      </c>
      <c r="D498" s="6" t="s">
        <v>2731</v>
      </c>
      <c r="E498" s="6" t="s">
        <v>2666</v>
      </c>
      <c r="F498" s="8">
        <v>11466</v>
      </c>
      <c r="G498" s="8">
        <v>5255</v>
      </c>
      <c r="H498" s="8">
        <v>38500</v>
      </c>
      <c r="I498" s="8">
        <v>6211</v>
      </c>
      <c r="J498" s="8">
        <v>5255</v>
      </c>
      <c r="K498" s="8">
        <v>6211</v>
      </c>
      <c r="L498" s="10">
        <v>45.8</v>
      </c>
    </row>
    <row r="499" spans="1:12" x14ac:dyDescent="0.25">
      <c r="A499" s="6" t="s">
        <v>61</v>
      </c>
      <c r="B499" s="6" t="s">
        <v>2714</v>
      </c>
      <c r="C499" s="8">
        <v>17</v>
      </c>
      <c r="D499" s="6" t="s">
        <v>2732</v>
      </c>
      <c r="E499" s="6" t="s">
        <v>2666</v>
      </c>
      <c r="F499" s="8">
        <v>11427</v>
      </c>
      <c r="G499" s="8">
        <v>2359</v>
      </c>
      <c r="H499" s="8">
        <v>38500</v>
      </c>
      <c r="I499" s="8">
        <v>9068</v>
      </c>
      <c r="J499" s="8">
        <v>2359</v>
      </c>
      <c r="K499" s="8">
        <v>9068</v>
      </c>
      <c r="L499" s="10">
        <v>20.6</v>
      </c>
    </row>
    <row r="500" spans="1:12" x14ac:dyDescent="0.25">
      <c r="A500" s="6" t="s">
        <v>61</v>
      </c>
      <c r="B500" s="6" t="s">
        <v>2714</v>
      </c>
      <c r="C500" s="8">
        <v>18</v>
      </c>
      <c r="D500" s="6" t="s">
        <v>2733</v>
      </c>
      <c r="E500" s="6" t="s">
        <v>2666</v>
      </c>
      <c r="F500" s="8">
        <v>11366</v>
      </c>
      <c r="G500" s="8">
        <v>377</v>
      </c>
      <c r="H500" s="8">
        <v>38500</v>
      </c>
      <c r="I500" s="8">
        <v>10989</v>
      </c>
      <c r="J500" s="8">
        <v>377</v>
      </c>
      <c r="K500" s="8">
        <v>10989</v>
      </c>
      <c r="L500" s="10">
        <v>3.3</v>
      </c>
    </row>
    <row r="501" spans="1:12" x14ac:dyDescent="0.25">
      <c r="A501" s="6" t="s">
        <v>61</v>
      </c>
      <c r="B501" s="6" t="s">
        <v>2714</v>
      </c>
      <c r="C501" s="8">
        <v>19</v>
      </c>
      <c r="D501" s="6" t="s">
        <v>2734</v>
      </c>
      <c r="E501" s="6" t="s">
        <v>2666</v>
      </c>
      <c r="F501" s="8">
        <v>11285</v>
      </c>
      <c r="G501" s="8">
        <v>0</v>
      </c>
      <c r="H501" s="8">
        <v>38500</v>
      </c>
      <c r="I501" s="8">
        <v>11285</v>
      </c>
      <c r="J501" s="8">
        <v>0</v>
      </c>
      <c r="K501" s="8">
        <v>11285</v>
      </c>
      <c r="L501" s="8">
        <v>0</v>
      </c>
    </row>
    <row r="502" spans="1:12" x14ac:dyDescent="0.25">
      <c r="A502" s="6" t="s">
        <v>61</v>
      </c>
      <c r="B502" s="6" t="s">
        <v>2714</v>
      </c>
      <c r="C502" s="8">
        <v>20</v>
      </c>
      <c r="D502" s="6" t="s">
        <v>2735</v>
      </c>
      <c r="E502" s="6" t="s">
        <v>2666</v>
      </c>
      <c r="F502" s="8">
        <v>11192</v>
      </c>
      <c r="G502" s="8">
        <v>0</v>
      </c>
      <c r="H502" s="8">
        <v>38500</v>
      </c>
      <c r="I502" s="8">
        <v>11192</v>
      </c>
      <c r="J502" s="8">
        <v>0</v>
      </c>
      <c r="K502" s="8">
        <v>11192</v>
      </c>
      <c r="L502" s="8">
        <v>0</v>
      </c>
    </row>
    <row r="503" spans="1:12" x14ac:dyDescent="0.25">
      <c r="A503" s="6" t="s">
        <v>61</v>
      </c>
      <c r="B503" s="6" t="s">
        <v>2714</v>
      </c>
      <c r="C503" s="8">
        <v>21</v>
      </c>
      <c r="D503" s="6" t="s">
        <v>2736</v>
      </c>
      <c r="E503" s="6" t="s">
        <v>2666</v>
      </c>
      <c r="F503" s="8">
        <v>11091</v>
      </c>
      <c r="G503" s="8">
        <v>0</v>
      </c>
      <c r="H503" s="8">
        <v>38500</v>
      </c>
      <c r="I503" s="8">
        <v>11091</v>
      </c>
      <c r="J503" s="8">
        <v>0</v>
      </c>
      <c r="K503" s="8">
        <v>11091</v>
      </c>
      <c r="L503" s="8">
        <v>0</v>
      </c>
    </row>
    <row r="504" spans="1:12" x14ac:dyDescent="0.25">
      <c r="A504" s="6" t="s">
        <v>61</v>
      </c>
      <c r="B504" s="6" t="s">
        <v>2714</v>
      </c>
      <c r="C504" s="8">
        <v>22</v>
      </c>
      <c r="D504" s="6" t="s">
        <v>2737</v>
      </c>
      <c r="E504" s="6" t="s">
        <v>2666</v>
      </c>
      <c r="F504" s="8">
        <v>10991</v>
      </c>
      <c r="G504" s="8">
        <v>0</v>
      </c>
      <c r="H504" s="8">
        <v>38500</v>
      </c>
      <c r="I504" s="8">
        <v>10991</v>
      </c>
      <c r="J504" s="8">
        <v>0</v>
      </c>
      <c r="K504" s="8">
        <v>10991</v>
      </c>
      <c r="L504" s="8">
        <v>0</v>
      </c>
    </row>
    <row r="505" spans="1:12" x14ac:dyDescent="0.25">
      <c r="A505" s="6" t="s">
        <v>61</v>
      </c>
      <c r="B505" s="6" t="s">
        <v>2714</v>
      </c>
      <c r="C505" s="8">
        <v>23</v>
      </c>
      <c r="D505" s="6" t="s">
        <v>2738</v>
      </c>
      <c r="E505" s="6" t="s">
        <v>2666</v>
      </c>
      <c r="F505" s="8">
        <v>10897</v>
      </c>
      <c r="G505" s="8">
        <v>0</v>
      </c>
      <c r="H505" s="8">
        <v>38500</v>
      </c>
      <c r="I505" s="8">
        <v>10897</v>
      </c>
      <c r="J505" s="8">
        <v>0</v>
      </c>
      <c r="K505" s="8">
        <v>10897</v>
      </c>
      <c r="L505" s="8">
        <v>0</v>
      </c>
    </row>
    <row r="506" spans="1:12" x14ac:dyDescent="0.25">
      <c r="A506" s="6" t="s">
        <v>61</v>
      </c>
      <c r="B506" s="6" t="s">
        <v>1807</v>
      </c>
      <c r="C506" s="8">
        <v>0</v>
      </c>
      <c r="D506" s="6" t="s">
        <v>2739</v>
      </c>
      <c r="E506" s="6" t="s">
        <v>2740</v>
      </c>
      <c r="F506" s="8">
        <v>10817</v>
      </c>
      <c r="G506" s="8">
        <v>0</v>
      </c>
      <c r="H506" s="8">
        <v>38500</v>
      </c>
      <c r="I506" s="8">
        <v>10817</v>
      </c>
      <c r="J506" s="8">
        <v>0</v>
      </c>
      <c r="K506" s="8">
        <v>10817</v>
      </c>
      <c r="L506" s="8">
        <v>0</v>
      </c>
    </row>
    <row r="507" spans="1:12" x14ac:dyDescent="0.25">
      <c r="A507" s="6" t="s">
        <v>61</v>
      </c>
      <c r="B507" s="6" t="s">
        <v>1807</v>
      </c>
      <c r="C507" s="8">
        <v>1</v>
      </c>
      <c r="D507" s="6" t="s">
        <v>2741</v>
      </c>
      <c r="E507" s="6" t="s">
        <v>2740</v>
      </c>
      <c r="F507" s="8">
        <v>10755</v>
      </c>
      <c r="G507" s="8">
        <v>0</v>
      </c>
      <c r="H507" s="8">
        <v>38500</v>
      </c>
      <c r="I507" s="8">
        <v>10755</v>
      </c>
      <c r="J507" s="8">
        <v>0</v>
      </c>
      <c r="K507" s="8">
        <v>10755</v>
      </c>
      <c r="L507" s="8">
        <v>0</v>
      </c>
    </row>
    <row r="508" spans="1:12" x14ac:dyDescent="0.25">
      <c r="A508" s="6" t="s">
        <v>61</v>
      </c>
      <c r="B508" s="6" t="s">
        <v>1807</v>
      </c>
      <c r="C508" s="8">
        <v>2</v>
      </c>
      <c r="D508" s="6" t="s">
        <v>2742</v>
      </c>
      <c r="E508" s="6" t="s">
        <v>2740</v>
      </c>
      <c r="F508" s="8">
        <v>10716</v>
      </c>
      <c r="G508" s="8">
        <v>0</v>
      </c>
      <c r="H508" s="8">
        <v>38500</v>
      </c>
      <c r="I508" s="8">
        <v>10716</v>
      </c>
      <c r="J508" s="8">
        <v>0</v>
      </c>
      <c r="K508" s="8">
        <v>10716</v>
      </c>
      <c r="L508" s="8">
        <v>0</v>
      </c>
    </row>
    <row r="509" spans="1:12" x14ac:dyDescent="0.25">
      <c r="A509" s="6" t="s">
        <v>61</v>
      </c>
      <c r="B509" s="6" t="s">
        <v>1807</v>
      </c>
      <c r="C509" s="8">
        <v>3</v>
      </c>
      <c r="D509" s="6" t="s">
        <v>2743</v>
      </c>
      <c r="E509" s="6" t="s">
        <v>2740</v>
      </c>
      <c r="F509" s="8">
        <v>10703</v>
      </c>
      <c r="G509" s="8">
        <v>0</v>
      </c>
      <c r="H509" s="8">
        <v>38500</v>
      </c>
      <c r="I509" s="8">
        <v>10703</v>
      </c>
      <c r="J509" s="8">
        <v>0</v>
      </c>
      <c r="K509" s="8">
        <v>10703</v>
      </c>
      <c r="L509" s="8">
        <v>0</v>
      </c>
    </row>
    <row r="510" spans="1:12" x14ac:dyDescent="0.25">
      <c r="A510" s="6" t="s">
        <v>61</v>
      </c>
      <c r="B510" s="6" t="s">
        <v>1807</v>
      </c>
      <c r="C510" s="8">
        <v>4</v>
      </c>
      <c r="D510" s="6" t="s">
        <v>2744</v>
      </c>
      <c r="E510" s="6" t="s">
        <v>2740</v>
      </c>
      <c r="F510" s="8">
        <v>10716</v>
      </c>
      <c r="G510" s="8">
        <v>0</v>
      </c>
      <c r="H510" s="8">
        <v>38500</v>
      </c>
      <c r="I510" s="8">
        <v>10716</v>
      </c>
      <c r="J510" s="8">
        <v>0</v>
      </c>
      <c r="K510" s="8">
        <v>10716</v>
      </c>
      <c r="L510" s="8">
        <v>0</v>
      </c>
    </row>
    <row r="511" spans="1:12" x14ac:dyDescent="0.25">
      <c r="A511" s="6" t="s">
        <v>61</v>
      </c>
      <c r="B511" s="6" t="s">
        <v>1807</v>
      </c>
      <c r="C511" s="8">
        <v>5</v>
      </c>
      <c r="D511" s="6" t="s">
        <v>2745</v>
      </c>
      <c r="E511" s="6" t="s">
        <v>2740</v>
      </c>
      <c r="F511" s="8">
        <v>10755</v>
      </c>
      <c r="G511" s="8">
        <v>0</v>
      </c>
      <c r="H511" s="8">
        <v>38500</v>
      </c>
      <c r="I511" s="8">
        <v>10755</v>
      </c>
      <c r="J511" s="8">
        <v>0</v>
      </c>
      <c r="K511" s="8">
        <v>10755</v>
      </c>
      <c r="L511" s="8">
        <v>0</v>
      </c>
    </row>
    <row r="512" spans="1:12" x14ac:dyDescent="0.25">
      <c r="A512" s="6" t="s">
        <v>61</v>
      </c>
      <c r="B512" s="6" t="s">
        <v>1807</v>
      </c>
      <c r="C512" s="8">
        <v>6</v>
      </c>
      <c r="D512" s="6" t="s">
        <v>2746</v>
      </c>
      <c r="E512" s="6" t="s">
        <v>2740</v>
      </c>
      <c r="F512" s="8">
        <v>10817</v>
      </c>
      <c r="G512" s="8">
        <v>56</v>
      </c>
      <c r="H512" s="8">
        <v>38500</v>
      </c>
      <c r="I512" s="8">
        <v>10761</v>
      </c>
      <c r="J512" s="8">
        <v>56</v>
      </c>
      <c r="K512" s="8">
        <v>10761</v>
      </c>
      <c r="L512" s="10">
        <v>0.5</v>
      </c>
    </row>
    <row r="513" spans="1:12" x14ac:dyDescent="0.25">
      <c r="A513" s="6" t="s">
        <v>61</v>
      </c>
      <c r="B513" s="6" t="s">
        <v>1807</v>
      </c>
      <c r="C513" s="8">
        <v>7</v>
      </c>
      <c r="D513" s="6" t="s">
        <v>2747</v>
      </c>
      <c r="E513" s="6" t="s">
        <v>2740</v>
      </c>
      <c r="F513" s="8">
        <v>10897</v>
      </c>
      <c r="G513" s="8">
        <v>350</v>
      </c>
      <c r="H513" s="8">
        <v>38500</v>
      </c>
      <c r="I513" s="8">
        <v>10547</v>
      </c>
      <c r="J513" s="8">
        <v>350</v>
      </c>
      <c r="K513" s="8">
        <v>10547</v>
      </c>
      <c r="L513" s="10">
        <v>3.2</v>
      </c>
    </row>
    <row r="514" spans="1:12" x14ac:dyDescent="0.25">
      <c r="A514" s="6" t="s">
        <v>61</v>
      </c>
      <c r="B514" s="6" t="s">
        <v>1807</v>
      </c>
      <c r="C514" s="8">
        <v>8</v>
      </c>
      <c r="D514" s="6" t="s">
        <v>2748</v>
      </c>
      <c r="E514" s="6" t="s">
        <v>2740</v>
      </c>
      <c r="F514" s="8">
        <v>10991</v>
      </c>
      <c r="G514" s="8">
        <v>780</v>
      </c>
      <c r="H514" s="8">
        <v>38500</v>
      </c>
      <c r="I514" s="8">
        <v>10211</v>
      </c>
      <c r="J514" s="8">
        <v>780</v>
      </c>
      <c r="K514" s="8">
        <v>10211</v>
      </c>
      <c r="L514" s="10">
        <v>7.1</v>
      </c>
    </row>
    <row r="515" spans="1:12" x14ac:dyDescent="0.25">
      <c r="A515" s="6" t="s">
        <v>61</v>
      </c>
      <c r="B515" s="6" t="s">
        <v>1807</v>
      </c>
      <c r="C515" s="8">
        <v>9</v>
      </c>
      <c r="D515" s="6" t="s">
        <v>2749</v>
      </c>
      <c r="E515" s="6" t="s">
        <v>2740</v>
      </c>
      <c r="F515" s="8">
        <v>11091</v>
      </c>
      <c r="G515" s="8">
        <v>1247</v>
      </c>
      <c r="H515" s="8">
        <v>38500</v>
      </c>
      <c r="I515" s="8">
        <v>9844</v>
      </c>
      <c r="J515" s="8">
        <v>1247</v>
      </c>
      <c r="K515" s="8">
        <v>9844</v>
      </c>
      <c r="L515" s="10">
        <v>11.2</v>
      </c>
    </row>
    <row r="516" spans="1:12" x14ac:dyDescent="0.25">
      <c r="A516" s="6" t="s">
        <v>61</v>
      </c>
      <c r="B516" s="6" t="s">
        <v>1807</v>
      </c>
      <c r="C516" s="8">
        <v>10</v>
      </c>
      <c r="D516" s="6" t="s">
        <v>2750</v>
      </c>
      <c r="E516" s="6" t="s">
        <v>2740</v>
      </c>
      <c r="F516" s="8">
        <v>11192</v>
      </c>
      <c r="G516" s="8">
        <v>1659</v>
      </c>
      <c r="H516" s="8">
        <v>38500</v>
      </c>
      <c r="I516" s="8">
        <v>9533</v>
      </c>
      <c r="J516" s="8">
        <v>1659</v>
      </c>
      <c r="K516" s="8">
        <v>9533</v>
      </c>
      <c r="L516" s="10">
        <v>14.8</v>
      </c>
    </row>
    <row r="517" spans="1:12" x14ac:dyDescent="0.25">
      <c r="A517" s="6" t="s">
        <v>61</v>
      </c>
      <c r="B517" s="6" t="s">
        <v>1807</v>
      </c>
      <c r="C517" s="8">
        <v>11</v>
      </c>
      <c r="D517" s="6" t="s">
        <v>2751</v>
      </c>
      <c r="E517" s="6" t="s">
        <v>2740</v>
      </c>
      <c r="F517" s="8">
        <v>11285</v>
      </c>
      <c r="G517" s="8">
        <v>1940</v>
      </c>
      <c r="H517" s="8">
        <v>38500</v>
      </c>
      <c r="I517" s="8">
        <v>9345</v>
      </c>
      <c r="J517" s="8">
        <v>1940</v>
      </c>
      <c r="K517" s="8">
        <v>9345</v>
      </c>
      <c r="L517" s="10">
        <v>17.2</v>
      </c>
    </row>
    <row r="518" spans="1:12" x14ac:dyDescent="0.25">
      <c r="A518" s="6" t="s">
        <v>61</v>
      </c>
      <c r="B518" s="6" t="s">
        <v>1807</v>
      </c>
      <c r="C518" s="8">
        <v>12</v>
      </c>
      <c r="D518" s="6" t="s">
        <v>2752</v>
      </c>
      <c r="E518" s="6" t="s">
        <v>2740</v>
      </c>
      <c r="F518" s="8">
        <v>11366</v>
      </c>
      <c r="G518" s="8">
        <v>2040</v>
      </c>
      <c r="H518" s="8">
        <v>38500</v>
      </c>
      <c r="I518" s="8">
        <v>9326</v>
      </c>
      <c r="J518" s="8">
        <v>2040</v>
      </c>
      <c r="K518" s="8">
        <v>9326</v>
      </c>
      <c r="L518" s="10">
        <v>17.9</v>
      </c>
    </row>
    <row r="519" spans="1:12" x14ac:dyDescent="0.25">
      <c r="A519" s="6" t="s">
        <v>61</v>
      </c>
      <c r="B519" s="6" t="s">
        <v>1807</v>
      </c>
      <c r="C519" s="8">
        <v>13</v>
      </c>
      <c r="D519" s="6" t="s">
        <v>2753</v>
      </c>
      <c r="E519" s="6" t="s">
        <v>2740</v>
      </c>
      <c r="F519" s="8">
        <v>11427</v>
      </c>
      <c r="G519" s="8">
        <v>1940</v>
      </c>
      <c r="H519" s="8">
        <v>38500</v>
      </c>
      <c r="I519" s="8">
        <v>9487</v>
      </c>
      <c r="J519" s="8">
        <v>1940</v>
      </c>
      <c r="K519" s="8">
        <v>9487</v>
      </c>
      <c r="L519" s="8">
        <v>17</v>
      </c>
    </row>
    <row r="520" spans="1:12" x14ac:dyDescent="0.25">
      <c r="A520" s="6" t="s">
        <v>61</v>
      </c>
      <c r="B520" s="6" t="s">
        <v>1807</v>
      </c>
      <c r="C520" s="8">
        <v>14</v>
      </c>
      <c r="D520" s="6" t="s">
        <v>2754</v>
      </c>
      <c r="E520" s="6" t="s">
        <v>2740</v>
      </c>
      <c r="F520" s="8">
        <v>11466</v>
      </c>
      <c r="G520" s="8">
        <v>1659</v>
      </c>
      <c r="H520" s="8">
        <v>38500</v>
      </c>
      <c r="I520" s="8">
        <v>9807</v>
      </c>
      <c r="J520" s="8">
        <v>1659</v>
      </c>
      <c r="K520" s="8">
        <v>9807</v>
      </c>
      <c r="L520" s="10">
        <v>14.5</v>
      </c>
    </row>
    <row r="521" spans="1:12" x14ac:dyDescent="0.25">
      <c r="A521" s="6" t="s">
        <v>61</v>
      </c>
      <c r="B521" s="6" t="s">
        <v>1807</v>
      </c>
      <c r="C521" s="8">
        <v>15</v>
      </c>
      <c r="D521" s="6" t="s">
        <v>2755</v>
      </c>
      <c r="E521" s="6" t="s">
        <v>2740</v>
      </c>
      <c r="F521" s="8">
        <v>11479</v>
      </c>
      <c r="G521" s="8">
        <v>1247</v>
      </c>
      <c r="H521" s="8">
        <v>38500</v>
      </c>
      <c r="I521" s="8">
        <v>10232</v>
      </c>
      <c r="J521" s="8">
        <v>1247</v>
      </c>
      <c r="K521" s="8">
        <v>10232</v>
      </c>
      <c r="L521" s="10">
        <v>10.9</v>
      </c>
    </row>
    <row r="522" spans="1:12" x14ac:dyDescent="0.25">
      <c r="A522" s="6" t="s">
        <v>61</v>
      </c>
      <c r="B522" s="6" t="s">
        <v>1807</v>
      </c>
      <c r="C522" s="8">
        <v>16</v>
      </c>
      <c r="D522" s="6" t="s">
        <v>2756</v>
      </c>
      <c r="E522" s="6" t="s">
        <v>2740</v>
      </c>
      <c r="F522" s="8">
        <v>11466</v>
      </c>
      <c r="G522" s="8">
        <v>780</v>
      </c>
      <c r="H522" s="8">
        <v>38500</v>
      </c>
      <c r="I522" s="8">
        <v>10686</v>
      </c>
      <c r="J522" s="8">
        <v>780</v>
      </c>
      <c r="K522" s="8">
        <v>10686</v>
      </c>
      <c r="L522" s="10">
        <v>6.8</v>
      </c>
    </row>
    <row r="523" spans="1:12" x14ac:dyDescent="0.25">
      <c r="A523" s="6" t="s">
        <v>61</v>
      </c>
      <c r="B523" s="6" t="s">
        <v>1807</v>
      </c>
      <c r="C523" s="8">
        <v>17</v>
      </c>
      <c r="D523" s="6" t="s">
        <v>2757</v>
      </c>
      <c r="E523" s="6" t="s">
        <v>2740</v>
      </c>
      <c r="F523" s="8">
        <v>11427</v>
      </c>
      <c r="G523" s="8">
        <v>350</v>
      </c>
      <c r="H523" s="8">
        <v>38500</v>
      </c>
      <c r="I523" s="8">
        <v>11077</v>
      </c>
      <c r="J523" s="8">
        <v>350</v>
      </c>
      <c r="K523" s="8">
        <v>11077</v>
      </c>
      <c r="L523" s="10">
        <v>3.1</v>
      </c>
    </row>
    <row r="524" spans="1:12" x14ac:dyDescent="0.25">
      <c r="A524" s="6" t="s">
        <v>61</v>
      </c>
      <c r="B524" s="6" t="s">
        <v>1807</v>
      </c>
      <c r="C524" s="8">
        <v>18</v>
      </c>
      <c r="D524" s="6" t="s">
        <v>2758</v>
      </c>
      <c r="E524" s="6" t="s">
        <v>2740</v>
      </c>
      <c r="F524" s="8">
        <v>11366</v>
      </c>
      <c r="G524" s="8">
        <v>56</v>
      </c>
      <c r="H524" s="8">
        <v>38500</v>
      </c>
      <c r="I524" s="8">
        <v>11310</v>
      </c>
      <c r="J524" s="8">
        <v>56</v>
      </c>
      <c r="K524" s="8">
        <v>11310</v>
      </c>
      <c r="L524" s="10">
        <v>0.5</v>
      </c>
    </row>
    <row r="525" spans="1:12" x14ac:dyDescent="0.25">
      <c r="A525" s="6" t="s">
        <v>61</v>
      </c>
      <c r="B525" s="6" t="s">
        <v>1807</v>
      </c>
      <c r="C525" s="8">
        <v>19</v>
      </c>
      <c r="D525" s="6" t="s">
        <v>2759</v>
      </c>
      <c r="E525" s="6" t="s">
        <v>2740</v>
      </c>
      <c r="F525" s="8">
        <v>11285</v>
      </c>
      <c r="G525" s="8">
        <v>0</v>
      </c>
      <c r="H525" s="8">
        <v>38500</v>
      </c>
      <c r="I525" s="8">
        <v>11285</v>
      </c>
      <c r="J525" s="8">
        <v>0</v>
      </c>
      <c r="K525" s="8">
        <v>11285</v>
      </c>
      <c r="L525" s="8">
        <v>0</v>
      </c>
    </row>
    <row r="526" spans="1:12" x14ac:dyDescent="0.25">
      <c r="A526" s="6" t="s">
        <v>61</v>
      </c>
      <c r="B526" s="6" t="s">
        <v>1807</v>
      </c>
      <c r="C526" s="8">
        <v>20</v>
      </c>
      <c r="D526" s="6" t="s">
        <v>2760</v>
      </c>
      <c r="E526" s="6" t="s">
        <v>2740</v>
      </c>
      <c r="F526" s="8">
        <v>11192</v>
      </c>
      <c r="G526" s="8">
        <v>0</v>
      </c>
      <c r="H526" s="8">
        <v>38500</v>
      </c>
      <c r="I526" s="8">
        <v>11192</v>
      </c>
      <c r="J526" s="8">
        <v>0</v>
      </c>
      <c r="K526" s="8">
        <v>11192</v>
      </c>
      <c r="L526" s="8">
        <v>0</v>
      </c>
    </row>
    <row r="527" spans="1:12" x14ac:dyDescent="0.25">
      <c r="A527" s="6" t="s">
        <v>61</v>
      </c>
      <c r="B527" s="6" t="s">
        <v>1807</v>
      </c>
      <c r="C527" s="8">
        <v>21</v>
      </c>
      <c r="D527" s="6" t="s">
        <v>2761</v>
      </c>
      <c r="E527" s="6" t="s">
        <v>2740</v>
      </c>
      <c r="F527" s="8">
        <v>11091</v>
      </c>
      <c r="G527" s="8">
        <v>0</v>
      </c>
      <c r="H527" s="8">
        <v>38500</v>
      </c>
      <c r="I527" s="8">
        <v>11091</v>
      </c>
      <c r="J527" s="8">
        <v>0</v>
      </c>
      <c r="K527" s="8">
        <v>11091</v>
      </c>
      <c r="L527" s="8">
        <v>0</v>
      </c>
    </row>
    <row r="528" spans="1:12" x14ac:dyDescent="0.25">
      <c r="A528" s="6" t="s">
        <v>61</v>
      </c>
      <c r="B528" s="6" t="s">
        <v>1807</v>
      </c>
      <c r="C528" s="8">
        <v>22</v>
      </c>
      <c r="D528" s="6" t="s">
        <v>2762</v>
      </c>
      <c r="E528" s="6" t="s">
        <v>2740</v>
      </c>
      <c r="F528" s="8">
        <v>10991</v>
      </c>
      <c r="G528" s="8">
        <v>0</v>
      </c>
      <c r="H528" s="8">
        <v>38500</v>
      </c>
      <c r="I528" s="8">
        <v>10991</v>
      </c>
      <c r="J528" s="8">
        <v>0</v>
      </c>
      <c r="K528" s="8">
        <v>10991</v>
      </c>
      <c r="L528" s="8">
        <v>0</v>
      </c>
    </row>
    <row r="529" spans="1:12" x14ac:dyDescent="0.25">
      <c r="A529" s="6" t="s">
        <v>61</v>
      </c>
      <c r="B529" s="6" t="s">
        <v>1807</v>
      </c>
      <c r="C529" s="8">
        <v>23</v>
      </c>
      <c r="D529" s="6" t="s">
        <v>2763</v>
      </c>
      <c r="E529" s="6" t="s">
        <v>2740</v>
      </c>
      <c r="F529" s="8">
        <v>10897</v>
      </c>
      <c r="G529" s="8">
        <v>0</v>
      </c>
      <c r="H529" s="8">
        <v>38500</v>
      </c>
      <c r="I529" s="8">
        <v>10897</v>
      </c>
      <c r="J529" s="8">
        <v>0</v>
      </c>
      <c r="K529" s="8">
        <v>10897</v>
      </c>
      <c r="L529" s="8">
        <v>0</v>
      </c>
    </row>
    <row r="530" spans="1:12" x14ac:dyDescent="0.25">
      <c r="A530" s="6" t="s">
        <v>61</v>
      </c>
      <c r="B530" s="6" t="s">
        <v>2764</v>
      </c>
      <c r="C530" s="8">
        <v>0</v>
      </c>
      <c r="D530" s="6" t="s">
        <v>2765</v>
      </c>
      <c r="E530" s="6" t="s">
        <v>2666</v>
      </c>
      <c r="F530" s="8">
        <v>10817</v>
      </c>
      <c r="G530" s="8">
        <v>0</v>
      </c>
      <c r="H530" s="8">
        <v>38500</v>
      </c>
      <c r="I530" s="8">
        <v>10817</v>
      </c>
      <c r="J530" s="8">
        <v>0</v>
      </c>
      <c r="K530" s="8">
        <v>10817</v>
      </c>
      <c r="L530" s="8">
        <v>0</v>
      </c>
    </row>
    <row r="531" spans="1:12" x14ac:dyDescent="0.25">
      <c r="A531" s="6" t="s">
        <v>61</v>
      </c>
      <c r="B531" s="6" t="s">
        <v>2764</v>
      </c>
      <c r="C531" s="8">
        <v>1</v>
      </c>
      <c r="D531" s="6" t="s">
        <v>2766</v>
      </c>
      <c r="E531" s="6" t="s">
        <v>2666</v>
      </c>
      <c r="F531" s="8">
        <v>10755</v>
      </c>
      <c r="G531" s="8">
        <v>0</v>
      </c>
      <c r="H531" s="8">
        <v>38500</v>
      </c>
      <c r="I531" s="8">
        <v>10755</v>
      </c>
      <c r="J531" s="8">
        <v>0</v>
      </c>
      <c r="K531" s="8">
        <v>10755</v>
      </c>
      <c r="L531" s="8">
        <v>0</v>
      </c>
    </row>
    <row r="532" spans="1:12" x14ac:dyDescent="0.25">
      <c r="A532" s="6" t="s">
        <v>61</v>
      </c>
      <c r="B532" s="6" t="s">
        <v>2764</v>
      </c>
      <c r="C532" s="8">
        <v>2</v>
      </c>
      <c r="D532" s="6" t="s">
        <v>2767</v>
      </c>
      <c r="E532" s="6" t="s">
        <v>2666</v>
      </c>
      <c r="F532" s="8">
        <v>10716</v>
      </c>
      <c r="G532" s="8">
        <v>0</v>
      </c>
      <c r="H532" s="8">
        <v>38500</v>
      </c>
      <c r="I532" s="8">
        <v>10716</v>
      </c>
      <c r="J532" s="8">
        <v>0</v>
      </c>
      <c r="K532" s="8">
        <v>10716</v>
      </c>
      <c r="L532" s="8">
        <v>0</v>
      </c>
    </row>
    <row r="533" spans="1:12" x14ac:dyDescent="0.25">
      <c r="A533" s="6" t="s">
        <v>61</v>
      </c>
      <c r="B533" s="6" t="s">
        <v>2764</v>
      </c>
      <c r="C533" s="8">
        <v>3</v>
      </c>
      <c r="D533" s="6" t="s">
        <v>2768</v>
      </c>
      <c r="E533" s="6" t="s">
        <v>2666</v>
      </c>
      <c r="F533" s="8">
        <v>10703</v>
      </c>
      <c r="G533" s="8">
        <v>0</v>
      </c>
      <c r="H533" s="8">
        <v>38500</v>
      </c>
      <c r="I533" s="8">
        <v>10703</v>
      </c>
      <c r="J533" s="8">
        <v>0</v>
      </c>
      <c r="K533" s="8">
        <v>10703</v>
      </c>
      <c r="L533" s="8">
        <v>0</v>
      </c>
    </row>
    <row r="534" spans="1:12" x14ac:dyDescent="0.25">
      <c r="A534" s="6" t="s">
        <v>61</v>
      </c>
      <c r="B534" s="6" t="s">
        <v>2764</v>
      </c>
      <c r="C534" s="8">
        <v>4</v>
      </c>
      <c r="D534" s="6" t="s">
        <v>2769</v>
      </c>
      <c r="E534" s="6" t="s">
        <v>2666</v>
      </c>
      <c r="F534" s="8">
        <v>10716</v>
      </c>
      <c r="G534" s="8">
        <v>0</v>
      </c>
      <c r="H534" s="8">
        <v>38500</v>
      </c>
      <c r="I534" s="8">
        <v>10716</v>
      </c>
      <c r="J534" s="8">
        <v>0</v>
      </c>
      <c r="K534" s="8">
        <v>10716</v>
      </c>
      <c r="L534" s="8">
        <v>0</v>
      </c>
    </row>
    <row r="535" spans="1:12" x14ac:dyDescent="0.25">
      <c r="A535" s="6" t="s">
        <v>61</v>
      </c>
      <c r="B535" s="6" t="s">
        <v>2764</v>
      </c>
      <c r="C535" s="8">
        <v>5</v>
      </c>
      <c r="D535" s="6" t="s">
        <v>2770</v>
      </c>
      <c r="E535" s="6" t="s">
        <v>2666</v>
      </c>
      <c r="F535" s="8">
        <v>10755</v>
      </c>
      <c r="G535" s="8">
        <v>0</v>
      </c>
      <c r="H535" s="8">
        <v>38500</v>
      </c>
      <c r="I535" s="8">
        <v>10755</v>
      </c>
      <c r="J535" s="8">
        <v>0</v>
      </c>
      <c r="K535" s="8">
        <v>10755</v>
      </c>
      <c r="L535" s="8">
        <v>0</v>
      </c>
    </row>
    <row r="536" spans="1:12" x14ac:dyDescent="0.25">
      <c r="A536" s="6" t="s">
        <v>61</v>
      </c>
      <c r="B536" s="6" t="s">
        <v>2764</v>
      </c>
      <c r="C536" s="8">
        <v>6</v>
      </c>
      <c r="D536" s="6" t="s">
        <v>2771</v>
      </c>
      <c r="E536" s="6" t="s">
        <v>2666</v>
      </c>
      <c r="F536" s="8">
        <v>10817</v>
      </c>
      <c r="G536" s="8">
        <v>369</v>
      </c>
      <c r="H536" s="8">
        <v>38500</v>
      </c>
      <c r="I536" s="8">
        <v>10448</v>
      </c>
      <c r="J536" s="8">
        <v>369</v>
      </c>
      <c r="K536" s="8">
        <v>10448</v>
      </c>
      <c r="L536" s="10">
        <v>3.4</v>
      </c>
    </row>
    <row r="537" spans="1:12" x14ac:dyDescent="0.25">
      <c r="A537" s="6" t="s">
        <v>61</v>
      </c>
      <c r="B537" s="6" t="s">
        <v>2764</v>
      </c>
      <c r="C537" s="8">
        <v>7</v>
      </c>
      <c r="D537" s="6" t="s">
        <v>2772</v>
      </c>
      <c r="E537" s="6" t="s">
        <v>2666</v>
      </c>
      <c r="F537" s="8">
        <v>10897</v>
      </c>
      <c r="G537" s="8">
        <v>2310</v>
      </c>
      <c r="H537" s="8">
        <v>38500</v>
      </c>
      <c r="I537" s="8">
        <v>8587</v>
      </c>
      <c r="J537" s="8">
        <v>2310</v>
      </c>
      <c r="K537" s="8">
        <v>8587</v>
      </c>
      <c r="L537" s="10">
        <v>21.2</v>
      </c>
    </row>
    <row r="538" spans="1:12" x14ac:dyDescent="0.25">
      <c r="A538" s="6" t="s">
        <v>61</v>
      </c>
      <c r="B538" s="6" t="s">
        <v>2764</v>
      </c>
      <c r="C538" s="8">
        <v>8</v>
      </c>
      <c r="D538" s="6" t="s">
        <v>2773</v>
      </c>
      <c r="E538" s="6" t="s">
        <v>2666</v>
      </c>
      <c r="F538" s="8">
        <v>10991</v>
      </c>
      <c r="G538" s="8">
        <v>5146</v>
      </c>
      <c r="H538" s="8">
        <v>38500</v>
      </c>
      <c r="I538" s="8">
        <v>5845</v>
      </c>
      <c r="J538" s="8">
        <v>5146</v>
      </c>
      <c r="K538" s="8">
        <v>5845</v>
      </c>
      <c r="L538" s="10">
        <v>46.8</v>
      </c>
    </row>
    <row r="539" spans="1:12" x14ac:dyDescent="0.25">
      <c r="A539" s="6" t="s">
        <v>61</v>
      </c>
      <c r="B539" s="6" t="s">
        <v>2764</v>
      </c>
      <c r="C539" s="8">
        <v>9</v>
      </c>
      <c r="D539" s="6" t="s">
        <v>2774</v>
      </c>
      <c r="E539" s="6" t="s">
        <v>2666</v>
      </c>
      <c r="F539" s="8">
        <v>11091</v>
      </c>
      <c r="G539" s="8">
        <v>8226</v>
      </c>
      <c r="H539" s="8">
        <v>38500</v>
      </c>
      <c r="I539" s="8">
        <v>2865</v>
      </c>
      <c r="J539" s="8">
        <v>8226</v>
      </c>
      <c r="K539" s="8">
        <v>2865</v>
      </c>
      <c r="L539" s="10">
        <v>74.2</v>
      </c>
    </row>
    <row r="540" spans="1:12" x14ac:dyDescent="0.25">
      <c r="A540" s="6" t="s">
        <v>61</v>
      </c>
      <c r="B540" s="6" t="s">
        <v>2764</v>
      </c>
      <c r="C540" s="8">
        <v>10</v>
      </c>
      <c r="D540" s="6" t="s">
        <v>2775</v>
      </c>
      <c r="E540" s="6" t="s">
        <v>2666</v>
      </c>
      <c r="F540" s="8">
        <v>11192</v>
      </c>
      <c r="G540" s="8">
        <v>10945</v>
      </c>
      <c r="H540" s="8">
        <v>38500</v>
      </c>
      <c r="I540" s="8">
        <v>247</v>
      </c>
      <c r="J540" s="8">
        <v>10945</v>
      </c>
      <c r="K540" s="8">
        <v>247</v>
      </c>
      <c r="L540" s="10">
        <v>97.8</v>
      </c>
    </row>
    <row r="541" spans="1:12" x14ac:dyDescent="0.25">
      <c r="A541" s="6" t="s">
        <v>61</v>
      </c>
      <c r="B541" s="6" t="s">
        <v>2764</v>
      </c>
      <c r="C541" s="8">
        <v>11</v>
      </c>
      <c r="D541" s="6" t="s">
        <v>2776</v>
      </c>
      <c r="E541" s="6" t="s">
        <v>2666</v>
      </c>
      <c r="F541" s="8">
        <v>11285</v>
      </c>
      <c r="G541" s="8">
        <v>12801</v>
      </c>
      <c r="H541" s="8">
        <v>38500</v>
      </c>
      <c r="I541" s="8">
        <v>0</v>
      </c>
      <c r="J541" s="8">
        <v>11285</v>
      </c>
      <c r="K541" s="8">
        <v>0</v>
      </c>
      <c r="L541" s="8">
        <v>100</v>
      </c>
    </row>
    <row r="542" spans="1:12" x14ac:dyDescent="0.25">
      <c r="A542" s="6" t="s">
        <v>61</v>
      </c>
      <c r="B542" s="6" t="s">
        <v>2764</v>
      </c>
      <c r="C542" s="8">
        <v>12</v>
      </c>
      <c r="D542" s="6" t="s">
        <v>2777</v>
      </c>
      <c r="E542" s="6" t="s">
        <v>2666</v>
      </c>
      <c r="F542" s="8">
        <v>11366</v>
      </c>
      <c r="G542" s="8">
        <v>13460</v>
      </c>
      <c r="H542" s="8">
        <v>38500</v>
      </c>
      <c r="I542" s="8">
        <v>0</v>
      </c>
      <c r="J542" s="8">
        <v>11366</v>
      </c>
      <c r="K542" s="8">
        <v>0</v>
      </c>
      <c r="L542" s="8">
        <v>100</v>
      </c>
    </row>
    <row r="543" spans="1:12" x14ac:dyDescent="0.25">
      <c r="A543" s="6" t="s">
        <v>61</v>
      </c>
      <c r="B543" s="6" t="s">
        <v>2764</v>
      </c>
      <c r="C543" s="8">
        <v>13</v>
      </c>
      <c r="D543" s="6" t="s">
        <v>2778</v>
      </c>
      <c r="E543" s="6" t="s">
        <v>2666</v>
      </c>
      <c r="F543" s="8">
        <v>11427</v>
      </c>
      <c r="G543" s="8">
        <v>12801</v>
      </c>
      <c r="H543" s="8">
        <v>38500</v>
      </c>
      <c r="I543" s="8">
        <v>0</v>
      </c>
      <c r="J543" s="8">
        <v>11427</v>
      </c>
      <c r="K543" s="8">
        <v>0</v>
      </c>
      <c r="L543" s="8">
        <v>100</v>
      </c>
    </row>
    <row r="544" spans="1:12" x14ac:dyDescent="0.25">
      <c r="A544" s="6" t="s">
        <v>61</v>
      </c>
      <c r="B544" s="6" t="s">
        <v>2764</v>
      </c>
      <c r="C544" s="8">
        <v>14</v>
      </c>
      <c r="D544" s="6" t="s">
        <v>2779</v>
      </c>
      <c r="E544" s="6" t="s">
        <v>2666</v>
      </c>
      <c r="F544" s="8">
        <v>11466</v>
      </c>
      <c r="G544" s="8">
        <v>10945</v>
      </c>
      <c r="H544" s="8">
        <v>38500</v>
      </c>
      <c r="I544" s="8">
        <v>521</v>
      </c>
      <c r="J544" s="8">
        <v>10945</v>
      </c>
      <c r="K544" s="8">
        <v>521</v>
      </c>
      <c r="L544" s="10">
        <v>95.5</v>
      </c>
    </row>
    <row r="545" spans="1:12" x14ac:dyDescent="0.25">
      <c r="A545" s="6" t="s">
        <v>61</v>
      </c>
      <c r="B545" s="6" t="s">
        <v>2764</v>
      </c>
      <c r="C545" s="8">
        <v>15</v>
      </c>
      <c r="D545" s="6" t="s">
        <v>2780</v>
      </c>
      <c r="E545" s="6" t="s">
        <v>2666</v>
      </c>
      <c r="F545" s="8">
        <v>11479</v>
      </c>
      <c r="G545" s="8">
        <v>8226</v>
      </c>
      <c r="H545" s="8">
        <v>38500</v>
      </c>
      <c r="I545" s="8">
        <v>3253</v>
      </c>
      <c r="J545" s="8">
        <v>8226</v>
      </c>
      <c r="K545" s="8">
        <v>3253</v>
      </c>
      <c r="L545" s="10">
        <v>71.7</v>
      </c>
    </row>
    <row r="546" spans="1:12" x14ac:dyDescent="0.25">
      <c r="A546" s="6" t="s">
        <v>61</v>
      </c>
      <c r="B546" s="6" t="s">
        <v>2764</v>
      </c>
      <c r="C546" s="8">
        <v>16</v>
      </c>
      <c r="D546" s="6" t="s">
        <v>2781</v>
      </c>
      <c r="E546" s="6" t="s">
        <v>2666</v>
      </c>
      <c r="F546" s="8">
        <v>11466</v>
      </c>
      <c r="G546" s="8">
        <v>5146</v>
      </c>
      <c r="H546" s="8">
        <v>38500</v>
      </c>
      <c r="I546" s="8">
        <v>6320</v>
      </c>
      <c r="J546" s="8">
        <v>5146</v>
      </c>
      <c r="K546" s="8">
        <v>6320</v>
      </c>
      <c r="L546" s="10">
        <v>44.9</v>
      </c>
    </row>
    <row r="547" spans="1:12" x14ac:dyDescent="0.25">
      <c r="A547" s="6" t="s">
        <v>61</v>
      </c>
      <c r="B547" s="6" t="s">
        <v>2764</v>
      </c>
      <c r="C547" s="8">
        <v>17</v>
      </c>
      <c r="D547" s="6" t="s">
        <v>2782</v>
      </c>
      <c r="E547" s="6" t="s">
        <v>2666</v>
      </c>
      <c r="F547" s="8">
        <v>11427</v>
      </c>
      <c r="G547" s="8">
        <v>2310</v>
      </c>
      <c r="H547" s="8">
        <v>38500</v>
      </c>
      <c r="I547" s="8">
        <v>9117</v>
      </c>
      <c r="J547" s="8">
        <v>2310</v>
      </c>
      <c r="K547" s="8">
        <v>9117</v>
      </c>
      <c r="L547" s="10">
        <v>20.2</v>
      </c>
    </row>
    <row r="548" spans="1:12" x14ac:dyDescent="0.25">
      <c r="A548" s="6" t="s">
        <v>61</v>
      </c>
      <c r="B548" s="6" t="s">
        <v>2764</v>
      </c>
      <c r="C548" s="8">
        <v>18</v>
      </c>
      <c r="D548" s="6" t="s">
        <v>2783</v>
      </c>
      <c r="E548" s="6" t="s">
        <v>2666</v>
      </c>
      <c r="F548" s="8">
        <v>11366</v>
      </c>
      <c r="G548" s="8">
        <v>369</v>
      </c>
      <c r="H548" s="8">
        <v>38500</v>
      </c>
      <c r="I548" s="8">
        <v>10997</v>
      </c>
      <c r="J548" s="8">
        <v>369</v>
      </c>
      <c r="K548" s="8">
        <v>10997</v>
      </c>
      <c r="L548" s="10">
        <v>3.2</v>
      </c>
    </row>
    <row r="549" spans="1:12" x14ac:dyDescent="0.25">
      <c r="A549" s="6" t="s">
        <v>61</v>
      </c>
      <c r="B549" s="6" t="s">
        <v>2764</v>
      </c>
      <c r="C549" s="8">
        <v>19</v>
      </c>
      <c r="D549" s="6" t="s">
        <v>2784</v>
      </c>
      <c r="E549" s="6" t="s">
        <v>2666</v>
      </c>
      <c r="F549" s="8">
        <v>11285</v>
      </c>
      <c r="G549" s="8">
        <v>0</v>
      </c>
      <c r="H549" s="8">
        <v>38500</v>
      </c>
      <c r="I549" s="8">
        <v>11285</v>
      </c>
      <c r="J549" s="8">
        <v>0</v>
      </c>
      <c r="K549" s="8">
        <v>11285</v>
      </c>
      <c r="L549" s="8">
        <v>0</v>
      </c>
    </row>
    <row r="550" spans="1:12" x14ac:dyDescent="0.25">
      <c r="A550" s="6" t="s">
        <v>61</v>
      </c>
      <c r="B550" s="6" t="s">
        <v>2764</v>
      </c>
      <c r="C550" s="8">
        <v>20</v>
      </c>
      <c r="D550" s="6" t="s">
        <v>2785</v>
      </c>
      <c r="E550" s="6" t="s">
        <v>2666</v>
      </c>
      <c r="F550" s="8">
        <v>11192</v>
      </c>
      <c r="G550" s="8">
        <v>0</v>
      </c>
      <c r="H550" s="8">
        <v>38500</v>
      </c>
      <c r="I550" s="8">
        <v>11192</v>
      </c>
      <c r="J550" s="8">
        <v>0</v>
      </c>
      <c r="K550" s="8">
        <v>11192</v>
      </c>
      <c r="L550" s="8">
        <v>0</v>
      </c>
    </row>
    <row r="551" spans="1:12" x14ac:dyDescent="0.25">
      <c r="A551" s="6" t="s">
        <v>61</v>
      </c>
      <c r="B551" s="6" t="s">
        <v>2764</v>
      </c>
      <c r="C551" s="8">
        <v>21</v>
      </c>
      <c r="D551" s="6" t="s">
        <v>2786</v>
      </c>
      <c r="E551" s="6" t="s">
        <v>2666</v>
      </c>
      <c r="F551" s="8">
        <v>11091</v>
      </c>
      <c r="G551" s="8">
        <v>0</v>
      </c>
      <c r="H551" s="8">
        <v>38500</v>
      </c>
      <c r="I551" s="8">
        <v>11091</v>
      </c>
      <c r="J551" s="8">
        <v>0</v>
      </c>
      <c r="K551" s="8">
        <v>11091</v>
      </c>
      <c r="L551" s="8">
        <v>0</v>
      </c>
    </row>
    <row r="552" spans="1:12" x14ac:dyDescent="0.25">
      <c r="A552" s="6" t="s">
        <v>61</v>
      </c>
      <c r="B552" s="6" t="s">
        <v>2764</v>
      </c>
      <c r="C552" s="8">
        <v>22</v>
      </c>
      <c r="D552" s="6" t="s">
        <v>2787</v>
      </c>
      <c r="E552" s="6" t="s">
        <v>2666</v>
      </c>
      <c r="F552" s="8">
        <v>10991</v>
      </c>
      <c r="G552" s="8">
        <v>0</v>
      </c>
      <c r="H552" s="8">
        <v>38500</v>
      </c>
      <c r="I552" s="8">
        <v>10991</v>
      </c>
      <c r="J552" s="8">
        <v>0</v>
      </c>
      <c r="K552" s="8">
        <v>10991</v>
      </c>
      <c r="L552" s="8">
        <v>0</v>
      </c>
    </row>
    <row r="553" spans="1:12" x14ac:dyDescent="0.25">
      <c r="A553" s="6" t="s">
        <v>61</v>
      </c>
      <c r="B553" s="6" t="s">
        <v>2764</v>
      </c>
      <c r="C553" s="8">
        <v>23</v>
      </c>
      <c r="D553" s="6" t="s">
        <v>2788</v>
      </c>
      <c r="E553" s="6" t="s">
        <v>2666</v>
      </c>
      <c r="F553" s="8">
        <v>10897</v>
      </c>
      <c r="G553" s="8">
        <v>0</v>
      </c>
      <c r="H553" s="8">
        <v>38500</v>
      </c>
      <c r="I553" s="8">
        <v>10897</v>
      </c>
      <c r="J553" s="8">
        <v>0</v>
      </c>
      <c r="K553" s="8">
        <v>10897</v>
      </c>
      <c r="L553" s="8">
        <v>0</v>
      </c>
    </row>
    <row r="554" spans="1:12" x14ac:dyDescent="0.25">
      <c r="A554" s="6" t="s">
        <v>61</v>
      </c>
      <c r="B554" s="6" t="s">
        <v>2789</v>
      </c>
      <c r="C554" s="8">
        <v>0</v>
      </c>
      <c r="D554" s="6" t="s">
        <v>2790</v>
      </c>
      <c r="E554" s="6" t="s">
        <v>2666</v>
      </c>
      <c r="F554" s="8">
        <v>11159</v>
      </c>
      <c r="G554" s="8">
        <v>0</v>
      </c>
      <c r="H554" s="8">
        <v>38500</v>
      </c>
      <c r="I554" s="8">
        <v>11159</v>
      </c>
      <c r="J554" s="8">
        <v>0</v>
      </c>
      <c r="K554" s="8">
        <v>11159</v>
      </c>
      <c r="L554" s="8">
        <v>0</v>
      </c>
    </row>
    <row r="555" spans="1:12" x14ac:dyDescent="0.25">
      <c r="A555" s="6" t="s">
        <v>61</v>
      </c>
      <c r="B555" s="6" t="s">
        <v>2789</v>
      </c>
      <c r="C555" s="8">
        <v>1</v>
      </c>
      <c r="D555" s="6" t="s">
        <v>2791</v>
      </c>
      <c r="E555" s="6" t="s">
        <v>2666</v>
      </c>
      <c r="F555" s="8">
        <v>11095</v>
      </c>
      <c r="G555" s="8">
        <v>0</v>
      </c>
      <c r="H555" s="8">
        <v>38500</v>
      </c>
      <c r="I555" s="8">
        <v>11095</v>
      </c>
      <c r="J555" s="8">
        <v>0</v>
      </c>
      <c r="K555" s="8">
        <v>11095</v>
      </c>
      <c r="L555" s="8">
        <v>0</v>
      </c>
    </row>
    <row r="556" spans="1:12" x14ac:dyDescent="0.25">
      <c r="A556" s="6" t="s">
        <v>61</v>
      </c>
      <c r="B556" s="6" t="s">
        <v>2789</v>
      </c>
      <c r="C556" s="8">
        <v>2</v>
      </c>
      <c r="D556" s="6" t="s">
        <v>2792</v>
      </c>
      <c r="E556" s="6" t="s">
        <v>2666</v>
      </c>
      <c r="F556" s="8">
        <v>11055</v>
      </c>
      <c r="G556" s="8">
        <v>0</v>
      </c>
      <c r="H556" s="8">
        <v>38500</v>
      </c>
      <c r="I556" s="8">
        <v>11055</v>
      </c>
      <c r="J556" s="8">
        <v>0</v>
      </c>
      <c r="K556" s="8">
        <v>11055</v>
      </c>
      <c r="L556" s="8">
        <v>0</v>
      </c>
    </row>
    <row r="557" spans="1:12" x14ac:dyDescent="0.25">
      <c r="A557" s="6" t="s">
        <v>61</v>
      </c>
      <c r="B557" s="6" t="s">
        <v>2789</v>
      </c>
      <c r="C557" s="8">
        <v>3</v>
      </c>
      <c r="D557" s="6" t="s">
        <v>2793</v>
      </c>
      <c r="E557" s="6" t="s">
        <v>2666</v>
      </c>
      <c r="F557" s="8">
        <v>11041</v>
      </c>
      <c r="G557" s="8">
        <v>0</v>
      </c>
      <c r="H557" s="8">
        <v>38500</v>
      </c>
      <c r="I557" s="8">
        <v>11041</v>
      </c>
      <c r="J557" s="8">
        <v>0</v>
      </c>
      <c r="K557" s="8">
        <v>11041</v>
      </c>
      <c r="L557" s="8">
        <v>0</v>
      </c>
    </row>
    <row r="558" spans="1:12" x14ac:dyDescent="0.25">
      <c r="A558" s="6" t="s">
        <v>61</v>
      </c>
      <c r="B558" s="6" t="s">
        <v>2789</v>
      </c>
      <c r="C558" s="8">
        <v>4</v>
      </c>
      <c r="D558" s="6" t="s">
        <v>2794</v>
      </c>
      <c r="E558" s="6" t="s">
        <v>2666</v>
      </c>
      <c r="F558" s="8">
        <v>11055</v>
      </c>
      <c r="G558" s="8">
        <v>0</v>
      </c>
      <c r="H558" s="8">
        <v>38500</v>
      </c>
      <c r="I558" s="8">
        <v>11055</v>
      </c>
      <c r="J558" s="8">
        <v>0</v>
      </c>
      <c r="K558" s="8">
        <v>11055</v>
      </c>
      <c r="L558" s="8">
        <v>0</v>
      </c>
    </row>
    <row r="559" spans="1:12" x14ac:dyDescent="0.25">
      <c r="A559" s="6" t="s">
        <v>61</v>
      </c>
      <c r="B559" s="6" t="s">
        <v>2789</v>
      </c>
      <c r="C559" s="8">
        <v>5</v>
      </c>
      <c r="D559" s="6" t="s">
        <v>2795</v>
      </c>
      <c r="E559" s="6" t="s">
        <v>2666</v>
      </c>
      <c r="F559" s="8">
        <v>11095</v>
      </c>
      <c r="G559" s="8">
        <v>0</v>
      </c>
      <c r="H559" s="8">
        <v>38500</v>
      </c>
      <c r="I559" s="8">
        <v>11095</v>
      </c>
      <c r="J559" s="8">
        <v>0</v>
      </c>
      <c r="K559" s="8">
        <v>11095</v>
      </c>
      <c r="L559" s="8">
        <v>0</v>
      </c>
    </row>
    <row r="560" spans="1:12" x14ac:dyDescent="0.25">
      <c r="A560" s="6" t="s">
        <v>61</v>
      </c>
      <c r="B560" s="6" t="s">
        <v>2789</v>
      </c>
      <c r="C560" s="8">
        <v>6</v>
      </c>
      <c r="D560" s="6" t="s">
        <v>2796</v>
      </c>
      <c r="E560" s="6" t="s">
        <v>2666</v>
      </c>
      <c r="F560" s="8">
        <v>11159</v>
      </c>
      <c r="G560" s="8">
        <v>408</v>
      </c>
      <c r="H560" s="8">
        <v>38500</v>
      </c>
      <c r="I560" s="8">
        <v>10751</v>
      </c>
      <c r="J560" s="8">
        <v>408</v>
      </c>
      <c r="K560" s="8">
        <v>10751</v>
      </c>
      <c r="L560" s="10">
        <v>3.7</v>
      </c>
    </row>
    <row r="561" spans="1:12" x14ac:dyDescent="0.25">
      <c r="A561" s="6" t="s">
        <v>61</v>
      </c>
      <c r="B561" s="6" t="s">
        <v>2789</v>
      </c>
      <c r="C561" s="8">
        <v>7</v>
      </c>
      <c r="D561" s="6" t="s">
        <v>2797</v>
      </c>
      <c r="E561" s="6" t="s">
        <v>2666</v>
      </c>
      <c r="F561" s="8">
        <v>11242</v>
      </c>
      <c r="G561" s="8">
        <v>2553</v>
      </c>
      <c r="H561" s="8">
        <v>38500</v>
      </c>
      <c r="I561" s="8">
        <v>8689</v>
      </c>
      <c r="J561" s="8">
        <v>2553</v>
      </c>
      <c r="K561" s="8">
        <v>8689</v>
      </c>
      <c r="L561" s="10">
        <v>22.7</v>
      </c>
    </row>
    <row r="562" spans="1:12" x14ac:dyDescent="0.25">
      <c r="A562" s="6" t="s">
        <v>61</v>
      </c>
      <c r="B562" s="6" t="s">
        <v>2789</v>
      </c>
      <c r="C562" s="8">
        <v>8</v>
      </c>
      <c r="D562" s="6" t="s">
        <v>2798</v>
      </c>
      <c r="E562" s="6" t="s">
        <v>2666</v>
      </c>
      <c r="F562" s="8">
        <v>11338</v>
      </c>
      <c r="G562" s="8">
        <v>5688</v>
      </c>
      <c r="H562" s="8">
        <v>38500</v>
      </c>
      <c r="I562" s="8">
        <v>5650</v>
      </c>
      <c r="J562" s="8">
        <v>5688</v>
      </c>
      <c r="K562" s="8">
        <v>5650</v>
      </c>
      <c r="L562" s="10">
        <v>50.2</v>
      </c>
    </row>
    <row r="563" spans="1:12" x14ac:dyDescent="0.25">
      <c r="A563" s="6" t="s">
        <v>61</v>
      </c>
      <c r="B563" s="6" t="s">
        <v>2789</v>
      </c>
      <c r="C563" s="8">
        <v>9</v>
      </c>
      <c r="D563" s="6" t="s">
        <v>2799</v>
      </c>
      <c r="E563" s="6" t="s">
        <v>2666</v>
      </c>
      <c r="F563" s="8">
        <v>11442</v>
      </c>
      <c r="G563" s="8">
        <v>9091</v>
      </c>
      <c r="H563" s="8">
        <v>38500</v>
      </c>
      <c r="I563" s="8">
        <v>2351</v>
      </c>
      <c r="J563" s="8">
        <v>9091</v>
      </c>
      <c r="K563" s="8">
        <v>2351</v>
      </c>
      <c r="L563" s="10">
        <v>79.5</v>
      </c>
    </row>
    <row r="564" spans="1:12" x14ac:dyDescent="0.25">
      <c r="A564" s="6" t="s">
        <v>61</v>
      </c>
      <c r="B564" s="6" t="s">
        <v>2789</v>
      </c>
      <c r="C564" s="8">
        <v>10</v>
      </c>
      <c r="D564" s="6" t="s">
        <v>2800</v>
      </c>
      <c r="E564" s="6" t="s">
        <v>2666</v>
      </c>
      <c r="F564" s="8">
        <v>11546</v>
      </c>
      <c r="G564" s="8">
        <v>12097</v>
      </c>
      <c r="H564" s="8">
        <v>38500</v>
      </c>
      <c r="I564" s="8">
        <v>0</v>
      </c>
      <c r="J564" s="8">
        <v>11546</v>
      </c>
      <c r="K564" s="8">
        <v>0</v>
      </c>
      <c r="L564" s="8">
        <v>100</v>
      </c>
    </row>
    <row r="565" spans="1:12" x14ac:dyDescent="0.25">
      <c r="A565" s="6" t="s">
        <v>61</v>
      </c>
      <c r="B565" s="6" t="s">
        <v>2789</v>
      </c>
      <c r="C565" s="8">
        <v>11</v>
      </c>
      <c r="D565" s="6" t="s">
        <v>2801</v>
      </c>
      <c r="E565" s="6" t="s">
        <v>2666</v>
      </c>
      <c r="F565" s="8">
        <v>11642</v>
      </c>
      <c r="G565" s="8">
        <v>14149</v>
      </c>
      <c r="H565" s="8">
        <v>38500</v>
      </c>
      <c r="I565" s="8">
        <v>0</v>
      </c>
      <c r="J565" s="8">
        <v>11642</v>
      </c>
      <c r="K565" s="8">
        <v>0</v>
      </c>
      <c r="L565" s="8">
        <v>100</v>
      </c>
    </row>
    <row r="566" spans="1:12" x14ac:dyDescent="0.25">
      <c r="A566" s="6" t="s">
        <v>61</v>
      </c>
      <c r="B566" s="6" t="s">
        <v>2789</v>
      </c>
      <c r="C566" s="8">
        <v>12</v>
      </c>
      <c r="D566" s="6" t="s">
        <v>2802</v>
      </c>
      <c r="E566" s="6" t="s">
        <v>2666</v>
      </c>
      <c r="F566" s="8">
        <v>11725</v>
      </c>
      <c r="G566" s="8">
        <v>14876</v>
      </c>
      <c r="H566" s="8">
        <v>38500</v>
      </c>
      <c r="I566" s="8">
        <v>0</v>
      </c>
      <c r="J566" s="8">
        <v>11725</v>
      </c>
      <c r="K566" s="8">
        <v>0</v>
      </c>
      <c r="L566" s="8">
        <v>100</v>
      </c>
    </row>
    <row r="567" spans="1:12" x14ac:dyDescent="0.25">
      <c r="A567" s="6" t="s">
        <v>61</v>
      </c>
      <c r="B567" s="6" t="s">
        <v>2789</v>
      </c>
      <c r="C567" s="8">
        <v>13</v>
      </c>
      <c r="D567" s="6" t="s">
        <v>2803</v>
      </c>
      <c r="E567" s="6" t="s">
        <v>2666</v>
      </c>
      <c r="F567" s="8">
        <v>11789</v>
      </c>
      <c r="G567" s="8">
        <v>14149</v>
      </c>
      <c r="H567" s="8">
        <v>38500</v>
      </c>
      <c r="I567" s="8">
        <v>0</v>
      </c>
      <c r="J567" s="8">
        <v>11789</v>
      </c>
      <c r="K567" s="8">
        <v>0</v>
      </c>
      <c r="L567" s="8">
        <v>100</v>
      </c>
    </row>
    <row r="568" spans="1:12" x14ac:dyDescent="0.25">
      <c r="A568" s="6" t="s">
        <v>61</v>
      </c>
      <c r="B568" s="6" t="s">
        <v>2789</v>
      </c>
      <c r="C568" s="8">
        <v>14</v>
      </c>
      <c r="D568" s="6" t="s">
        <v>2804</v>
      </c>
      <c r="E568" s="6" t="s">
        <v>2666</v>
      </c>
      <c r="F568" s="8">
        <v>11829</v>
      </c>
      <c r="G568" s="8">
        <v>12097</v>
      </c>
      <c r="H568" s="8">
        <v>38500</v>
      </c>
      <c r="I568" s="8">
        <v>0</v>
      </c>
      <c r="J568" s="8">
        <v>11829</v>
      </c>
      <c r="K568" s="8">
        <v>0</v>
      </c>
      <c r="L568" s="8">
        <v>100</v>
      </c>
    </row>
    <row r="569" spans="1:12" x14ac:dyDescent="0.25">
      <c r="A569" s="6" t="s">
        <v>61</v>
      </c>
      <c r="B569" s="6" t="s">
        <v>2789</v>
      </c>
      <c r="C569" s="8">
        <v>15</v>
      </c>
      <c r="D569" s="6" t="s">
        <v>2805</v>
      </c>
      <c r="E569" s="6" t="s">
        <v>2666</v>
      </c>
      <c r="F569" s="8">
        <v>11842</v>
      </c>
      <c r="G569" s="8">
        <v>9091</v>
      </c>
      <c r="H569" s="8">
        <v>38500</v>
      </c>
      <c r="I569" s="8">
        <v>2751</v>
      </c>
      <c r="J569" s="8">
        <v>9091</v>
      </c>
      <c r="K569" s="8">
        <v>2751</v>
      </c>
      <c r="L569" s="10">
        <v>76.8</v>
      </c>
    </row>
    <row r="570" spans="1:12" x14ac:dyDescent="0.25">
      <c r="A570" s="6" t="s">
        <v>61</v>
      </c>
      <c r="B570" s="6" t="s">
        <v>2789</v>
      </c>
      <c r="C570" s="8">
        <v>16</v>
      </c>
      <c r="D570" s="6" t="s">
        <v>2806</v>
      </c>
      <c r="E570" s="6" t="s">
        <v>2666</v>
      </c>
      <c r="F570" s="8">
        <v>11829</v>
      </c>
      <c r="G570" s="8">
        <v>5688</v>
      </c>
      <c r="H570" s="8">
        <v>38500</v>
      </c>
      <c r="I570" s="8">
        <v>6141</v>
      </c>
      <c r="J570" s="8">
        <v>5688</v>
      </c>
      <c r="K570" s="8">
        <v>6141</v>
      </c>
      <c r="L570" s="10">
        <v>48.1</v>
      </c>
    </row>
    <row r="571" spans="1:12" x14ac:dyDescent="0.25">
      <c r="A571" s="6" t="s">
        <v>61</v>
      </c>
      <c r="B571" s="6" t="s">
        <v>2789</v>
      </c>
      <c r="C571" s="8">
        <v>17</v>
      </c>
      <c r="D571" s="6" t="s">
        <v>2807</v>
      </c>
      <c r="E571" s="6" t="s">
        <v>2666</v>
      </c>
      <c r="F571" s="8">
        <v>11789</v>
      </c>
      <c r="G571" s="8">
        <v>2553</v>
      </c>
      <c r="H571" s="8">
        <v>38500</v>
      </c>
      <c r="I571" s="8">
        <v>9236</v>
      </c>
      <c r="J571" s="8">
        <v>2553</v>
      </c>
      <c r="K571" s="8">
        <v>9236</v>
      </c>
      <c r="L571" s="10">
        <v>21.7</v>
      </c>
    </row>
    <row r="572" spans="1:12" x14ac:dyDescent="0.25">
      <c r="A572" s="6" t="s">
        <v>61</v>
      </c>
      <c r="B572" s="6" t="s">
        <v>2789</v>
      </c>
      <c r="C572" s="8">
        <v>18</v>
      </c>
      <c r="D572" s="6" t="s">
        <v>2808</v>
      </c>
      <c r="E572" s="6" t="s">
        <v>2666</v>
      </c>
      <c r="F572" s="8">
        <v>11725</v>
      </c>
      <c r="G572" s="8">
        <v>408</v>
      </c>
      <c r="H572" s="8">
        <v>38500</v>
      </c>
      <c r="I572" s="8">
        <v>11317</v>
      </c>
      <c r="J572" s="8">
        <v>408</v>
      </c>
      <c r="K572" s="8">
        <v>11317</v>
      </c>
      <c r="L572" s="10">
        <v>3.5</v>
      </c>
    </row>
    <row r="573" spans="1:12" x14ac:dyDescent="0.25">
      <c r="A573" s="6" t="s">
        <v>61</v>
      </c>
      <c r="B573" s="6" t="s">
        <v>2789</v>
      </c>
      <c r="C573" s="8">
        <v>19</v>
      </c>
      <c r="D573" s="6" t="s">
        <v>2809</v>
      </c>
      <c r="E573" s="6" t="s">
        <v>2666</v>
      </c>
      <c r="F573" s="8">
        <v>11642</v>
      </c>
      <c r="G573" s="8">
        <v>0</v>
      </c>
      <c r="H573" s="8">
        <v>38500</v>
      </c>
      <c r="I573" s="8">
        <v>11642</v>
      </c>
      <c r="J573" s="8">
        <v>0</v>
      </c>
      <c r="K573" s="8">
        <v>11642</v>
      </c>
      <c r="L573" s="8">
        <v>0</v>
      </c>
    </row>
    <row r="574" spans="1:12" x14ac:dyDescent="0.25">
      <c r="A574" s="6" t="s">
        <v>61</v>
      </c>
      <c r="B574" s="6" t="s">
        <v>2789</v>
      </c>
      <c r="C574" s="8">
        <v>20</v>
      </c>
      <c r="D574" s="6" t="s">
        <v>2810</v>
      </c>
      <c r="E574" s="6" t="s">
        <v>2666</v>
      </c>
      <c r="F574" s="8">
        <v>11546</v>
      </c>
      <c r="G574" s="8">
        <v>0</v>
      </c>
      <c r="H574" s="8">
        <v>38500</v>
      </c>
      <c r="I574" s="8">
        <v>11546</v>
      </c>
      <c r="J574" s="8">
        <v>0</v>
      </c>
      <c r="K574" s="8">
        <v>11546</v>
      </c>
      <c r="L574" s="8">
        <v>0</v>
      </c>
    </row>
    <row r="575" spans="1:12" x14ac:dyDescent="0.25">
      <c r="A575" s="6" t="s">
        <v>61</v>
      </c>
      <c r="B575" s="6" t="s">
        <v>2789</v>
      </c>
      <c r="C575" s="8">
        <v>21</v>
      </c>
      <c r="D575" s="6" t="s">
        <v>2811</v>
      </c>
      <c r="E575" s="6" t="s">
        <v>2666</v>
      </c>
      <c r="F575" s="8">
        <v>11442</v>
      </c>
      <c r="G575" s="8">
        <v>0</v>
      </c>
      <c r="H575" s="8">
        <v>38500</v>
      </c>
      <c r="I575" s="8">
        <v>11442</v>
      </c>
      <c r="J575" s="8">
        <v>0</v>
      </c>
      <c r="K575" s="8">
        <v>11442</v>
      </c>
      <c r="L575" s="8">
        <v>0</v>
      </c>
    </row>
    <row r="576" spans="1:12" x14ac:dyDescent="0.25">
      <c r="A576" s="6" t="s">
        <v>61</v>
      </c>
      <c r="B576" s="6" t="s">
        <v>2789</v>
      </c>
      <c r="C576" s="8">
        <v>22</v>
      </c>
      <c r="D576" s="6" t="s">
        <v>2812</v>
      </c>
      <c r="E576" s="6" t="s">
        <v>2666</v>
      </c>
      <c r="F576" s="8">
        <v>11338</v>
      </c>
      <c r="G576" s="8">
        <v>0</v>
      </c>
      <c r="H576" s="8">
        <v>38500</v>
      </c>
      <c r="I576" s="8">
        <v>11338</v>
      </c>
      <c r="J576" s="8">
        <v>0</v>
      </c>
      <c r="K576" s="8">
        <v>11338</v>
      </c>
      <c r="L576" s="8">
        <v>0</v>
      </c>
    </row>
    <row r="577" spans="1:12" x14ac:dyDescent="0.25">
      <c r="A577" s="6" t="s">
        <v>61</v>
      </c>
      <c r="B577" s="6" t="s">
        <v>2789</v>
      </c>
      <c r="C577" s="8">
        <v>23</v>
      </c>
      <c r="D577" s="6" t="s">
        <v>2813</v>
      </c>
      <c r="E577" s="6" t="s">
        <v>2666</v>
      </c>
      <c r="F577" s="8">
        <v>11242</v>
      </c>
      <c r="G577" s="8">
        <v>0</v>
      </c>
      <c r="H577" s="8">
        <v>38500</v>
      </c>
      <c r="I577" s="8">
        <v>11242</v>
      </c>
      <c r="J577" s="8">
        <v>0</v>
      </c>
      <c r="K577" s="8">
        <v>11242</v>
      </c>
      <c r="L577" s="8">
        <v>0</v>
      </c>
    </row>
    <row r="578" spans="1:12" x14ac:dyDescent="0.25">
      <c r="A578" s="6" t="s">
        <v>61</v>
      </c>
      <c r="B578" s="6" t="s">
        <v>2814</v>
      </c>
      <c r="C578" s="8">
        <v>0</v>
      </c>
      <c r="D578" s="6" t="s">
        <v>2815</v>
      </c>
      <c r="E578" s="6" t="s">
        <v>2269</v>
      </c>
      <c r="F578" s="8">
        <v>11159</v>
      </c>
      <c r="G578" s="8">
        <v>0</v>
      </c>
      <c r="H578" s="8">
        <v>38500</v>
      </c>
      <c r="I578" s="8">
        <v>11159</v>
      </c>
      <c r="J578" s="8">
        <v>0</v>
      </c>
      <c r="K578" s="8">
        <v>11159</v>
      </c>
      <c r="L578" s="8">
        <v>0</v>
      </c>
    </row>
    <row r="579" spans="1:12" x14ac:dyDescent="0.25">
      <c r="A579" s="6" t="s">
        <v>61</v>
      </c>
      <c r="B579" s="6" t="s">
        <v>2814</v>
      </c>
      <c r="C579" s="8">
        <v>1</v>
      </c>
      <c r="D579" s="6" t="s">
        <v>2816</v>
      </c>
      <c r="E579" s="6" t="s">
        <v>2269</v>
      </c>
      <c r="F579" s="8">
        <v>11095</v>
      </c>
      <c r="G579" s="8">
        <v>0</v>
      </c>
      <c r="H579" s="8">
        <v>38500</v>
      </c>
      <c r="I579" s="8">
        <v>11095</v>
      </c>
      <c r="J579" s="8">
        <v>0</v>
      </c>
      <c r="K579" s="8">
        <v>11095</v>
      </c>
      <c r="L579" s="8">
        <v>0</v>
      </c>
    </row>
    <row r="580" spans="1:12" x14ac:dyDescent="0.25">
      <c r="A580" s="6" t="s">
        <v>61</v>
      </c>
      <c r="B580" s="6" t="s">
        <v>2814</v>
      </c>
      <c r="C580" s="8">
        <v>2</v>
      </c>
      <c r="D580" s="6" t="s">
        <v>2817</v>
      </c>
      <c r="E580" s="6" t="s">
        <v>2269</v>
      </c>
      <c r="F580" s="8">
        <v>11055</v>
      </c>
      <c r="G580" s="8">
        <v>0</v>
      </c>
      <c r="H580" s="8">
        <v>38500</v>
      </c>
      <c r="I580" s="8">
        <v>11055</v>
      </c>
      <c r="J580" s="8">
        <v>0</v>
      </c>
      <c r="K580" s="8">
        <v>11055</v>
      </c>
      <c r="L580" s="8">
        <v>0</v>
      </c>
    </row>
    <row r="581" spans="1:12" x14ac:dyDescent="0.25">
      <c r="A581" s="6" t="s">
        <v>61</v>
      </c>
      <c r="B581" s="6" t="s">
        <v>2814</v>
      </c>
      <c r="C581" s="8">
        <v>3</v>
      </c>
      <c r="D581" s="6" t="s">
        <v>2818</v>
      </c>
      <c r="E581" s="6" t="s">
        <v>2269</v>
      </c>
      <c r="F581" s="8">
        <v>11041</v>
      </c>
      <c r="G581" s="8">
        <v>0</v>
      </c>
      <c r="H581" s="8">
        <v>38500</v>
      </c>
      <c r="I581" s="8">
        <v>11041</v>
      </c>
      <c r="J581" s="8">
        <v>0</v>
      </c>
      <c r="K581" s="8">
        <v>11041</v>
      </c>
      <c r="L581" s="8">
        <v>0</v>
      </c>
    </row>
    <row r="582" spans="1:12" x14ac:dyDescent="0.25">
      <c r="A582" s="6" t="s">
        <v>61</v>
      </c>
      <c r="B582" s="6" t="s">
        <v>2814</v>
      </c>
      <c r="C582" s="8">
        <v>4</v>
      </c>
      <c r="D582" s="6" t="s">
        <v>2819</v>
      </c>
      <c r="E582" s="6" t="s">
        <v>2269</v>
      </c>
      <c r="F582" s="8">
        <v>11055</v>
      </c>
      <c r="G582" s="8">
        <v>0</v>
      </c>
      <c r="H582" s="8">
        <v>38500</v>
      </c>
      <c r="I582" s="8">
        <v>11055</v>
      </c>
      <c r="J582" s="8">
        <v>0</v>
      </c>
      <c r="K582" s="8">
        <v>11055</v>
      </c>
      <c r="L582" s="8">
        <v>0</v>
      </c>
    </row>
    <row r="583" spans="1:12" x14ac:dyDescent="0.25">
      <c r="A583" s="6" t="s">
        <v>61</v>
      </c>
      <c r="B583" s="6" t="s">
        <v>2814</v>
      </c>
      <c r="C583" s="8">
        <v>5</v>
      </c>
      <c r="D583" s="6" t="s">
        <v>2820</v>
      </c>
      <c r="E583" s="6" t="s">
        <v>2269</v>
      </c>
      <c r="F583" s="8">
        <v>11095</v>
      </c>
      <c r="G583" s="8">
        <v>0</v>
      </c>
      <c r="H583" s="8">
        <v>38500</v>
      </c>
      <c r="I583" s="8">
        <v>11095</v>
      </c>
      <c r="J583" s="8">
        <v>0</v>
      </c>
      <c r="K583" s="8">
        <v>11095</v>
      </c>
      <c r="L583" s="8">
        <v>0</v>
      </c>
    </row>
    <row r="584" spans="1:12" x14ac:dyDescent="0.25">
      <c r="A584" s="6" t="s">
        <v>61</v>
      </c>
      <c r="B584" s="6" t="s">
        <v>2814</v>
      </c>
      <c r="C584" s="8">
        <v>6</v>
      </c>
      <c r="D584" s="6" t="s">
        <v>2821</v>
      </c>
      <c r="E584" s="6" t="s">
        <v>2269</v>
      </c>
      <c r="F584" s="8">
        <v>11159</v>
      </c>
      <c r="G584" s="8">
        <v>747</v>
      </c>
      <c r="H584" s="8">
        <v>38500</v>
      </c>
      <c r="I584" s="8">
        <v>10412</v>
      </c>
      <c r="J584" s="8">
        <v>747</v>
      </c>
      <c r="K584" s="8">
        <v>10412</v>
      </c>
      <c r="L584" s="10">
        <v>6.7</v>
      </c>
    </row>
    <row r="585" spans="1:12" x14ac:dyDescent="0.25">
      <c r="A585" s="6" t="s">
        <v>61</v>
      </c>
      <c r="B585" s="6" t="s">
        <v>2814</v>
      </c>
      <c r="C585" s="8">
        <v>7</v>
      </c>
      <c r="D585" s="6" t="s">
        <v>2822</v>
      </c>
      <c r="E585" s="6" t="s">
        <v>2269</v>
      </c>
      <c r="F585" s="8">
        <v>11242</v>
      </c>
      <c r="G585" s="8">
        <v>4678</v>
      </c>
      <c r="H585" s="8">
        <v>38500</v>
      </c>
      <c r="I585" s="8">
        <v>6564</v>
      </c>
      <c r="J585" s="8">
        <v>4678</v>
      </c>
      <c r="K585" s="8">
        <v>6564</v>
      </c>
      <c r="L585" s="10">
        <v>41.6</v>
      </c>
    </row>
    <row r="586" spans="1:12" x14ac:dyDescent="0.25">
      <c r="A586" s="6" t="s">
        <v>61</v>
      </c>
      <c r="B586" s="6" t="s">
        <v>2814</v>
      </c>
      <c r="C586" s="8">
        <v>8</v>
      </c>
      <c r="D586" s="6" t="s">
        <v>2823</v>
      </c>
      <c r="E586" s="6" t="s">
        <v>2269</v>
      </c>
      <c r="F586" s="8">
        <v>11338</v>
      </c>
      <c r="G586" s="8">
        <v>10423</v>
      </c>
      <c r="H586" s="8">
        <v>38500</v>
      </c>
      <c r="I586" s="8">
        <v>915</v>
      </c>
      <c r="J586" s="8">
        <v>10423</v>
      </c>
      <c r="K586" s="8">
        <v>915</v>
      </c>
      <c r="L586" s="10">
        <v>91.9</v>
      </c>
    </row>
    <row r="587" spans="1:12" x14ac:dyDescent="0.25">
      <c r="A587" s="6" t="s">
        <v>61</v>
      </c>
      <c r="B587" s="6" t="s">
        <v>2814</v>
      </c>
      <c r="C587" s="8">
        <v>9</v>
      </c>
      <c r="D587" s="6" t="s">
        <v>2824</v>
      </c>
      <c r="E587" s="6" t="s">
        <v>2269</v>
      </c>
      <c r="F587" s="8">
        <v>11442</v>
      </c>
      <c r="G587" s="8">
        <v>16659</v>
      </c>
      <c r="H587" s="8">
        <v>38500</v>
      </c>
      <c r="I587" s="8">
        <v>0</v>
      </c>
      <c r="J587" s="8">
        <v>11442</v>
      </c>
      <c r="K587" s="8">
        <v>0</v>
      </c>
      <c r="L587" s="8">
        <v>100</v>
      </c>
    </row>
    <row r="588" spans="1:12" x14ac:dyDescent="0.25">
      <c r="A588" s="6" t="s">
        <v>61</v>
      </c>
      <c r="B588" s="6" t="s">
        <v>2814</v>
      </c>
      <c r="C588" s="8">
        <v>10</v>
      </c>
      <c r="D588" s="6" t="s">
        <v>2825</v>
      </c>
      <c r="E588" s="6" t="s">
        <v>2269</v>
      </c>
      <c r="F588" s="8">
        <v>11546</v>
      </c>
      <c r="G588" s="8">
        <v>22167</v>
      </c>
      <c r="H588" s="8">
        <v>38500</v>
      </c>
      <c r="I588" s="8">
        <v>0</v>
      </c>
      <c r="J588" s="8">
        <v>11546</v>
      </c>
      <c r="K588" s="8">
        <v>0</v>
      </c>
      <c r="L588" s="8">
        <v>100</v>
      </c>
    </row>
    <row r="589" spans="1:12" x14ac:dyDescent="0.25">
      <c r="A589" s="6" t="s">
        <v>61</v>
      </c>
      <c r="B589" s="6" t="s">
        <v>2814</v>
      </c>
      <c r="C589" s="8">
        <v>11</v>
      </c>
      <c r="D589" s="6" t="s">
        <v>2826</v>
      </c>
      <c r="E589" s="6" t="s">
        <v>2269</v>
      </c>
      <c r="F589" s="8">
        <v>11642</v>
      </c>
      <c r="G589" s="8">
        <v>25926</v>
      </c>
      <c r="H589" s="8">
        <v>38500</v>
      </c>
      <c r="I589" s="8">
        <v>0</v>
      </c>
      <c r="J589" s="8">
        <v>11642</v>
      </c>
      <c r="K589" s="8">
        <v>0</v>
      </c>
      <c r="L589" s="8">
        <v>100</v>
      </c>
    </row>
    <row r="590" spans="1:12" x14ac:dyDescent="0.25">
      <c r="A590" s="6" t="s">
        <v>61</v>
      </c>
      <c r="B590" s="6" t="s">
        <v>2814</v>
      </c>
      <c r="C590" s="8">
        <v>12</v>
      </c>
      <c r="D590" s="6" t="s">
        <v>2827</v>
      </c>
      <c r="E590" s="6" t="s">
        <v>2269</v>
      </c>
      <c r="F590" s="8">
        <v>11725</v>
      </c>
      <c r="G590" s="8">
        <v>27259</v>
      </c>
      <c r="H590" s="8">
        <v>38500</v>
      </c>
      <c r="I590" s="8">
        <v>0</v>
      </c>
      <c r="J590" s="8">
        <v>11725</v>
      </c>
      <c r="K590" s="8">
        <v>0</v>
      </c>
      <c r="L590" s="8">
        <v>100</v>
      </c>
    </row>
    <row r="591" spans="1:12" x14ac:dyDescent="0.25">
      <c r="A591" s="6" t="s">
        <v>61</v>
      </c>
      <c r="B591" s="6" t="s">
        <v>2814</v>
      </c>
      <c r="C591" s="8">
        <v>13</v>
      </c>
      <c r="D591" s="6" t="s">
        <v>2828</v>
      </c>
      <c r="E591" s="6" t="s">
        <v>2269</v>
      </c>
      <c r="F591" s="8">
        <v>11789</v>
      </c>
      <c r="G591" s="8">
        <v>25926</v>
      </c>
      <c r="H591" s="8">
        <v>38500</v>
      </c>
      <c r="I591" s="8">
        <v>0</v>
      </c>
      <c r="J591" s="8">
        <v>11789</v>
      </c>
      <c r="K591" s="8">
        <v>0</v>
      </c>
      <c r="L591" s="8">
        <v>100</v>
      </c>
    </row>
    <row r="592" spans="1:12" x14ac:dyDescent="0.25">
      <c r="A592" s="6" t="s">
        <v>61</v>
      </c>
      <c r="B592" s="6" t="s">
        <v>2814</v>
      </c>
      <c r="C592" s="8">
        <v>14</v>
      </c>
      <c r="D592" s="6" t="s">
        <v>2829</v>
      </c>
      <c r="E592" s="6" t="s">
        <v>2269</v>
      </c>
      <c r="F592" s="8">
        <v>11829</v>
      </c>
      <c r="G592" s="8">
        <v>22167</v>
      </c>
      <c r="H592" s="8">
        <v>38500</v>
      </c>
      <c r="I592" s="8">
        <v>0</v>
      </c>
      <c r="J592" s="8">
        <v>11829</v>
      </c>
      <c r="K592" s="8">
        <v>0</v>
      </c>
      <c r="L592" s="8">
        <v>100</v>
      </c>
    </row>
    <row r="593" spans="1:12" x14ac:dyDescent="0.25">
      <c r="A593" s="6" t="s">
        <v>61</v>
      </c>
      <c r="B593" s="6" t="s">
        <v>2814</v>
      </c>
      <c r="C593" s="8">
        <v>15</v>
      </c>
      <c r="D593" s="6" t="s">
        <v>2830</v>
      </c>
      <c r="E593" s="6" t="s">
        <v>2269</v>
      </c>
      <c r="F593" s="8">
        <v>11842</v>
      </c>
      <c r="G593" s="8">
        <v>16659</v>
      </c>
      <c r="H593" s="8">
        <v>38500</v>
      </c>
      <c r="I593" s="8">
        <v>0</v>
      </c>
      <c r="J593" s="8">
        <v>11842</v>
      </c>
      <c r="K593" s="8">
        <v>0</v>
      </c>
      <c r="L593" s="8">
        <v>100</v>
      </c>
    </row>
    <row r="594" spans="1:12" x14ac:dyDescent="0.25">
      <c r="A594" s="6" t="s">
        <v>61</v>
      </c>
      <c r="B594" s="6" t="s">
        <v>2814</v>
      </c>
      <c r="C594" s="8">
        <v>16</v>
      </c>
      <c r="D594" s="6" t="s">
        <v>2831</v>
      </c>
      <c r="E594" s="6" t="s">
        <v>2269</v>
      </c>
      <c r="F594" s="8">
        <v>11829</v>
      </c>
      <c r="G594" s="8">
        <v>10423</v>
      </c>
      <c r="H594" s="8">
        <v>38500</v>
      </c>
      <c r="I594" s="8">
        <v>1406</v>
      </c>
      <c r="J594" s="8">
        <v>10423</v>
      </c>
      <c r="K594" s="8">
        <v>1406</v>
      </c>
      <c r="L594" s="10">
        <v>88.1</v>
      </c>
    </row>
    <row r="595" spans="1:12" x14ac:dyDescent="0.25">
      <c r="A595" s="6" t="s">
        <v>61</v>
      </c>
      <c r="B595" s="6" t="s">
        <v>2814</v>
      </c>
      <c r="C595" s="8">
        <v>17</v>
      </c>
      <c r="D595" s="6" t="s">
        <v>2832</v>
      </c>
      <c r="E595" s="6" t="s">
        <v>2269</v>
      </c>
      <c r="F595" s="8">
        <v>11789</v>
      </c>
      <c r="G595" s="8">
        <v>4678</v>
      </c>
      <c r="H595" s="8">
        <v>38500</v>
      </c>
      <c r="I595" s="8">
        <v>7111</v>
      </c>
      <c r="J595" s="8">
        <v>4678</v>
      </c>
      <c r="K595" s="8">
        <v>7111</v>
      </c>
      <c r="L595" s="10">
        <v>39.7</v>
      </c>
    </row>
    <row r="596" spans="1:12" x14ac:dyDescent="0.25">
      <c r="A596" s="6" t="s">
        <v>61</v>
      </c>
      <c r="B596" s="6" t="s">
        <v>2814</v>
      </c>
      <c r="C596" s="8">
        <v>18</v>
      </c>
      <c r="D596" s="6" t="s">
        <v>2833</v>
      </c>
      <c r="E596" s="6" t="s">
        <v>2269</v>
      </c>
      <c r="F596" s="8">
        <v>11725</v>
      </c>
      <c r="G596" s="8">
        <v>747</v>
      </c>
      <c r="H596" s="8">
        <v>38500</v>
      </c>
      <c r="I596" s="8">
        <v>10978</v>
      </c>
      <c r="J596" s="8">
        <v>747</v>
      </c>
      <c r="K596" s="8">
        <v>10978</v>
      </c>
      <c r="L596" s="10">
        <v>6.4</v>
      </c>
    </row>
    <row r="597" spans="1:12" x14ac:dyDescent="0.25">
      <c r="A597" s="6" t="s">
        <v>61</v>
      </c>
      <c r="B597" s="6" t="s">
        <v>2814</v>
      </c>
      <c r="C597" s="8">
        <v>19</v>
      </c>
      <c r="D597" s="6" t="s">
        <v>2834</v>
      </c>
      <c r="E597" s="6" t="s">
        <v>2269</v>
      </c>
      <c r="F597" s="8">
        <v>11642</v>
      </c>
      <c r="G597" s="8">
        <v>0</v>
      </c>
      <c r="H597" s="8">
        <v>38500</v>
      </c>
      <c r="I597" s="8">
        <v>11642</v>
      </c>
      <c r="J597" s="8">
        <v>0</v>
      </c>
      <c r="K597" s="8">
        <v>11642</v>
      </c>
      <c r="L597" s="8">
        <v>0</v>
      </c>
    </row>
    <row r="598" spans="1:12" x14ac:dyDescent="0.25">
      <c r="A598" s="6" t="s">
        <v>61</v>
      </c>
      <c r="B598" s="6" t="s">
        <v>2814</v>
      </c>
      <c r="C598" s="8">
        <v>20</v>
      </c>
      <c r="D598" s="6" t="s">
        <v>2835</v>
      </c>
      <c r="E598" s="6" t="s">
        <v>2269</v>
      </c>
      <c r="F598" s="8">
        <v>11546</v>
      </c>
      <c r="G598" s="8">
        <v>0</v>
      </c>
      <c r="H598" s="8">
        <v>38500</v>
      </c>
      <c r="I598" s="8">
        <v>11546</v>
      </c>
      <c r="J598" s="8">
        <v>0</v>
      </c>
      <c r="K598" s="8">
        <v>11546</v>
      </c>
      <c r="L598" s="8">
        <v>0</v>
      </c>
    </row>
    <row r="599" spans="1:12" x14ac:dyDescent="0.25">
      <c r="A599" s="6" t="s">
        <v>61</v>
      </c>
      <c r="B599" s="6" t="s">
        <v>2814</v>
      </c>
      <c r="C599" s="8">
        <v>21</v>
      </c>
      <c r="D599" s="6" t="s">
        <v>2836</v>
      </c>
      <c r="E599" s="6" t="s">
        <v>2269</v>
      </c>
      <c r="F599" s="8">
        <v>11442</v>
      </c>
      <c r="G599" s="8">
        <v>0</v>
      </c>
      <c r="H599" s="8">
        <v>38500</v>
      </c>
      <c r="I599" s="8">
        <v>11442</v>
      </c>
      <c r="J599" s="8">
        <v>0</v>
      </c>
      <c r="K599" s="8">
        <v>11442</v>
      </c>
      <c r="L599" s="8">
        <v>0</v>
      </c>
    </row>
    <row r="600" spans="1:12" x14ac:dyDescent="0.25">
      <c r="A600" s="6" t="s">
        <v>61</v>
      </c>
      <c r="B600" s="6" t="s">
        <v>2814</v>
      </c>
      <c r="C600" s="8">
        <v>22</v>
      </c>
      <c r="D600" s="6" t="s">
        <v>2837</v>
      </c>
      <c r="E600" s="6" t="s">
        <v>2269</v>
      </c>
      <c r="F600" s="8">
        <v>11338</v>
      </c>
      <c r="G600" s="8">
        <v>0</v>
      </c>
      <c r="H600" s="8">
        <v>38500</v>
      </c>
      <c r="I600" s="8">
        <v>11338</v>
      </c>
      <c r="J600" s="8">
        <v>0</v>
      </c>
      <c r="K600" s="8">
        <v>11338</v>
      </c>
      <c r="L600" s="8">
        <v>0</v>
      </c>
    </row>
    <row r="601" spans="1:12" x14ac:dyDescent="0.25">
      <c r="A601" s="6" t="s">
        <v>61</v>
      </c>
      <c r="B601" s="6" t="s">
        <v>2814</v>
      </c>
      <c r="C601" s="8">
        <v>23</v>
      </c>
      <c r="D601" s="6" t="s">
        <v>2838</v>
      </c>
      <c r="E601" s="6" t="s">
        <v>2269</v>
      </c>
      <c r="F601" s="8">
        <v>11242</v>
      </c>
      <c r="G601" s="8">
        <v>0</v>
      </c>
      <c r="H601" s="8">
        <v>38500</v>
      </c>
      <c r="I601" s="8">
        <v>11242</v>
      </c>
      <c r="J601" s="8">
        <v>0</v>
      </c>
      <c r="K601" s="8">
        <v>11242</v>
      </c>
      <c r="L601" s="8">
        <v>0</v>
      </c>
    </row>
    <row r="602" spans="1:12" x14ac:dyDescent="0.25">
      <c r="A602" s="6" t="s">
        <v>61</v>
      </c>
      <c r="B602" s="6" t="s">
        <v>2839</v>
      </c>
      <c r="C602" s="8">
        <v>0</v>
      </c>
      <c r="D602" s="6" t="s">
        <v>2840</v>
      </c>
      <c r="E602" s="6" t="s">
        <v>2666</v>
      </c>
      <c r="F602" s="8">
        <v>11159</v>
      </c>
      <c r="G602" s="8">
        <v>0</v>
      </c>
      <c r="H602" s="8">
        <v>38500</v>
      </c>
      <c r="I602" s="8">
        <v>11159</v>
      </c>
      <c r="J602" s="8">
        <v>0</v>
      </c>
      <c r="K602" s="8">
        <v>11159</v>
      </c>
      <c r="L602" s="8">
        <v>0</v>
      </c>
    </row>
    <row r="603" spans="1:12" x14ac:dyDescent="0.25">
      <c r="A603" s="6" t="s">
        <v>61</v>
      </c>
      <c r="B603" s="6" t="s">
        <v>2839</v>
      </c>
      <c r="C603" s="8">
        <v>1</v>
      </c>
      <c r="D603" s="6" t="s">
        <v>2841</v>
      </c>
      <c r="E603" s="6" t="s">
        <v>2666</v>
      </c>
      <c r="F603" s="8">
        <v>11095</v>
      </c>
      <c r="G603" s="8">
        <v>0</v>
      </c>
      <c r="H603" s="8">
        <v>38500</v>
      </c>
      <c r="I603" s="8">
        <v>11095</v>
      </c>
      <c r="J603" s="8">
        <v>0</v>
      </c>
      <c r="K603" s="8">
        <v>11095</v>
      </c>
      <c r="L603" s="8">
        <v>0</v>
      </c>
    </row>
    <row r="604" spans="1:12" x14ac:dyDescent="0.25">
      <c r="A604" s="6" t="s">
        <v>61</v>
      </c>
      <c r="B604" s="6" t="s">
        <v>2839</v>
      </c>
      <c r="C604" s="8">
        <v>2</v>
      </c>
      <c r="D604" s="6" t="s">
        <v>2842</v>
      </c>
      <c r="E604" s="6" t="s">
        <v>2666</v>
      </c>
      <c r="F604" s="8">
        <v>11055</v>
      </c>
      <c r="G604" s="8">
        <v>0</v>
      </c>
      <c r="H604" s="8">
        <v>38500</v>
      </c>
      <c r="I604" s="8">
        <v>11055</v>
      </c>
      <c r="J604" s="8">
        <v>0</v>
      </c>
      <c r="K604" s="8">
        <v>11055</v>
      </c>
      <c r="L604" s="8">
        <v>0</v>
      </c>
    </row>
    <row r="605" spans="1:12" x14ac:dyDescent="0.25">
      <c r="A605" s="6" t="s">
        <v>61</v>
      </c>
      <c r="B605" s="6" t="s">
        <v>2839</v>
      </c>
      <c r="C605" s="8">
        <v>3</v>
      </c>
      <c r="D605" s="6" t="s">
        <v>2843</v>
      </c>
      <c r="E605" s="6" t="s">
        <v>2666</v>
      </c>
      <c r="F605" s="8">
        <v>11041</v>
      </c>
      <c r="G605" s="8">
        <v>0</v>
      </c>
      <c r="H605" s="8">
        <v>38500</v>
      </c>
      <c r="I605" s="8">
        <v>11041</v>
      </c>
      <c r="J605" s="8">
        <v>0</v>
      </c>
      <c r="K605" s="8">
        <v>11041</v>
      </c>
      <c r="L605" s="8">
        <v>0</v>
      </c>
    </row>
    <row r="606" spans="1:12" x14ac:dyDescent="0.25">
      <c r="A606" s="6" t="s">
        <v>61</v>
      </c>
      <c r="B606" s="6" t="s">
        <v>2839</v>
      </c>
      <c r="C606" s="8">
        <v>4</v>
      </c>
      <c r="D606" s="6" t="s">
        <v>2844</v>
      </c>
      <c r="E606" s="6" t="s">
        <v>2666</v>
      </c>
      <c r="F606" s="8">
        <v>11055</v>
      </c>
      <c r="G606" s="8">
        <v>0</v>
      </c>
      <c r="H606" s="8">
        <v>38500</v>
      </c>
      <c r="I606" s="8">
        <v>11055</v>
      </c>
      <c r="J606" s="8">
        <v>0</v>
      </c>
      <c r="K606" s="8">
        <v>11055</v>
      </c>
      <c r="L606" s="8">
        <v>0</v>
      </c>
    </row>
    <row r="607" spans="1:12" x14ac:dyDescent="0.25">
      <c r="A607" s="6" t="s">
        <v>61</v>
      </c>
      <c r="B607" s="6" t="s">
        <v>2839</v>
      </c>
      <c r="C607" s="8">
        <v>5</v>
      </c>
      <c r="D607" s="6" t="s">
        <v>2845</v>
      </c>
      <c r="E607" s="6" t="s">
        <v>2666</v>
      </c>
      <c r="F607" s="8">
        <v>11095</v>
      </c>
      <c r="G607" s="8">
        <v>0</v>
      </c>
      <c r="H607" s="8">
        <v>38500</v>
      </c>
      <c r="I607" s="8">
        <v>11095</v>
      </c>
      <c r="J607" s="8">
        <v>0</v>
      </c>
      <c r="K607" s="8">
        <v>11095</v>
      </c>
      <c r="L607" s="8">
        <v>0</v>
      </c>
    </row>
    <row r="608" spans="1:12" x14ac:dyDescent="0.25">
      <c r="A608" s="6" t="s">
        <v>61</v>
      </c>
      <c r="B608" s="6" t="s">
        <v>2839</v>
      </c>
      <c r="C608" s="8">
        <v>6</v>
      </c>
      <c r="D608" s="6" t="s">
        <v>2846</v>
      </c>
      <c r="E608" s="6" t="s">
        <v>2666</v>
      </c>
      <c r="F608" s="8">
        <v>11159</v>
      </c>
      <c r="G608" s="8">
        <v>400</v>
      </c>
      <c r="H608" s="8">
        <v>38500</v>
      </c>
      <c r="I608" s="8">
        <v>10759</v>
      </c>
      <c r="J608" s="8">
        <v>400</v>
      </c>
      <c r="K608" s="8">
        <v>10759</v>
      </c>
      <c r="L608" s="10">
        <v>3.6</v>
      </c>
    </row>
    <row r="609" spans="1:12" x14ac:dyDescent="0.25">
      <c r="A609" s="6" t="s">
        <v>61</v>
      </c>
      <c r="B609" s="6" t="s">
        <v>2839</v>
      </c>
      <c r="C609" s="8">
        <v>7</v>
      </c>
      <c r="D609" s="6" t="s">
        <v>2847</v>
      </c>
      <c r="E609" s="6" t="s">
        <v>2666</v>
      </c>
      <c r="F609" s="8">
        <v>11242</v>
      </c>
      <c r="G609" s="8">
        <v>2504</v>
      </c>
      <c r="H609" s="8">
        <v>38500</v>
      </c>
      <c r="I609" s="8">
        <v>8738</v>
      </c>
      <c r="J609" s="8">
        <v>2504</v>
      </c>
      <c r="K609" s="8">
        <v>8738</v>
      </c>
      <c r="L609" s="10">
        <v>22.3</v>
      </c>
    </row>
    <row r="610" spans="1:12" x14ac:dyDescent="0.25">
      <c r="A610" s="6" t="s">
        <v>61</v>
      </c>
      <c r="B610" s="6" t="s">
        <v>2839</v>
      </c>
      <c r="C610" s="8">
        <v>8</v>
      </c>
      <c r="D610" s="6" t="s">
        <v>2848</v>
      </c>
      <c r="E610" s="6" t="s">
        <v>2666</v>
      </c>
      <c r="F610" s="8">
        <v>11338</v>
      </c>
      <c r="G610" s="8">
        <v>5580</v>
      </c>
      <c r="H610" s="8">
        <v>38500</v>
      </c>
      <c r="I610" s="8">
        <v>5758</v>
      </c>
      <c r="J610" s="8">
        <v>5580</v>
      </c>
      <c r="K610" s="8">
        <v>5758</v>
      </c>
      <c r="L610" s="10">
        <v>49.2</v>
      </c>
    </row>
    <row r="611" spans="1:12" x14ac:dyDescent="0.25">
      <c r="A611" s="6" t="s">
        <v>61</v>
      </c>
      <c r="B611" s="6" t="s">
        <v>2839</v>
      </c>
      <c r="C611" s="8">
        <v>9</v>
      </c>
      <c r="D611" s="6" t="s">
        <v>2849</v>
      </c>
      <c r="E611" s="6" t="s">
        <v>2666</v>
      </c>
      <c r="F611" s="8">
        <v>11442</v>
      </c>
      <c r="G611" s="8">
        <v>8918</v>
      </c>
      <c r="H611" s="8">
        <v>38500</v>
      </c>
      <c r="I611" s="8">
        <v>2524</v>
      </c>
      <c r="J611" s="8">
        <v>8918</v>
      </c>
      <c r="K611" s="8">
        <v>2524</v>
      </c>
      <c r="L611" s="10">
        <v>77.9</v>
      </c>
    </row>
    <row r="612" spans="1:12" x14ac:dyDescent="0.25">
      <c r="A612" s="6" t="s">
        <v>61</v>
      </c>
      <c r="B612" s="6" t="s">
        <v>2839</v>
      </c>
      <c r="C612" s="8">
        <v>10</v>
      </c>
      <c r="D612" s="6" t="s">
        <v>2850</v>
      </c>
      <c r="E612" s="6" t="s">
        <v>2666</v>
      </c>
      <c r="F612" s="8">
        <v>11546</v>
      </c>
      <c r="G612" s="8">
        <v>11867</v>
      </c>
      <c r="H612" s="8">
        <v>38500</v>
      </c>
      <c r="I612" s="8">
        <v>0</v>
      </c>
      <c r="J612" s="8">
        <v>11546</v>
      </c>
      <c r="K612" s="8">
        <v>0</v>
      </c>
      <c r="L612" s="8">
        <v>100</v>
      </c>
    </row>
    <row r="613" spans="1:12" x14ac:dyDescent="0.25">
      <c r="A613" s="6" t="s">
        <v>61</v>
      </c>
      <c r="B613" s="6" t="s">
        <v>2839</v>
      </c>
      <c r="C613" s="8">
        <v>11</v>
      </c>
      <c r="D613" s="6" t="s">
        <v>2851</v>
      </c>
      <c r="E613" s="6" t="s">
        <v>2666</v>
      </c>
      <c r="F613" s="8">
        <v>11642</v>
      </c>
      <c r="G613" s="8">
        <v>13880</v>
      </c>
      <c r="H613" s="8">
        <v>38500</v>
      </c>
      <c r="I613" s="8">
        <v>0</v>
      </c>
      <c r="J613" s="8">
        <v>11642</v>
      </c>
      <c r="K613" s="8">
        <v>0</v>
      </c>
      <c r="L613" s="8">
        <v>100</v>
      </c>
    </row>
    <row r="614" spans="1:12" x14ac:dyDescent="0.25">
      <c r="A614" s="6" t="s">
        <v>61</v>
      </c>
      <c r="B614" s="6" t="s">
        <v>2839</v>
      </c>
      <c r="C614" s="8">
        <v>12</v>
      </c>
      <c r="D614" s="6" t="s">
        <v>2852</v>
      </c>
      <c r="E614" s="6" t="s">
        <v>2666</v>
      </c>
      <c r="F614" s="8">
        <v>11725</v>
      </c>
      <c r="G614" s="8">
        <v>14593</v>
      </c>
      <c r="H614" s="8">
        <v>38500</v>
      </c>
      <c r="I614" s="8">
        <v>0</v>
      </c>
      <c r="J614" s="8">
        <v>11725</v>
      </c>
      <c r="K614" s="8">
        <v>0</v>
      </c>
      <c r="L614" s="8">
        <v>100</v>
      </c>
    </row>
    <row r="615" spans="1:12" x14ac:dyDescent="0.25">
      <c r="A615" s="6" t="s">
        <v>61</v>
      </c>
      <c r="B615" s="6" t="s">
        <v>2839</v>
      </c>
      <c r="C615" s="8">
        <v>13</v>
      </c>
      <c r="D615" s="6" t="s">
        <v>2853</v>
      </c>
      <c r="E615" s="6" t="s">
        <v>2666</v>
      </c>
      <c r="F615" s="8">
        <v>11789</v>
      </c>
      <c r="G615" s="8">
        <v>13880</v>
      </c>
      <c r="H615" s="8">
        <v>38500</v>
      </c>
      <c r="I615" s="8">
        <v>0</v>
      </c>
      <c r="J615" s="8">
        <v>11789</v>
      </c>
      <c r="K615" s="8">
        <v>0</v>
      </c>
      <c r="L615" s="8">
        <v>100</v>
      </c>
    </row>
    <row r="616" spans="1:12" x14ac:dyDescent="0.25">
      <c r="A616" s="6" t="s">
        <v>61</v>
      </c>
      <c r="B616" s="6" t="s">
        <v>2839</v>
      </c>
      <c r="C616" s="8">
        <v>14</v>
      </c>
      <c r="D616" s="6" t="s">
        <v>2854</v>
      </c>
      <c r="E616" s="6" t="s">
        <v>2666</v>
      </c>
      <c r="F616" s="8">
        <v>11829</v>
      </c>
      <c r="G616" s="8">
        <v>11867</v>
      </c>
      <c r="H616" s="8">
        <v>38500</v>
      </c>
      <c r="I616" s="8">
        <v>0</v>
      </c>
      <c r="J616" s="8">
        <v>11829</v>
      </c>
      <c r="K616" s="8">
        <v>0</v>
      </c>
      <c r="L616" s="8">
        <v>100</v>
      </c>
    </row>
    <row r="617" spans="1:12" x14ac:dyDescent="0.25">
      <c r="A617" s="6" t="s">
        <v>61</v>
      </c>
      <c r="B617" s="6" t="s">
        <v>2839</v>
      </c>
      <c r="C617" s="8">
        <v>15</v>
      </c>
      <c r="D617" s="6" t="s">
        <v>2855</v>
      </c>
      <c r="E617" s="6" t="s">
        <v>2666</v>
      </c>
      <c r="F617" s="8">
        <v>11842</v>
      </c>
      <c r="G617" s="8">
        <v>8918</v>
      </c>
      <c r="H617" s="8">
        <v>38500</v>
      </c>
      <c r="I617" s="8">
        <v>2924</v>
      </c>
      <c r="J617" s="8">
        <v>8918</v>
      </c>
      <c r="K617" s="8">
        <v>2924</v>
      </c>
      <c r="L617" s="10">
        <v>75.3</v>
      </c>
    </row>
    <row r="618" spans="1:12" x14ac:dyDescent="0.25">
      <c r="A618" s="6" t="s">
        <v>61</v>
      </c>
      <c r="B618" s="6" t="s">
        <v>2839</v>
      </c>
      <c r="C618" s="8">
        <v>16</v>
      </c>
      <c r="D618" s="6" t="s">
        <v>2856</v>
      </c>
      <c r="E618" s="6" t="s">
        <v>2666</v>
      </c>
      <c r="F618" s="8">
        <v>11829</v>
      </c>
      <c r="G618" s="8">
        <v>5580</v>
      </c>
      <c r="H618" s="8">
        <v>38500</v>
      </c>
      <c r="I618" s="8">
        <v>6249</v>
      </c>
      <c r="J618" s="8">
        <v>5580</v>
      </c>
      <c r="K618" s="8">
        <v>6249</v>
      </c>
      <c r="L618" s="10">
        <v>47.2</v>
      </c>
    </row>
    <row r="619" spans="1:12" x14ac:dyDescent="0.25">
      <c r="A619" s="6" t="s">
        <v>61</v>
      </c>
      <c r="B619" s="6" t="s">
        <v>2839</v>
      </c>
      <c r="C619" s="8">
        <v>17</v>
      </c>
      <c r="D619" s="6" t="s">
        <v>2857</v>
      </c>
      <c r="E619" s="6" t="s">
        <v>2666</v>
      </c>
      <c r="F619" s="8">
        <v>11789</v>
      </c>
      <c r="G619" s="8">
        <v>2504</v>
      </c>
      <c r="H619" s="8">
        <v>38500</v>
      </c>
      <c r="I619" s="8">
        <v>9285</v>
      </c>
      <c r="J619" s="8">
        <v>2504</v>
      </c>
      <c r="K619" s="8">
        <v>9285</v>
      </c>
      <c r="L619" s="10">
        <v>21.2</v>
      </c>
    </row>
    <row r="620" spans="1:12" x14ac:dyDescent="0.25">
      <c r="A620" s="6" t="s">
        <v>61</v>
      </c>
      <c r="B620" s="6" t="s">
        <v>2839</v>
      </c>
      <c r="C620" s="8">
        <v>18</v>
      </c>
      <c r="D620" s="6" t="s">
        <v>2858</v>
      </c>
      <c r="E620" s="6" t="s">
        <v>2666</v>
      </c>
      <c r="F620" s="8">
        <v>11725</v>
      </c>
      <c r="G620" s="8">
        <v>400</v>
      </c>
      <c r="H620" s="8">
        <v>38500</v>
      </c>
      <c r="I620" s="8">
        <v>11325</v>
      </c>
      <c r="J620" s="8">
        <v>400</v>
      </c>
      <c r="K620" s="8">
        <v>11325</v>
      </c>
      <c r="L620" s="10">
        <v>3.4</v>
      </c>
    </row>
    <row r="621" spans="1:12" x14ac:dyDescent="0.25">
      <c r="A621" s="6" t="s">
        <v>61</v>
      </c>
      <c r="B621" s="6" t="s">
        <v>2839</v>
      </c>
      <c r="C621" s="8">
        <v>19</v>
      </c>
      <c r="D621" s="6" t="s">
        <v>2859</v>
      </c>
      <c r="E621" s="6" t="s">
        <v>2666</v>
      </c>
      <c r="F621" s="8">
        <v>11642</v>
      </c>
      <c r="G621" s="8">
        <v>0</v>
      </c>
      <c r="H621" s="8">
        <v>38500</v>
      </c>
      <c r="I621" s="8">
        <v>11642</v>
      </c>
      <c r="J621" s="8">
        <v>0</v>
      </c>
      <c r="K621" s="8">
        <v>11642</v>
      </c>
      <c r="L621" s="8">
        <v>0</v>
      </c>
    </row>
    <row r="622" spans="1:12" x14ac:dyDescent="0.25">
      <c r="A622" s="6" t="s">
        <v>61</v>
      </c>
      <c r="B622" s="6" t="s">
        <v>2839</v>
      </c>
      <c r="C622" s="8">
        <v>20</v>
      </c>
      <c r="D622" s="6" t="s">
        <v>2860</v>
      </c>
      <c r="E622" s="6" t="s">
        <v>2666</v>
      </c>
      <c r="F622" s="8">
        <v>11546</v>
      </c>
      <c r="G622" s="8">
        <v>0</v>
      </c>
      <c r="H622" s="8">
        <v>38500</v>
      </c>
      <c r="I622" s="8">
        <v>11546</v>
      </c>
      <c r="J622" s="8">
        <v>0</v>
      </c>
      <c r="K622" s="8">
        <v>11546</v>
      </c>
      <c r="L622" s="8">
        <v>0</v>
      </c>
    </row>
    <row r="623" spans="1:12" x14ac:dyDescent="0.25">
      <c r="A623" s="6" t="s">
        <v>61</v>
      </c>
      <c r="B623" s="6" t="s">
        <v>2839</v>
      </c>
      <c r="C623" s="8">
        <v>21</v>
      </c>
      <c r="D623" s="6" t="s">
        <v>2861</v>
      </c>
      <c r="E623" s="6" t="s">
        <v>2666</v>
      </c>
      <c r="F623" s="8">
        <v>11442</v>
      </c>
      <c r="G623" s="8">
        <v>0</v>
      </c>
      <c r="H623" s="8">
        <v>38500</v>
      </c>
      <c r="I623" s="8">
        <v>11442</v>
      </c>
      <c r="J623" s="8">
        <v>0</v>
      </c>
      <c r="K623" s="8">
        <v>11442</v>
      </c>
      <c r="L623" s="8">
        <v>0</v>
      </c>
    </row>
    <row r="624" spans="1:12" x14ac:dyDescent="0.25">
      <c r="A624" s="6" t="s">
        <v>61</v>
      </c>
      <c r="B624" s="6" t="s">
        <v>2839</v>
      </c>
      <c r="C624" s="8">
        <v>22</v>
      </c>
      <c r="D624" s="6" t="s">
        <v>2862</v>
      </c>
      <c r="E624" s="6" t="s">
        <v>2666</v>
      </c>
      <c r="F624" s="8">
        <v>11338</v>
      </c>
      <c r="G624" s="8">
        <v>0</v>
      </c>
      <c r="H624" s="8">
        <v>38500</v>
      </c>
      <c r="I624" s="8">
        <v>11338</v>
      </c>
      <c r="J624" s="8">
        <v>0</v>
      </c>
      <c r="K624" s="8">
        <v>11338</v>
      </c>
      <c r="L624" s="8">
        <v>0</v>
      </c>
    </row>
    <row r="625" spans="1:12" x14ac:dyDescent="0.25">
      <c r="A625" s="6" t="s">
        <v>61</v>
      </c>
      <c r="B625" s="6" t="s">
        <v>2839</v>
      </c>
      <c r="C625" s="8">
        <v>23</v>
      </c>
      <c r="D625" s="6" t="s">
        <v>2863</v>
      </c>
      <c r="E625" s="6" t="s">
        <v>2666</v>
      </c>
      <c r="F625" s="8">
        <v>11242</v>
      </c>
      <c r="G625" s="8">
        <v>0</v>
      </c>
      <c r="H625" s="8">
        <v>38500</v>
      </c>
      <c r="I625" s="8">
        <v>11242</v>
      </c>
      <c r="J625" s="8">
        <v>0</v>
      </c>
      <c r="K625" s="8">
        <v>11242</v>
      </c>
      <c r="L625" s="8">
        <v>0</v>
      </c>
    </row>
    <row r="626" spans="1:12" x14ac:dyDescent="0.25">
      <c r="A626" s="6" t="s">
        <v>61</v>
      </c>
      <c r="B626" s="6" t="s">
        <v>2864</v>
      </c>
      <c r="C626" s="8">
        <v>0</v>
      </c>
      <c r="D626" s="6" t="s">
        <v>2865</v>
      </c>
      <c r="E626" s="6" t="s">
        <v>2269</v>
      </c>
      <c r="F626" s="8">
        <v>11199</v>
      </c>
      <c r="G626" s="8">
        <v>0</v>
      </c>
      <c r="H626" s="8">
        <v>38500</v>
      </c>
      <c r="I626" s="8">
        <v>11199</v>
      </c>
      <c r="J626" s="8">
        <v>0</v>
      </c>
      <c r="K626" s="8">
        <v>11199</v>
      </c>
      <c r="L626" s="8">
        <v>0</v>
      </c>
    </row>
    <row r="627" spans="1:12" x14ac:dyDescent="0.25">
      <c r="A627" s="6" t="s">
        <v>61</v>
      </c>
      <c r="B627" s="6" t="s">
        <v>2864</v>
      </c>
      <c r="C627" s="8">
        <v>1</v>
      </c>
      <c r="D627" s="6" t="s">
        <v>2866</v>
      </c>
      <c r="E627" s="6" t="s">
        <v>2269</v>
      </c>
      <c r="F627" s="8">
        <v>11135</v>
      </c>
      <c r="G627" s="8">
        <v>0</v>
      </c>
      <c r="H627" s="8">
        <v>38500</v>
      </c>
      <c r="I627" s="8">
        <v>11135</v>
      </c>
      <c r="J627" s="8">
        <v>0</v>
      </c>
      <c r="K627" s="8">
        <v>11135</v>
      </c>
      <c r="L627" s="8">
        <v>0</v>
      </c>
    </row>
    <row r="628" spans="1:12" x14ac:dyDescent="0.25">
      <c r="A628" s="6" t="s">
        <v>61</v>
      </c>
      <c r="B628" s="6" t="s">
        <v>2864</v>
      </c>
      <c r="C628" s="8">
        <v>2</v>
      </c>
      <c r="D628" s="6" t="s">
        <v>2867</v>
      </c>
      <c r="E628" s="6" t="s">
        <v>2269</v>
      </c>
      <c r="F628" s="8">
        <v>11095</v>
      </c>
      <c r="G628" s="8">
        <v>0</v>
      </c>
      <c r="H628" s="8">
        <v>38500</v>
      </c>
      <c r="I628" s="8">
        <v>11095</v>
      </c>
      <c r="J628" s="8">
        <v>0</v>
      </c>
      <c r="K628" s="8">
        <v>11095</v>
      </c>
      <c r="L628" s="8">
        <v>0</v>
      </c>
    </row>
    <row r="629" spans="1:12" x14ac:dyDescent="0.25">
      <c r="A629" s="6" t="s">
        <v>61</v>
      </c>
      <c r="B629" s="6" t="s">
        <v>2864</v>
      </c>
      <c r="C629" s="8">
        <v>3</v>
      </c>
      <c r="D629" s="6" t="s">
        <v>2868</v>
      </c>
      <c r="E629" s="6" t="s">
        <v>2269</v>
      </c>
      <c r="F629" s="8">
        <v>11081</v>
      </c>
      <c r="G629" s="8">
        <v>0</v>
      </c>
      <c r="H629" s="8">
        <v>38500</v>
      </c>
      <c r="I629" s="8">
        <v>11081</v>
      </c>
      <c r="J629" s="8">
        <v>0</v>
      </c>
      <c r="K629" s="8">
        <v>11081</v>
      </c>
      <c r="L629" s="8">
        <v>0</v>
      </c>
    </row>
    <row r="630" spans="1:12" x14ac:dyDescent="0.25">
      <c r="A630" s="6" t="s">
        <v>61</v>
      </c>
      <c r="B630" s="6" t="s">
        <v>2864</v>
      </c>
      <c r="C630" s="8">
        <v>4</v>
      </c>
      <c r="D630" s="6" t="s">
        <v>2869</v>
      </c>
      <c r="E630" s="6" t="s">
        <v>2269</v>
      </c>
      <c r="F630" s="8">
        <v>11095</v>
      </c>
      <c r="G630" s="8">
        <v>0</v>
      </c>
      <c r="H630" s="8">
        <v>38500</v>
      </c>
      <c r="I630" s="8">
        <v>11095</v>
      </c>
      <c r="J630" s="8">
        <v>0</v>
      </c>
      <c r="K630" s="8">
        <v>11095</v>
      </c>
      <c r="L630" s="8">
        <v>0</v>
      </c>
    </row>
    <row r="631" spans="1:12" x14ac:dyDescent="0.25">
      <c r="A631" s="6" t="s">
        <v>61</v>
      </c>
      <c r="B631" s="6" t="s">
        <v>2864</v>
      </c>
      <c r="C631" s="8">
        <v>5</v>
      </c>
      <c r="D631" s="6" t="s">
        <v>2870</v>
      </c>
      <c r="E631" s="6" t="s">
        <v>2269</v>
      </c>
      <c r="F631" s="8">
        <v>11135</v>
      </c>
      <c r="G631" s="8">
        <v>0</v>
      </c>
      <c r="H631" s="8">
        <v>38500</v>
      </c>
      <c r="I631" s="8">
        <v>11135</v>
      </c>
      <c r="J631" s="8">
        <v>0</v>
      </c>
      <c r="K631" s="8">
        <v>11135</v>
      </c>
      <c r="L631" s="8">
        <v>0</v>
      </c>
    </row>
    <row r="632" spans="1:12" x14ac:dyDescent="0.25">
      <c r="A632" s="6" t="s">
        <v>61</v>
      </c>
      <c r="B632" s="6" t="s">
        <v>2864</v>
      </c>
      <c r="C632" s="8">
        <v>6</v>
      </c>
      <c r="D632" s="6" t="s">
        <v>2871</v>
      </c>
      <c r="E632" s="6" t="s">
        <v>2269</v>
      </c>
      <c r="F632" s="8">
        <v>11199</v>
      </c>
      <c r="G632" s="8">
        <v>733</v>
      </c>
      <c r="H632" s="8">
        <v>38500</v>
      </c>
      <c r="I632" s="8">
        <v>10466</v>
      </c>
      <c r="J632" s="8">
        <v>733</v>
      </c>
      <c r="K632" s="8">
        <v>10466</v>
      </c>
      <c r="L632" s="10">
        <v>6.5</v>
      </c>
    </row>
    <row r="633" spans="1:12" x14ac:dyDescent="0.25">
      <c r="A633" s="6" t="s">
        <v>61</v>
      </c>
      <c r="B633" s="6" t="s">
        <v>2864</v>
      </c>
      <c r="C633" s="8">
        <v>7</v>
      </c>
      <c r="D633" s="6" t="s">
        <v>2872</v>
      </c>
      <c r="E633" s="6" t="s">
        <v>2269</v>
      </c>
      <c r="F633" s="8">
        <v>11282</v>
      </c>
      <c r="G633" s="8">
        <v>4588</v>
      </c>
      <c r="H633" s="8">
        <v>38500</v>
      </c>
      <c r="I633" s="8">
        <v>6694</v>
      </c>
      <c r="J633" s="8">
        <v>4588</v>
      </c>
      <c r="K633" s="8">
        <v>6694</v>
      </c>
      <c r="L633" s="10">
        <v>40.7</v>
      </c>
    </row>
    <row r="634" spans="1:12" x14ac:dyDescent="0.25">
      <c r="A634" s="6" t="s">
        <v>61</v>
      </c>
      <c r="B634" s="6" t="s">
        <v>2864</v>
      </c>
      <c r="C634" s="8">
        <v>8</v>
      </c>
      <c r="D634" s="6" t="s">
        <v>2873</v>
      </c>
      <c r="E634" s="6" t="s">
        <v>2269</v>
      </c>
      <c r="F634" s="8">
        <v>11379</v>
      </c>
      <c r="G634" s="8">
        <v>10222</v>
      </c>
      <c r="H634" s="8">
        <v>38500</v>
      </c>
      <c r="I634" s="8">
        <v>1157</v>
      </c>
      <c r="J634" s="8">
        <v>10222</v>
      </c>
      <c r="K634" s="8">
        <v>1157</v>
      </c>
      <c r="L634" s="10">
        <v>89.8</v>
      </c>
    </row>
    <row r="635" spans="1:12" x14ac:dyDescent="0.25">
      <c r="A635" s="6" t="s">
        <v>61</v>
      </c>
      <c r="B635" s="6" t="s">
        <v>2864</v>
      </c>
      <c r="C635" s="8">
        <v>9</v>
      </c>
      <c r="D635" s="6" t="s">
        <v>2874</v>
      </c>
      <c r="E635" s="6" t="s">
        <v>2269</v>
      </c>
      <c r="F635" s="8">
        <v>11483</v>
      </c>
      <c r="G635" s="8">
        <v>16339</v>
      </c>
      <c r="H635" s="8">
        <v>38500</v>
      </c>
      <c r="I635" s="8">
        <v>0</v>
      </c>
      <c r="J635" s="8">
        <v>11483</v>
      </c>
      <c r="K635" s="8">
        <v>0</v>
      </c>
      <c r="L635" s="8">
        <v>100</v>
      </c>
    </row>
    <row r="636" spans="1:12" x14ac:dyDescent="0.25">
      <c r="A636" s="6" t="s">
        <v>61</v>
      </c>
      <c r="B636" s="6" t="s">
        <v>2864</v>
      </c>
      <c r="C636" s="8">
        <v>10</v>
      </c>
      <c r="D636" s="6" t="s">
        <v>2875</v>
      </c>
      <c r="E636" s="6" t="s">
        <v>2269</v>
      </c>
      <c r="F636" s="8">
        <v>11587</v>
      </c>
      <c r="G636" s="8">
        <v>21740</v>
      </c>
      <c r="H636" s="8">
        <v>38500</v>
      </c>
      <c r="I636" s="8">
        <v>0</v>
      </c>
      <c r="J636" s="8">
        <v>11587</v>
      </c>
      <c r="K636" s="8">
        <v>0</v>
      </c>
      <c r="L636" s="8">
        <v>100</v>
      </c>
    </row>
    <row r="637" spans="1:12" x14ac:dyDescent="0.25">
      <c r="A637" s="6" t="s">
        <v>61</v>
      </c>
      <c r="B637" s="6" t="s">
        <v>2864</v>
      </c>
      <c r="C637" s="8">
        <v>11</v>
      </c>
      <c r="D637" s="6" t="s">
        <v>2876</v>
      </c>
      <c r="E637" s="6" t="s">
        <v>2269</v>
      </c>
      <c r="F637" s="8">
        <v>11684</v>
      </c>
      <c r="G637" s="8">
        <v>25428</v>
      </c>
      <c r="H637" s="8">
        <v>38500</v>
      </c>
      <c r="I637" s="8">
        <v>0</v>
      </c>
      <c r="J637" s="8">
        <v>11684</v>
      </c>
      <c r="K637" s="8">
        <v>0</v>
      </c>
      <c r="L637" s="8">
        <v>100</v>
      </c>
    </row>
    <row r="638" spans="1:12" x14ac:dyDescent="0.25">
      <c r="A638" s="6" t="s">
        <v>61</v>
      </c>
      <c r="B638" s="6" t="s">
        <v>2864</v>
      </c>
      <c r="C638" s="8">
        <v>12</v>
      </c>
      <c r="D638" s="6" t="s">
        <v>2877</v>
      </c>
      <c r="E638" s="6" t="s">
        <v>2269</v>
      </c>
      <c r="F638" s="8">
        <v>11768</v>
      </c>
      <c r="G638" s="8">
        <v>26735</v>
      </c>
      <c r="H638" s="8">
        <v>38500</v>
      </c>
      <c r="I638" s="8">
        <v>0</v>
      </c>
      <c r="J638" s="8">
        <v>11768</v>
      </c>
      <c r="K638" s="8">
        <v>0</v>
      </c>
      <c r="L638" s="8">
        <v>100</v>
      </c>
    </row>
    <row r="639" spans="1:12" x14ac:dyDescent="0.25">
      <c r="A639" s="6" t="s">
        <v>61</v>
      </c>
      <c r="B639" s="6" t="s">
        <v>2864</v>
      </c>
      <c r="C639" s="8">
        <v>13</v>
      </c>
      <c r="D639" s="6" t="s">
        <v>2878</v>
      </c>
      <c r="E639" s="6" t="s">
        <v>2269</v>
      </c>
      <c r="F639" s="8">
        <v>11831</v>
      </c>
      <c r="G639" s="8">
        <v>25428</v>
      </c>
      <c r="H639" s="8">
        <v>38500</v>
      </c>
      <c r="I639" s="8">
        <v>0</v>
      </c>
      <c r="J639" s="8">
        <v>11831</v>
      </c>
      <c r="K639" s="8">
        <v>0</v>
      </c>
      <c r="L639" s="8">
        <v>100</v>
      </c>
    </row>
    <row r="640" spans="1:12" x14ac:dyDescent="0.25">
      <c r="A640" s="6" t="s">
        <v>61</v>
      </c>
      <c r="B640" s="6" t="s">
        <v>2864</v>
      </c>
      <c r="C640" s="8">
        <v>14</v>
      </c>
      <c r="D640" s="6" t="s">
        <v>2879</v>
      </c>
      <c r="E640" s="6" t="s">
        <v>2269</v>
      </c>
      <c r="F640" s="8">
        <v>11872</v>
      </c>
      <c r="G640" s="8">
        <v>21740</v>
      </c>
      <c r="H640" s="8">
        <v>38500</v>
      </c>
      <c r="I640" s="8">
        <v>0</v>
      </c>
      <c r="J640" s="8">
        <v>11872</v>
      </c>
      <c r="K640" s="8">
        <v>0</v>
      </c>
      <c r="L640" s="8">
        <v>100</v>
      </c>
    </row>
    <row r="641" spans="1:12" x14ac:dyDescent="0.25">
      <c r="A641" s="6" t="s">
        <v>61</v>
      </c>
      <c r="B641" s="6" t="s">
        <v>2864</v>
      </c>
      <c r="C641" s="8">
        <v>15</v>
      </c>
      <c r="D641" s="6" t="s">
        <v>2880</v>
      </c>
      <c r="E641" s="6" t="s">
        <v>2269</v>
      </c>
      <c r="F641" s="8">
        <v>11885</v>
      </c>
      <c r="G641" s="8">
        <v>16339</v>
      </c>
      <c r="H641" s="8">
        <v>38500</v>
      </c>
      <c r="I641" s="8">
        <v>0</v>
      </c>
      <c r="J641" s="8">
        <v>11885</v>
      </c>
      <c r="K641" s="8">
        <v>0</v>
      </c>
      <c r="L641" s="8">
        <v>100</v>
      </c>
    </row>
    <row r="642" spans="1:12" x14ac:dyDescent="0.25">
      <c r="A642" s="6" t="s">
        <v>61</v>
      </c>
      <c r="B642" s="6" t="s">
        <v>2864</v>
      </c>
      <c r="C642" s="8">
        <v>16</v>
      </c>
      <c r="D642" s="6" t="s">
        <v>2881</v>
      </c>
      <c r="E642" s="6" t="s">
        <v>2269</v>
      </c>
      <c r="F642" s="8">
        <v>11872</v>
      </c>
      <c r="G642" s="8">
        <v>10222</v>
      </c>
      <c r="H642" s="8">
        <v>38500</v>
      </c>
      <c r="I642" s="8">
        <v>1650</v>
      </c>
      <c r="J642" s="8">
        <v>10222</v>
      </c>
      <c r="K642" s="8">
        <v>1650</v>
      </c>
      <c r="L642" s="10">
        <v>86.1</v>
      </c>
    </row>
    <row r="643" spans="1:12" x14ac:dyDescent="0.25">
      <c r="A643" s="6" t="s">
        <v>61</v>
      </c>
      <c r="B643" s="6" t="s">
        <v>2864</v>
      </c>
      <c r="C643" s="8">
        <v>17</v>
      </c>
      <c r="D643" s="6" t="s">
        <v>2882</v>
      </c>
      <c r="E643" s="6" t="s">
        <v>2269</v>
      </c>
      <c r="F643" s="8">
        <v>11831</v>
      </c>
      <c r="G643" s="8">
        <v>4588</v>
      </c>
      <c r="H643" s="8">
        <v>38500</v>
      </c>
      <c r="I643" s="8">
        <v>7243</v>
      </c>
      <c r="J643" s="8">
        <v>4588</v>
      </c>
      <c r="K643" s="8">
        <v>7243</v>
      </c>
      <c r="L643" s="10">
        <v>38.8</v>
      </c>
    </row>
    <row r="644" spans="1:12" x14ac:dyDescent="0.25">
      <c r="A644" s="6" t="s">
        <v>61</v>
      </c>
      <c r="B644" s="6" t="s">
        <v>2864</v>
      </c>
      <c r="C644" s="8">
        <v>18</v>
      </c>
      <c r="D644" s="6" t="s">
        <v>2883</v>
      </c>
      <c r="E644" s="6" t="s">
        <v>2269</v>
      </c>
      <c r="F644" s="8">
        <v>11768</v>
      </c>
      <c r="G644" s="8">
        <v>733</v>
      </c>
      <c r="H644" s="8">
        <v>38500</v>
      </c>
      <c r="I644" s="8">
        <v>11035</v>
      </c>
      <c r="J644" s="8">
        <v>733</v>
      </c>
      <c r="K644" s="8">
        <v>11035</v>
      </c>
      <c r="L644" s="10">
        <v>6.2</v>
      </c>
    </row>
    <row r="645" spans="1:12" x14ac:dyDescent="0.25">
      <c r="A645" s="6" t="s">
        <v>61</v>
      </c>
      <c r="B645" s="6" t="s">
        <v>2864</v>
      </c>
      <c r="C645" s="8">
        <v>19</v>
      </c>
      <c r="D645" s="6" t="s">
        <v>2884</v>
      </c>
      <c r="E645" s="6" t="s">
        <v>2269</v>
      </c>
      <c r="F645" s="8">
        <v>11684</v>
      </c>
      <c r="G645" s="8">
        <v>0</v>
      </c>
      <c r="H645" s="8">
        <v>38500</v>
      </c>
      <c r="I645" s="8">
        <v>11684</v>
      </c>
      <c r="J645" s="8">
        <v>0</v>
      </c>
      <c r="K645" s="8">
        <v>11684</v>
      </c>
      <c r="L645" s="8">
        <v>0</v>
      </c>
    </row>
    <row r="646" spans="1:12" x14ac:dyDescent="0.25">
      <c r="A646" s="6" t="s">
        <v>61</v>
      </c>
      <c r="B646" s="6" t="s">
        <v>2864</v>
      </c>
      <c r="C646" s="8">
        <v>20</v>
      </c>
      <c r="D646" s="6" t="s">
        <v>2885</v>
      </c>
      <c r="E646" s="6" t="s">
        <v>2269</v>
      </c>
      <c r="F646" s="8">
        <v>11587</v>
      </c>
      <c r="G646" s="8">
        <v>0</v>
      </c>
      <c r="H646" s="8">
        <v>38500</v>
      </c>
      <c r="I646" s="8">
        <v>11587</v>
      </c>
      <c r="J646" s="8">
        <v>0</v>
      </c>
      <c r="K646" s="8">
        <v>11587</v>
      </c>
      <c r="L646" s="8">
        <v>0</v>
      </c>
    </row>
    <row r="647" spans="1:12" x14ac:dyDescent="0.25">
      <c r="A647" s="6" t="s">
        <v>61</v>
      </c>
      <c r="B647" s="6" t="s">
        <v>2864</v>
      </c>
      <c r="C647" s="8">
        <v>21</v>
      </c>
      <c r="D647" s="6" t="s">
        <v>2886</v>
      </c>
      <c r="E647" s="6" t="s">
        <v>2269</v>
      </c>
      <c r="F647" s="8">
        <v>11483</v>
      </c>
      <c r="G647" s="8">
        <v>0</v>
      </c>
      <c r="H647" s="8">
        <v>38500</v>
      </c>
      <c r="I647" s="8">
        <v>11483</v>
      </c>
      <c r="J647" s="8">
        <v>0</v>
      </c>
      <c r="K647" s="8">
        <v>11483</v>
      </c>
      <c r="L647" s="8">
        <v>0</v>
      </c>
    </row>
    <row r="648" spans="1:12" x14ac:dyDescent="0.25">
      <c r="A648" s="6" t="s">
        <v>61</v>
      </c>
      <c r="B648" s="6" t="s">
        <v>2864</v>
      </c>
      <c r="C648" s="8">
        <v>22</v>
      </c>
      <c r="D648" s="6" t="s">
        <v>2887</v>
      </c>
      <c r="E648" s="6" t="s">
        <v>2269</v>
      </c>
      <c r="F648" s="8">
        <v>11379</v>
      </c>
      <c r="G648" s="8">
        <v>0</v>
      </c>
      <c r="H648" s="8">
        <v>38500</v>
      </c>
      <c r="I648" s="8">
        <v>11379</v>
      </c>
      <c r="J648" s="8">
        <v>0</v>
      </c>
      <c r="K648" s="8">
        <v>11379</v>
      </c>
      <c r="L648" s="8">
        <v>0</v>
      </c>
    </row>
    <row r="649" spans="1:12" x14ac:dyDescent="0.25">
      <c r="A649" s="6" t="s">
        <v>61</v>
      </c>
      <c r="B649" s="6" t="s">
        <v>2864</v>
      </c>
      <c r="C649" s="8">
        <v>23</v>
      </c>
      <c r="D649" s="6" t="s">
        <v>2888</v>
      </c>
      <c r="E649" s="6" t="s">
        <v>2269</v>
      </c>
      <c r="F649" s="8">
        <v>11282</v>
      </c>
      <c r="G649" s="8">
        <v>0</v>
      </c>
      <c r="H649" s="8">
        <v>38500</v>
      </c>
      <c r="I649" s="8">
        <v>11282</v>
      </c>
      <c r="J649" s="8">
        <v>0</v>
      </c>
      <c r="K649" s="8">
        <v>11282</v>
      </c>
      <c r="L649" s="8">
        <v>0</v>
      </c>
    </row>
    <row r="650" spans="1:12" x14ac:dyDescent="0.25">
      <c r="A650" s="6" t="s">
        <v>61</v>
      </c>
      <c r="B650" s="6" t="s">
        <v>2889</v>
      </c>
      <c r="C650" s="8">
        <v>0</v>
      </c>
      <c r="D650" s="6" t="s">
        <v>2890</v>
      </c>
      <c r="E650" s="6" t="s">
        <v>2666</v>
      </c>
      <c r="F650" s="8">
        <v>11199</v>
      </c>
      <c r="G650" s="8">
        <v>0</v>
      </c>
      <c r="H650" s="8">
        <v>38500</v>
      </c>
      <c r="I650" s="8">
        <v>11199</v>
      </c>
      <c r="J650" s="8">
        <v>0</v>
      </c>
      <c r="K650" s="8">
        <v>11199</v>
      </c>
      <c r="L650" s="8">
        <v>0</v>
      </c>
    </row>
    <row r="651" spans="1:12" x14ac:dyDescent="0.25">
      <c r="A651" s="6" t="s">
        <v>61</v>
      </c>
      <c r="B651" s="6" t="s">
        <v>2889</v>
      </c>
      <c r="C651" s="8">
        <v>1</v>
      </c>
      <c r="D651" s="6" t="s">
        <v>2891</v>
      </c>
      <c r="E651" s="6" t="s">
        <v>2666</v>
      </c>
      <c r="F651" s="8">
        <v>11135</v>
      </c>
      <c r="G651" s="8">
        <v>0</v>
      </c>
      <c r="H651" s="8">
        <v>38500</v>
      </c>
      <c r="I651" s="8">
        <v>11135</v>
      </c>
      <c r="J651" s="8">
        <v>0</v>
      </c>
      <c r="K651" s="8">
        <v>11135</v>
      </c>
      <c r="L651" s="8">
        <v>0</v>
      </c>
    </row>
    <row r="652" spans="1:12" x14ac:dyDescent="0.25">
      <c r="A652" s="6" t="s">
        <v>61</v>
      </c>
      <c r="B652" s="6" t="s">
        <v>2889</v>
      </c>
      <c r="C652" s="8">
        <v>2</v>
      </c>
      <c r="D652" s="6" t="s">
        <v>2892</v>
      </c>
      <c r="E652" s="6" t="s">
        <v>2666</v>
      </c>
      <c r="F652" s="8">
        <v>11095</v>
      </c>
      <c r="G652" s="8">
        <v>0</v>
      </c>
      <c r="H652" s="8">
        <v>38500</v>
      </c>
      <c r="I652" s="8">
        <v>11095</v>
      </c>
      <c r="J652" s="8">
        <v>0</v>
      </c>
      <c r="K652" s="8">
        <v>11095</v>
      </c>
      <c r="L652" s="8">
        <v>0</v>
      </c>
    </row>
    <row r="653" spans="1:12" x14ac:dyDescent="0.25">
      <c r="A653" s="6" t="s">
        <v>61</v>
      </c>
      <c r="B653" s="6" t="s">
        <v>2889</v>
      </c>
      <c r="C653" s="8">
        <v>3</v>
      </c>
      <c r="D653" s="6" t="s">
        <v>2893</v>
      </c>
      <c r="E653" s="6" t="s">
        <v>2666</v>
      </c>
      <c r="F653" s="8">
        <v>11081</v>
      </c>
      <c r="G653" s="8">
        <v>0</v>
      </c>
      <c r="H653" s="8">
        <v>38500</v>
      </c>
      <c r="I653" s="8">
        <v>11081</v>
      </c>
      <c r="J653" s="8">
        <v>0</v>
      </c>
      <c r="K653" s="8">
        <v>11081</v>
      </c>
      <c r="L653" s="8">
        <v>0</v>
      </c>
    </row>
    <row r="654" spans="1:12" x14ac:dyDescent="0.25">
      <c r="A654" s="6" t="s">
        <v>61</v>
      </c>
      <c r="B654" s="6" t="s">
        <v>2889</v>
      </c>
      <c r="C654" s="8">
        <v>4</v>
      </c>
      <c r="D654" s="6" t="s">
        <v>2894</v>
      </c>
      <c r="E654" s="6" t="s">
        <v>2666</v>
      </c>
      <c r="F654" s="8">
        <v>11095</v>
      </c>
      <c r="G654" s="8">
        <v>0</v>
      </c>
      <c r="H654" s="8">
        <v>38500</v>
      </c>
      <c r="I654" s="8">
        <v>11095</v>
      </c>
      <c r="J654" s="8">
        <v>0</v>
      </c>
      <c r="K654" s="8">
        <v>11095</v>
      </c>
      <c r="L654" s="8">
        <v>0</v>
      </c>
    </row>
    <row r="655" spans="1:12" x14ac:dyDescent="0.25">
      <c r="A655" s="6" t="s">
        <v>61</v>
      </c>
      <c r="B655" s="6" t="s">
        <v>2889</v>
      </c>
      <c r="C655" s="8">
        <v>5</v>
      </c>
      <c r="D655" s="6" t="s">
        <v>2895</v>
      </c>
      <c r="E655" s="6" t="s">
        <v>2666</v>
      </c>
      <c r="F655" s="8">
        <v>11135</v>
      </c>
      <c r="G655" s="8">
        <v>0</v>
      </c>
      <c r="H655" s="8">
        <v>38500</v>
      </c>
      <c r="I655" s="8">
        <v>11135</v>
      </c>
      <c r="J655" s="8">
        <v>0</v>
      </c>
      <c r="K655" s="8">
        <v>11135</v>
      </c>
      <c r="L655" s="8">
        <v>0</v>
      </c>
    </row>
    <row r="656" spans="1:12" x14ac:dyDescent="0.25">
      <c r="A656" s="6" t="s">
        <v>61</v>
      </c>
      <c r="B656" s="6" t="s">
        <v>2889</v>
      </c>
      <c r="C656" s="8">
        <v>6</v>
      </c>
      <c r="D656" s="6" t="s">
        <v>2896</v>
      </c>
      <c r="E656" s="6" t="s">
        <v>2666</v>
      </c>
      <c r="F656" s="8">
        <v>11199</v>
      </c>
      <c r="G656" s="8">
        <v>392</v>
      </c>
      <c r="H656" s="8">
        <v>38500</v>
      </c>
      <c r="I656" s="8">
        <v>10807</v>
      </c>
      <c r="J656" s="8">
        <v>392</v>
      </c>
      <c r="K656" s="8">
        <v>10807</v>
      </c>
      <c r="L656" s="10">
        <v>3.5</v>
      </c>
    </row>
    <row r="657" spans="1:12" x14ac:dyDescent="0.25">
      <c r="A657" s="6" t="s">
        <v>61</v>
      </c>
      <c r="B657" s="6" t="s">
        <v>2889</v>
      </c>
      <c r="C657" s="8">
        <v>7</v>
      </c>
      <c r="D657" s="6" t="s">
        <v>2897</v>
      </c>
      <c r="E657" s="6" t="s">
        <v>2666</v>
      </c>
      <c r="F657" s="8">
        <v>11282</v>
      </c>
      <c r="G657" s="8">
        <v>2456</v>
      </c>
      <c r="H657" s="8">
        <v>38500</v>
      </c>
      <c r="I657" s="8">
        <v>8826</v>
      </c>
      <c r="J657" s="8">
        <v>2456</v>
      </c>
      <c r="K657" s="8">
        <v>8826</v>
      </c>
      <c r="L657" s="10">
        <v>21.8</v>
      </c>
    </row>
    <row r="658" spans="1:12" x14ac:dyDescent="0.25">
      <c r="A658" s="6" t="s">
        <v>61</v>
      </c>
      <c r="B658" s="6" t="s">
        <v>2889</v>
      </c>
      <c r="C658" s="8">
        <v>8</v>
      </c>
      <c r="D658" s="6" t="s">
        <v>2898</v>
      </c>
      <c r="E658" s="6" t="s">
        <v>2666</v>
      </c>
      <c r="F658" s="8">
        <v>11379</v>
      </c>
      <c r="G658" s="8">
        <v>5471</v>
      </c>
      <c r="H658" s="8">
        <v>38500</v>
      </c>
      <c r="I658" s="8">
        <v>5908</v>
      </c>
      <c r="J658" s="8">
        <v>5471</v>
      </c>
      <c r="K658" s="8">
        <v>5908</v>
      </c>
      <c r="L658" s="10">
        <v>48.1</v>
      </c>
    </row>
    <row r="659" spans="1:12" x14ac:dyDescent="0.25">
      <c r="A659" s="6" t="s">
        <v>61</v>
      </c>
      <c r="B659" s="6" t="s">
        <v>2889</v>
      </c>
      <c r="C659" s="8">
        <v>9</v>
      </c>
      <c r="D659" s="6" t="s">
        <v>2899</v>
      </c>
      <c r="E659" s="6" t="s">
        <v>2666</v>
      </c>
      <c r="F659" s="8">
        <v>11483</v>
      </c>
      <c r="G659" s="8">
        <v>8745</v>
      </c>
      <c r="H659" s="8">
        <v>38500</v>
      </c>
      <c r="I659" s="8">
        <v>2738</v>
      </c>
      <c r="J659" s="8">
        <v>8745</v>
      </c>
      <c r="K659" s="8">
        <v>2738</v>
      </c>
      <c r="L659" s="10">
        <v>76.2</v>
      </c>
    </row>
    <row r="660" spans="1:12" x14ac:dyDescent="0.25">
      <c r="A660" s="6" t="s">
        <v>61</v>
      </c>
      <c r="B660" s="6" t="s">
        <v>2889</v>
      </c>
      <c r="C660" s="8">
        <v>10</v>
      </c>
      <c r="D660" s="6" t="s">
        <v>2900</v>
      </c>
      <c r="E660" s="6" t="s">
        <v>2666</v>
      </c>
      <c r="F660" s="8">
        <v>11587</v>
      </c>
      <c r="G660" s="8">
        <v>11636</v>
      </c>
      <c r="H660" s="8">
        <v>38500</v>
      </c>
      <c r="I660" s="8">
        <v>0</v>
      </c>
      <c r="J660" s="8">
        <v>11587</v>
      </c>
      <c r="K660" s="8">
        <v>0</v>
      </c>
      <c r="L660" s="8">
        <v>100</v>
      </c>
    </row>
    <row r="661" spans="1:12" x14ac:dyDescent="0.25">
      <c r="A661" s="6" t="s">
        <v>61</v>
      </c>
      <c r="B661" s="6" t="s">
        <v>2889</v>
      </c>
      <c r="C661" s="8">
        <v>11</v>
      </c>
      <c r="D661" s="6" t="s">
        <v>2901</v>
      </c>
      <c r="E661" s="6" t="s">
        <v>2666</v>
      </c>
      <c r="F661" s="8">
        <v>11684</v>
      </c>
      <c r="G661" s="8">
        <v>13610</v>
      </c>
      <c r="H661" s="8">
        <v>38500</v>
      </c>
      <c r="I661" s="8">
        <v>0</v>
      </c>
      <c r="J661" s="8">
        <v>11684</v>
      </c>
      <c r="K661" s="8">
        <v>0</v>
      </c>
      <c r="L661" s="8">
        <v>100</v>
      </c>
    </row>
    <row r="662" spans="1:12" x14ac:dyDescent="0.25">
      <c r="A662" s="6" t="s">
        <v>61</v>
      </c>
      <c r="B662" s="6" t="s">
        <v>2889</v>
      </c>
      <c r="C662" s="8">
        <v>12</v>
      </c>
      <c r="D662" s="6" t="s">
        <v>2902</v>
      </c>
      <c r="E662" s="6" t="s">
        <v>2666</v>
      </c>
      <c r="F662" s="8">
        <v>11768</v>
      </c>
      <c r="G662" s="8">
        <v>14310</v>
      </c>
      <c r="H662" s="8">
        <v>38500</v>
      </c>
      <c r="I662" s="8">
        <v>0</v>
      </c>
      <c r="J662" s="8">
        <v>11768</v>
      </c>
      <c r="K662" s="8">
        <v>0</v>
      </c>
      <c r="L662" s="8">
        <v>100</v>
      </c>
    </row>
    <row r="663" spans="1:12" x14ac:dyDescent="0.25">
      <c r="A663" s="6" t="s">
        <v>61</v>
      </c>
      <c r="B663" s="6" t="s">
        <v>2889</v>
      </c>
      <c r="C663" s="8">
        <v>13</v>
      </c>
      <c r="D663" s="6" t="s">
        <v>2903</v>
      </c>
      <c r="E663" s="6" t="s">
        <v>2666</v>
      </c>
      <c r="F663" s="8">
        <v>11831</v>
      </c>
      <c r="G663" s="8">
        <v>13610</v>
      </c>
      <c r="H663" s="8">
        <v>38500</v>
      </c>
      <c r="I663" s="8">
        <v>0</v>
      </c>
      <c r="J663" s="8">
        <v>11831</v>
      </c>
      <c r="K663" s="8">
        <v>0</v>
      </c>
      <c r="L663" s="8">
        <v>100</v>
      </c>
    </row>
    <row r="664" spans="1:12" x14ac:dyDescent="0.25">
      <c r="A664" s="6" t="s">
        <v>61</v>
      </c>
      <c r="B664" s="6" t="s">
        <v>2889</v>
      </c>
      <c r="C664" s="8">
        <v>14</v>
      </c>
      <c r="D664" s="6" t="s">
        <v>2904</v>
      </c>
      <c r="E664" s="6" t="s">
        <v>2666</v>
      </c>
      <c r="F664" s="8">
        <v>11872</v>
      </c>
      <c r="G664" s="8">
        <v>11636</v>
      </c>
      <c r="H664" s="8">
        <v>38500</v>
      </c>
      <c r="I664" s="8">
        <v>236</v>
      </c>
      <c r="J664" s="8">
        <v>11636</v>
      </c>
      <c r="K664" s="8">
        <v>236</v>
      </c>
      <c r="L664" s="8">
        <v>98</v>
      </c>
    </row>
    <row r="665" spans="1:12" x14ac:dyDescent="0.25">
      <c r="A665" s="6" t="s">
        <v>61</v>
      </c>
      <c r="B665" s="6" t="s">
        <v>2889</v>
      </c>
      <c r="C665" s="8">
        <v>15</v>
      </c>
      <c r="D665" s="6" t="s">
        <v>2905</v>
      </c>
      <c r="E665" s="6" t="s">
        <v>2666</v>
      </c>
      <c r="F665" s="8">
        <v>11885</v>
      </c>
      <c r="G665" s="8">
        <v>8745</v>
      </c>
      <c r="H665" s="8">
        <v>38500</v>
      </c>
      <c r="I665" s="8">
        <v>3140</v>
      </c>
      <c r="J665" s="8">
        <v>8745</v>
      </c>
      <c r="K665" s="8">
        <v>3140</v>
      </c>
      <c r="L665" s="10">
        <v>73.6</v>
      </c>
    </row>
    <row r="666" spans="1:12" x14ac:dyDescent="0.25">
      <c r="A666" s="6" t="s">
        <v>61</v>
      </c>
      <c r="B666" s="6" t="s">
        <v>2889</v>
      </c>
      <c r="C666" s="8">
        <v>16</v>
      </c>
      <c r="D666" s="6" t="s">
        <v>2906</v>
      </c>
      <c r="E666" s="6" t="s">
        <v>2666</v>
      </c>
      <c r="F666" s="8">
        <v>11872</v>
      </c>
      <c r="G666" s="8">
        <v>5471</v>
      </c>
      <c r="H666" s="8">
        <v>38500</v>
      </c>
      <c r="I666" s="8">
        <v>6401</v>
      </c>
      <c r="J666" s="8">
        <v>5471</v>
      </c>
      <c r="K666" s="8">
        <v>6401</v>
      </c>
      <c r="L666" s="10">
        <v>46.1</v>
      </c>
    </row>
    <row r="667" spans="1:12" x14ac:dyDescent="0.25">
      <c r="A667" s="6" t="s">
        <v>61</v>
      </c>
      <c r="B667" s="6" t="s">
        <v>2889</v>
      </c>
      <c r="C667" s="8">
        <v>17</v>
      </c>
      <c r="D667" s="6" t="s">
        <v>2907</v>
      </c>
      <c r="E667" s="6" t="s">
        <v>2666</v>
      </c>
      <c r="F667" s="8">
        <v>11831</v>
      </c>
      <c r="G667" s="8">
        <v>2456</v>
      </c>
      <c r="H667" s="8">
        <v>38500</v>
      </c>
      <c r="I667" s="8">
        <v>9375</v>
      </c>
      <c r="J667" s="8">
        <v>2456</v>
      </c>
      <c r="K667" s="8">
        <v>9375</v>
      </c>
      <c r="L667" s="10">
        <v>20.8</v>
      </c>
    </row>
    <row r="668" spans="1:12" x14ac:dyDescent="0.25">
      <c r="A668" s="6" t="s">
        <v>61</v>
      </c>
      <c r="B668" s="6" t="s">
        <v>2889</v>
      </c>
      <c r="C668" s="8">
        <v>18</v>
      </c>
      <c r="D668" s="6" t="s">
        <v>2908</v>
      </c>
      <c r="E668" s="6" t="s">
        <v>2666</v>
      </c>
      <c r="F668" s="8">
        <v>11768</v>
      </c>
      <c r="G668" s="8">
        <v>392</v>
      </c>
      <c r="H668" s="8">
        <v>38500</v>
      </c>
      <c r="I668" s="8">
        <v>11376</v>
      </c>
      <c r="J668" s="8">
        <v>392</v>
      </c>
      <c r="K668" s="8">
        <v>11376</v>
      </c>
      <c r="L668" s="10">
        <v>3.3</v>
      </c>
    </row>
    <row r="669" spans="1:12" x14ac:dyDescent="0.25">
      <c r="A669" s="6" t="s">
        <v>61</v>
      </c>
      <c r="B669" s="6" t="s">
        <v>2889</v>
      </c>
      <c r="C669" s="8">
        <v>19</v>
      </c>
      <c r="D669" s="6" t="s">
        <v>2909</v>
      </c>
      <c r="E669" s="6" t="s">
        <v>2666</v>
      </c>
      <c r="F669" s="8">
        <v>11684</v>
      </c>
      <c r="G669" s="8">
        <v>0</v>
      </c>
      <c r="H669" s="8">
        <v>38500</v>
      </c>
      <c r="I669" s="8">
        <v>11684</v>
      </c>
      <c r="J669" s="8">
        <v>0</v>
      </c>
      <c r="K669" s="8">
        <v>11684</v>
      </c>
      <c r="L669" s="8">
        <v>0</v>
      </c>
    </row>
    <row r="670" spans="1:12" x14ac:dyDescent="0.25">
      <c r="A670" s="6" t="s">
        <v>61</v>
      </c>
      <c r="B670" s="6" t="s">
        <v>2889</v>
      </c>
      <c r="C670" s="8">
        <v>20</v>
      </c>
      <c r="D670" s="6" t="s">
        <v>2910</v>
      </c>
      <c r="E670" s="6" t="s">
        <v>2666</v>
      </c>
      <c r="F670" s="8">
        <v>11587</v>
      </c>
      <c r="G670" s="8">
        <v>0</v>
      </c>
      <c r="H670" s="8">
        <v>38500</v>
      </c>
      <c r="I670" s="8">
        <v>11587</v>
      </c>
      <c r="J670" s="8">
        <v>0</v>
      </c>
      <c r="K670" s="8">
        <v>11587</v>
      </c>
      <c r="L670" s="8">
        <v>0</v>
      </c>
    </row>
    <row r="671" spans="1:12" x14ac:dyDescent="0.25">
      <c r="A671" s="6" t="s">
        <v>61</v>
      </c>
      <c r="B671" s="6" t="s">
        <v>2889</v>
      </c>
      <c r="C671" s="8">
        <v>21</v>
      </c>
      <c r="D671" s="6" t="s">
        <v>2911</v>
      </c>
      <c r="E671" s="6" t="s">
        <v>2666</v>
      </c>
      <c r="F671" s="8">
        <v>11483</v>
      </c>
      <c r="G671" s="8">
        <v>0</v>
      </c>
      <c r="H671" s="8">
        <v>38500</v>
      </c>
      <c r="I671" s="8">
        <v>11483</v>
      </c>
      <c r="J671" s="8">
        <v>0</v>
      </c>
      <c r="K671" s="8">
        <v>11483</v>
      </c>
      <c r="L671" s="8">
        <v>0</v>
      </c>
    </row>
    <row r="672" spans="1:12" x14ac:dyDescent="0.25">
      <c r="A672" s="6" t="s">
        <v>61</v>
      </c>
      <c r="B672" s="6" t="s">
        <v>2889</v>
      </c>
      <c r="C672" s="8">
        <v>22</v>
      </c>
      <c r="D672" s="6" t="s">
        <v>2912</v>
      </c>
      <c r="E672" s="6" t="s">
        <v>2666</v>
      </c>
      <c r="F672" s="8">
        <v>11379</v>
      </c>
      <c r="G672" s="8">
        <v>0</v>
      </c>
      <c r="H672" s="8">
        <v>38500</v>
      </c>
      <c r="I672" s="8">
        <v>11379</v>
      </c>
      <c r="J672" s="8">
        <v>0</v>
      </c>
      <c r="K672" s="8">
        <v>11379</v>
      </c>
      <c r="L672" s="8">
        <v>0</v>
      </c>
    </row>
    <row r="673" spans="1:12" x14ac:dyDescent="0.25">
      <c r="A673" s="6" t="s">
        <v>61</v>
      </c>
      <c r="B673" s="6" t="s">
        <v>2889</v>
      </c>
      <c r="C673" s="8">
        <v>23</v>
      </c>
      <c r="D673" s="6" t="s">
        <v>2913</v>
      </c>
      <c r="E673" s="6" t="s">
        <v>2666</v>
      </c>
      <c r="F673" s="8">
        <v>11282</v>
      </c>
      <c r="G673" s="8">
        <v>0</v>
      </c>
      <c r="H673" s="8">
        <v>38500</v>
      </c>
      <c r="I673" s="8">
        <v>11282</v>
      </c>
      <c r="J673" s="8">
        <v>0</v>
      </c>
      <c r="K673" s="8">
        <v>11282</v>
      </c>
      <c r="L673" s="8">
        <v>0</v>
      </c>
    </row>
    <row r="674" spans="1:12" x14ac:dyDescent="0.25">
      <c r="A674" s="6" t="s">
        <v>61</v>
      </c>
      <c r="B674" s="6" t="s">
        <v>2914</v>
      </c>
      <c r="C674" s="8">
        <v>0</v>
      </c>
      <c r="D674" s="6" t="s">
        <v>2915</v>
      </c>
      <c r="E674" s="6" t="s">
        <v>2269</v>
      </c>
      <c r="F674" s="8">
        <v>11199</v>
      </c>
      <c r="G674" s="8">
        <v>0</v>
      </c>
      <c r="H674" s="8">
        <v>38500</v>
      </c>
      <c r="I674" s="8">
        <v>11199</v>
      </c>
      <c r="J674" s="8">
        <v>0</v>
      </c>
      <c r="K674" s="8">
        <v>11199</v>
      </c>
      <c r="L674" s="8">
        <v>0</v>
      </c>
    </row>
    <row r="675" spans="1:12" x14ac:dyDescent="0.25">
      <c r="A675" s="6" t="s">
        <v>61</v>
      </c>
      <c r="B675" s="6" t="s">
        <v>2914</v>
      </c>
      <c r="C675" s="8">
        <v>1</v>
      </c>
      <c r="D675" s="6" t="s">
        <v>2916</v>
      </c>
      <c r="E675" s="6" t="s">
        <v>2269</v>
      </c>
      <c r="F675" s="8">
        <v>11135</v>
      </c>
      <c r="G675" s="8">
        <v>0</v>
      </c>
      <c r="H675" s="8">
        <v>38500</v>
      </c>
      <c r="I675" s="8">
        <v>11135</v>
      </c>
      <c r="J675" s="8">
        <v>0</v>
      </c>
      <c r="K675" s="8">
        <v>11135</v>
      </c>
      <c r="L675" s="8">
        <v>0</v>
      </c>
    </row>
    <row r="676" spans="1:12" x14ac:dyDescent="0.25">
      <c r="A676" s="6" t="s">
        <v>61</v>
      </c>
      <c r="B676" s="6" t="s">
        <v>2914</v>
      </c>
      <c r="C676" s="8">
        <v>2</v>
      </c>
      <c r="D676" s="6" t="s">
        <v>2917</v>
      </c>
      <c r="E676" s="6" t="s">
        <v>2269</v>
      </c>
      <c r="F676" s="8">
        <v>11095</v>
      </c>
      <c r="G676" s="8">
        <v>0</v>
      </c>
      <c r="H676" s="8">
        <v>38500</v>
      </c>
      <c r="I676" s="8">
        <v>11095</v>
      </c>
      <c r="J676" s="8">
        <v>0</v>
      </c>
      <c r="K676" s="8">
        <v>11095</v>
      </c>
      <c r="L676" s="8">
        <v>0</v>
      </c>
    </row>
    <row r="677" spans="1:12" x14ac:dyDescent="0.25">
      <c r="A677" s="6" t="s">
        <v>61</v>
      </c>
      <c r="B677" s="6" t="s">
        <v>2914</v>
      </c>
      <c r="C677" s="8">
        <v>3</v>
      </c>
      <c r="D677" s="6" t="s">
        <v>2918</v>
      </c>
      <c r="E677" s="6" t="s">
        <v>2269</v>
      </c>
      <c r="F677" s="8">
        <v>11081</v>
      </c>
      <c r="G677" s="8">
        <v>0</v>
      </c>
      <c r="H677" s="8">
        <v>38500</v>
      </c>
      <c r="I677" s="8">
        <v>11081</v>
      </c>
      <c r="J677" s="8">
        <v>0</v>
      </c>
      <c r="K677" s="8">
        <v>11081</v>
      </c>
      <c r="L677" s="8">
        <v>0</v>
      </c>
    </row>
    <row r="678" spans="1:12" x14ac:dyDescent="0.25">
      <c r="A678" s="6" t="s">
        <v>61</v>
      </c>
      <c r="B678" s="6" t="s">
        <v>2914</v>
      </c>
      <c r="C678" s="8">
        <v>4</v>
      </c>
      <c r="D678" s="6" t="s">
        <v>2919</v>
      </c>
      <c r="E678" s="6" t="s">
        <v>2269</v>
      </c>
      <c r="F678" s="8">
        <v>11095</v>
      </c>
      <c r="G678" s="8">
        <v>0</v>
      </c>
      <c r="H678" s="8">
        <v>38500</v>
      </c>
      <c r="I678" s="8">
        <v>11095</v>
      </c>
      <c r="J678" s="8">
        <v>0</v>
      </c>
      <c r="K678" s="8">
        <v>11095</v>
      </c>
      <c r="L678" s="8">
        <v>0</v>
      </c>
    </row>
    <row r="679" spans="1:12" x14ac:dyDescent="0.25">
      <c r="A679" s="6" t="s">
        <v>61</v>
      </c>
      <c r="B679" s="6" t="s">
        <v>2914</v>
      </c>
      <c r="C679" s="8">
        <v>5</v>
      </c>
      <c r="D679" s="6" t="s">
        <v>2920</v>
      </c>
      <c r="E679" s="6" t="s">
        <v>2269</v>
      </c>
      <c r="F679" s="8">
        <v>11135</v>
      </c>
      <c r="G679" s="8">
        <v>0</v>
      </c>
      <c r="H679" s="8">
        <v>38500</v>
      </c>
      <c r="I679" s="8">
        <v>11135</v>
      </c>
      <c r="J679" s="8">
        <v>0</v>
      </c>
      <c r="K679" s="8">
        <v>11135</v>
      </c>
      <c r="L679" s="8">
        <v>0</v>
      </c>
    </row>
    <row r="680" spans="1:12" x14ac:dyDescent="0.25">
      <c r="A680" s="6" t="s">
        <v>61</v>
      </c>
      <c r="B680" s="6" t="s">
        <v>2914</v>
      </c>
      <c r="C680" s="8">
        <v>6</v>
      </c>
      <c r="D680" s="6" t="s">
        <v>2921</v>
      </c>
      <c r="E680" s="6" t="s">
        <v>2269</v>
      </c>
      <c r="F680" s="8">
        <v>11199</v>
      </c>
      <c r="G680" s="8">
        <v>718</v>
      </c>
      <c r="H680" s="8">
        <v>38500</v>
      </c>
      <c r="I680" s="8">
        <v>10481</v>
      </c>
      <c r="J680" s="8">
        <v>718</v>
      </c>
      <c r="K680" s="8">
        <v>10481</v>
      </c>
      <c r="L680" s="10">
        <v>6.4</v>
      </c>
    </row>
    <row r="681" spans="1:12" x14ac:dyDescent="0.25">
      <c r="A681" s="6" t="s">
        <v>61</v>
      </c>
      <c r="B681" s="6" t="s">
        <v>2914</v>
      </c>
      <c r="C681" s="8">
        <v>7</v>
      </c>
      <c r="D681" s="6" t="s">
        <v>2922</v>
      </c>
      <c r="E681" s="6" t="s">
        <v>2269</v>
      </c>
      <c r="F681" s="8">
        <v>11282</v>
      </c>
      <c r="G681" s="8">
        <v>4498</v>
      </c>
      <c r="H681" s="8">
        <v>38500</v>
      </c>
      <c r="I681" s="8">
        <v>6784</v>
      </c>
      <c r="J681" s="8">
        <v>4498</v>
      </c>
      <c r="K681" s="8">
        <v>6784</v>
      </c>
      <c r="L681" s="10">
        <v>39.9</v>
      </c>
    </row>
    <row r="682" spans="1:12" x14ac:dyDescent="0.25">
      <c r="A682" s="6" t="s">
        <v>61</v>
      </c>
      <c r="B682" s="6" t="s">
        <v>2914</v>
      </c>
      <c r="C682" s="8">
        <v>8</v>
      </c>
      <c r="D682" s="6" t="s">
        <v>2923</v>
      </c>
      <c r="E682" s="6" t="s">
        <v>2269</v>
      </c>
      <c r="F682" s="8">
        <v>11379</v>
      </c>
      <c r="G682" s="8">
        <v>10022</v>
      </c>
      <c r="H682" s="8">
        <v>38500</v>
      </c>
      <c r="I682" s="8">
        <v>1357</v>
      </c>
      <c r="J682" s="8">
        <v>10022</v>
      </c>
      <c r="K682" s="8">
        <v>1357</v>
      </c>
      <c r="L682" s="10">
        <v>88.1</v>
      </c>
    </row>
    <row r="683" spans="1:12" x14ac:dyDescent="0.25">
      <c r="A683" s="6" t="s">
        <v>61</v>
      </c>
      <c r="B683" s="6" t="s">
        <v>2914</v>
      </c>
      <c r="C683" s="8">
        <v>9</v>
      </c>
      <c r="D683" s="6" t="s">
        <v>2924</v>
      </c>
      <c r="E683" s="6" t="s">
        <v>2269</v>
      </c>
      <c r="F683" s="8">
        <v>11483</v>
      </c>
      <c r="G683" s="8">
        <v>16018</v>
      </c>
      <c r="H683" s="8">
        <v>38500</v>
      </c>
      <c r="I683" s="8">
        <v>0</v>
      </c>
      <c r="J683" s="8">
        <v>11483</v>
      </c>
      <c r="K683" s="8">
        <v>0</v>
      </c>
      <c r="L683" s="8">
        <v>100</v>
      </c>
    </row>
    <row r="684" spans="1:12" x14ac:dyDescent="0.25">
      <c r="A684" s="6" t="s">
        <v>61</v>
      </c>
      <c r="B684" s="6" t="s">
        <v>2914</v>
      </c>
      <c r="C684" s="8">
        <v>10</v>
      </c>
      <c r="D684" s="6" t="s">
        <v>2925</v>
      </c>
      <c r="E684" s="6" t="s">
        <v>2269</v>
      </c>
      <c r="F684" s="8">
        <v>11587</v>
      </c>
      <c r="G684" s="8">
        <v>21314</v>
      </c>
      <c r="H684" s="8">
        <v>38500</v>
      </c>
      <c r="I684" s="8">
        <v>0</v>
      </c>
      <c r="J684" s="8">
        <v>11587</v>
      </c>
      <c r="K684" s="8">
        <v>0</v>
      </c>
      <c r="L684" s="8">
        <v>100</v>
      </c>
    </row>
    <row r="685" spans="1:12" x14ac:dyDescent="0.25">
      <c r="A685" s="6" t="s">
        <v>61</v>
      </c>
      <c r="B685" s="6" t="s">
        <v>2914</v>
      </c>
      <c r="C685" s="8">
        <v>11</v>
      </c>
      <c r="D685" s="6" t="s">
        <v>2926</v>
      </c>
      <c r="E685" s="6" t="s">
        <v>2269</v>
      </c>
      <c r="F685" s="8">
        <v>11684</v>
      </c>
      <c r="G685" s="8">
        <v>24929</v>
      </c>
      <c r="H685" s="8">
        <v>38500</v>
      </c>
      <c r="I685" s="8">
        <v>0</v>
      </c>
      <c r="J685" s="8">
        <v>11684</v>
      </c>
      <c r="K685" s="8">
        <v>0</v>
      </c>
      <c r="L685" s="8">
        <v>100</v>
      </c>
    </row>
    <row r="686" spans="1:12" x14ac:dyDescent="0.25">
      <c r="A686" s="6" t="s">
        <v>61</v>
      </c>
      <c r="B686" s="6" t="s">
        <v>2914</v>
      </c>
      <c r="C686" s="8">
        <v>12</v>
      </c>
      <c r="D686" s="6" t="s">
        <v>2927</v>
      </c>
      <c r="E686" s="6" t="s">
        <v>2269</v>
      </c>
      <c r="F686" s="8">
        <v>11768</v>
      </c>
      <c r="G686" s="8">
        <v>26211</v>
      </c>
      <c r="H686" s="8">
        <v>38500</v>
      </c>
      <c r="I686" s="8">
        <v>0</v>
      </c>
      <c r="J686" s="8">
        <v>11768</v>
      </c>
      <c r="K686" s="8">
        <v>0</v>
      </c>
      <c r="L686" s="8">
        <v>100</v>
      </c>
    </row>
    <row r="687" spans="1:12" x14ac:dyDescent="0.25">
      <c r="A687" s="6" t="s">
        <v>61</v>
      </c>
      <c r="B687" s="6" t="s">
        <v>2914</v>
      </c>
      <c r="C687" s="8">
        <v>13</v>
      </c>
      <c r="D687" s="6" t="s">
        <v>2928</v>
      </c>
      <c r="E687" s="6" t="s">
        <v>2269</v>
      </c>
      <c r="F687" s="8">
        <v>11831</v>
      </c>
      <c r="G687" s="8">
        <v>24929</v>
      </c>
      <c r="H687" s="8">
        <v>38500</v>
      </c>
      <c r="I687" s="8">
        <v>0</v>
      </c>
      <c r="J687" s="8">
        <v>11831</v>
      </c>
      <c r="K687" s="8">
        <v>0</v>
      </c>
      <c r="L687" s="8">
        <v>100</v>
      </c>
    </row>
    <row r="688" spans="1:12" x14ac:dyDescent="0.25">
      <c r="A688" s="6" t="s">
        <v>61</v>
      </c>
      <c r="B688" s="6" t="s">
        <v>2914</v>
      </c>
      <c r="C688" s="8">
        <v>14</v>
      </c>
      <c r="D688" s="6" t="s">
        <v>2929</v>
      </c>
      <c r="E688" s="6" t="s">
        <v>2269</v>
      </c>
      <c r="F688" s="8">
        <v>11872</v>
      </c>
      <c r="G688" s="8">
        <v>21314</v>
      </c>
      <c r="H688" s="8">
        <v>38500</v>
      </c>
      <c r="I688" s="8">
        <v>0</v>
      </c>
      <c r="J688" s="8">
        <v>11872</v>
      </c>
      <c r="K688" s="8">
        <v>0</v>
      </c>
      <c r="L688" s="8">
        <v>100</v>
      </c>
    </row>
    <row r="689" spans="1:12" x14ac:dyDescent="0.25">
      <c r="A689" s="6" t="s">
        <v>61</v>
      </c>
      <c r="B689" s="6" t="s">
        <v>2914</v>
      </c>
      <c r="C689" s="8">
        <v>15</v>
      </c>
      <c r="D689" s="6" t="s">
        <v>2930</v>
      </c>
      <c r="E689" s="6" t="s">
        <v>2269</v>
      </c>
      <c r="F689" s="8">
        <v>11885</v>
      </c>
      <c r="G689" s="8">
        <v>16018</v>
      </c>
      <c r="H689" s="8">
        <v>38500</v>
      </c>
      <c r="I689" s="8">
        <v>0</v>
      </c>
      <c r="J689" s="8">
        <v>11885</v>
      </c>
      <c r="K689" s="8">
        <v>0</v>
      </c>
      <c r="L689" s="8">
        <v>100</v>
      </c>
    </row>
    <row r="690" spans="1:12" x14ac:dyDescent="0.25">
      <c r="A690" s="6" t="s">
        <v>61</v>
      </c>
      <c r="B690" s="6" t="s">
        <v>2914</v>
      </c>
      <c r="C690" s="8">
        <v>16</v>
      </c>
      <c r="D690" s="6" t="s">
        <v>2931</v>
      </c>
      <c r="E690" s="6" t="s">
        <v>2269</v>
      </c>
      <c r="F690" s="8">
        <v>11872</v>
      </c>
      <c r="G690" s="8">
        <v>10022</v>
      </c>
      <c r="H690" s="8">
        <v>38500</v>
      </c>
      <c r="I690" s="8">
        <v>1850</v>
      </c>
      <c r="J690" s="8">
        <v>10022</v>
      </c>
      <c r="K690" s="8">
        <v>1850</v>
      </c>
      <c r="L690" s="10">
        <v>84.4</v>
      </c>
    </row>
    <row r="691" spans="1:12" x14ac:dyDescent="0.25">
      <c r="A691" s="6" t="s">
        <v>61</v>
      </c>
      <c r="B691" s="6" t="s">
        <v>2914</v>
      </c>
      <c r="C691" s="8">
        <v>17</v>
      </c>
      <c r="D691" s="6" t="s">
        <v>2932</v>
      </c>
      <c r="E691" s="6" t="s">
        <v>2269</v>
      </c>
      <c r="F691" s="8">
        <v>11831</v>
      </c>
      <c r="G691" s="8">
        <v>4498</v>
      </c>
      <c r="H691" s="8">
        <v>38500</v>
      </c>
      <c r="I691" s="8">
        <v>7333</v>
      </c>
      <c r="J691" s="8">
        <v>4498</v>
      </c>
      <c r="K691" s="8">
        <v>7333</v>
      </c>
      <c r="L691" s="8">
        <v>38</v>
      </c>
    </row>
    <row r="692" spans="1:12" x14ac:dyDescent="0.25">
      <c r="A692" s="6" t="s">
        <v>61</v>
      </c>
      <c r="B692" s="6" t="s">
        <v>2914</v>
      </c>
      <c r="C692" s="8">
        <v>18</v>
      </c>
      <c r="D692" s="6" t="s">
        <v>2933</v>
      </c>
      <c r="E692" s="6" t="s">
        <v>2269</v>
      </c>
      <c r="F692" s="8">
        <v>11768</v>
      </c>
      <c r="G692" s="8">
        <v>718</v>
      </c>
      <c r="H692" s="8">
        <v>38500</v>
      </c>
      <c r="I692" s="8">
        <v>11050</v>
      </c>
      <c r="J692" s="8">
        <v>718</v>
      </c>
      <c r="K692" s="8">
        <v>11050</v>
      </c>
      <c r="L692" s="10">
        <v>6.1</v>
      </c>
    </row>
    <row r="693" spans="1:12" x14ac:dyDescent="0.25">
      <c r="A693" s="6" t="s">
        <v>61</v>
      </c>
      <c r="B693" s="6" t="s">
        <v>2914</v>
      </c>
      <c r="C693" s="8">
        <v>19</v>
      </c>
      <c r="D693" s="6" t="s">
        <v>2934</v>
      </c>
      <c r="E693" s="6" t="s">
        <v>2269</v>
      </c>
      <c r="F693" s="8">
        <v>11684</v>
      </c>
      <c r="G693" s="8">
        <v>0</v>
      </c>
      <c r="H693" s="8">
        <v>38500</v>
      </c>
      <c r="I693" s="8">
        <v>11684</v>
      </c>
      <c r="J693" s="8">
        <v>0</v>
      </c>
      <c r="K693" s="8">
        <v>11684</v>
      </c>
      <c r="L693" s="8">
        <v>0</v>
      </c>
    </row>
    <row r="694" spans="1:12" x14ac:dyDescent="0.25">
      <c r="A694" s="6" t="s">
        <v>61</v>
      </c>
      <c r="B694" s="6" t="s">
        <v>2914</v>
      </c>
      <c r="C694" s="8">
        <v>20</v>
      </c>
      <c r="D694" s="6" t="s">
        <v>2935</v>
      </c>
      <c r="E694" s="6" t="s">
        <v>2269</v>
      </c>
      <c r="F694" s="8">
        <v>11587</v>
      </c>
      <c r="G694" s="8">
        <v>0</v>
      </c>
      <c r="H694" s="8">
        <v>38500</v>
      </c>
      <c r="I694" s="8">
        <v>11587</v>
      </c>
      <c r="J694" s="8">
        <v>0</v>
      </c>
      <c r="K694" s="8">
        <v>11587</v>
      </c>
      <c r="L694" s="8">
        <v>0</v>
      </c>
    </row>
    <row r="695" spans="1:12" x14ac:dyDescent="0.25">
      <c r="A695" s="6" t="s">
        <v>61</v>
      </c>
      <c r="B695" s="6" t="s">
        <v>2914</v>
      </c>
      <c r="C695" s="8">
        <v>21</v>
      </c>
      <c r="D695" s="6" t="s">
        <v>2936</v>
      </c>
      <c r="E695" s="6" t="s">
        <v>2269</v>
      </c>
      <c r="F695" s="8">
        <v>11483</v>
      </c>
      <c r="G695" s="8">
        <v>0</v>
      </c>
      <c r="H695" s="8">
        <v>38500</v>
      </c>
      <c r="I695" s="8">
        <v>11483</v>
      </c>
      <c r="J695" s="8">
        <v>0</v>
      </c>
      <c r="K695" s="8">
        <v>11483</v>
      </c>
      <c r="L695" s="8">
        <v>0</v>
      </c>
    </row>
    <row r="696" spans="1:12" x14ac:dyDescent="0.25">
      <c r="A696" s="6" t="s">
        <v>61</v>
      </c>
      <c r="B696" s="6" t="s">
        <v>2914</v>
      </c>
      <c r="C696" s="8">
        <v>22</v>
      </c>
      <c r="D696" s="6" t="s">
        <v>2937</v>
      </c>
      <c r="E696" s="6" t="s">
        <v>2269</v>
      </c>
      <c r="F696" s="8">
        <v>11379</v>
      </c>
      <c r="G696" s="8">
        <v>0</v>
      </c>
      <c r="H696" s="8">
        <v>38500</v>
      </c>
      <c r="I696" s="8">
        <v>11379</v>
      </c>
      <c r="J696" s="8">
        <v>0</v>
      </c>
      <c r="K696" s="8">
        <v>11379</v>
      </c>
      <c r="L696" s="8">
        <v>0</v>
      </c>
    </row>
    <row r="697" spans="1:12" x14ac:dyDescent="0.25">
      <c r="A697" s="6" t="s">
        <v>61</v>
      </c>
      <c r="B697" s="6" t="s">
        <v>2914</v>
      </c>
      <c r="C697" s="8">
        <v>23</v>
      </c>
      <c r="D697" s="6" t="s">
        <v>2938</v>
      </c>
      <c r="E697" s="6" t="s">
        <v>2269</v>
      </c>
      <c r="F697" s="8">
        <v>11282</v>
      </c>
      <c r="G697" s="8">
        <v>0</v>
      </c>
      <c r="H697" s="8">
        <v>38500</v>
      </c>
      <c r="I697" s="8">
        <v>11282</v>
      </c>
      <c r="J697" s="8">
        <v>0</v>
      </c>
      <c r="K697" s="8">
        <v>11282</v>
      </c>
      <c r="L697" s="8">
        <v>0</v>
      </c>
    </row>
    <row r="698" spans="1:12" x14ac:dyDescent="0.25">
      <c r="A698" s="6" t="s">
        <v>61</v>
      </c>
      <c r="B698" s="6" t="s">
        <v>2939</v>
      </c>
      <c r="C698" s="8">
        <v>0</v>
      </c>
      <c r="D698" s="6" t="s">
        <v>2940</v>
      </c>
      <c r="E698" s="6" t="s">
        <v>2219</v>
      </c>
      <c r="F698" s="8">
        <v>11199</v>
      </c>
      <c r="G698" s="8">
        <v>0</v>
      </c>
      <c r="H698" s="8">
        <v>38500</v>
      </c>
      <c r="I698" s="8">
        <v>11199</v>
      </c>
      <c r="J698" s="8">
        <v>0</v>
      </c>
      <c r="K698" s="8">
        <v>11199</v>
      </c>
      <c r="L698" s="8">
        <v>0</v>
      </c>
    </row>
    <row r="699" spans="1:12" x14ac:dyDescent="0.25">
      <c r="A699" s="6" t="s">
        <v>61</v>
      </c>
      <c r="B699" s="6" t="s">
        <v>2939</v>
      </c>
      <c r="C699" s="8">
        <v>1</v>
      </c>
      <c r="D699" s="6" t="s">
        <v>2941</v>
      </c>
      <c r="E699" s="6" t="s">
        <v>2219</v>
      </c>
      <c r="F699" s="8">
        <v>11135</v>
      </c>
      <c r="G699" s="8">
        <v>0</v>
      </c>
      <c r="H699" s="8">
        <v>38500</v>
      </c>
      <c r="I699" s="8">
        <v>11135</v>
      </c>
      <c r="J699" s="8">
        <v>0</v>
      </c>
      <c r="K699" s="8">
        <v>11135</v>
      </c>
      <c r="L699" s="8">
        <v>0</v>
      </c>
    </row>
    <row r="700" spans="1:12" x14ac:dyDescent="0.25">
      <c r="A700" s="6" t="s">
        <v>61</v>
      </c>
      <c r="B700" s="6" t="s">
        <v>2939</v>
      </c>
      <c r="C700" s="8">
        <v>2</v>
      </c>
      <c r="D700" s="6" t="s">
        <v>2942</v>
      </c>
      <c r="E700" s="6" t="s">
        <v>2219</v>
      </c>
      <c r="F700" s="8">
        <v>11095</v>
      </c>
      <c r="G700" s="8">
        <v>0</v>
      </c>
      <c r="H700" s="8">
        <v>38500</v>
      </c>
      <c r="I700" s="8">
        <v>11095</v>
      </c>
      <c r="J700" s="8">
        <v>0</v>
      </c>
      <c r="K700" s="8">
        <v>11095</v>
      </c>
      <c r="L700" s="8">
        <v>0</v>
      </c>
    </row>
    <row r="701" spans="1:12" x14ac:dyDescent="0.25">
      <c r="A701" s="6" t="s">
        <v>61</v>
      </c>
      <c r="B701" s="6" t="s">
        <v>2939</v>
      </c>
      <c r="C701" s="8">
        <v>3</v>
      </c>
      <c r="D701" s="6" t="s">
        <v>2107</v>
      </c>
      <c r="E701" s="6" t="s">
        <v>2219</v>
      </c>
      <c r="F701" s="8">
        <v>11081</v>
      </c>
      <c r="G701" s="8">
        <v>0</v>
      </c>
      <c r="H701" s="8">
        <v>38500</v>
      </c>
      <c r="I701" s="8">
        <v>11081</v>
      </c>
      <c r="J701" s="8">
        <v>0</v>
      </c>
      <c r="K701" s="8">
        <v>11081</v>
      </c>
      <c r="L701" s="8">
        <v>0</v>
      </c>
    </row>
    <row r="702" spans="1:12" x14ac:dyDescent="0.25">
      <c r="A702" s="6" t="s">
        <v>61</v>
      </c>
      <c r="B702" s="6" t="s">
        <v>2939</v>
      </c>
      <c r="C702" s="8">
        <v>4</v>
      </c>
      <c r="D702" s="6" t="s">
        <v>2943</v>
      </c>
      <c r="E702" s="6" t="s">
        <v>2219</v>
      </c>
      <c r="F702" s="8">
        <v>11095</v>
      </c>
      <c r="G702" s="8">
        <v>0</v>
      </c>
      <c r="H702" s="8">
        <v>38500</v>
      </c>
      <c r="I702" s="8">
        <v>11095</v>
      </c>
      <c r="J702" s="8">
        <v>0</v>
      </c>
      <c r="K702" s="8">
        <v>11095</v>
      </c>
      <c r="L702" s="8">
        <v>0</v>
      </c>
    </row>
    <row r="703" spans="1:12" x14ac:dyDescent="0.25">
      <c r="A703" s="6" t="s">
        <v>61</v>
      </c>
      <c r="B703" s="6" t="s">
        <v>2939</v>
      </c>
      <c r="C703" s="8">
        <v>5</v>
      </c>
      <c r="D703" s="6" t="s">
        <v>2944</v>
      </c>
      <c r="E703" s="6" t="s">
        <v>2219</v>
      </c>
      <c r="F703" s="8">
        <v>11135</v>
      </c>
      <c r="G703" s="8">
        <v>0</v>
      </c>
      <c r="H703" s="8">
        <v>38500</v>
      </c>
      <c r="I703" s="8">
        <v>11135</v>
      </c>
      <c r="J703" s="8">
        <v>0</v>
      </c>
      <c r="K703" s="8">
        <v>11135</v>
      </c>
      <c r="L703" s="8">
        <v>0</v>
      </c>
    </row>
    <row r="704" spans="1:12" x14ac:dyDescent="0.25">
      <c r="A704" s="6" t="s">
        <v>61</v>
      </c>
      <c r="B704" s="6" t="s">
        <v>2939</v>
      </c>
      <c r="C704" s="8">
        <v>6</v>
      </c>
      <c r="D704" s="6" t="s">
        <v>2945</v>
      </c>
      <c r="E704" s="6" t="s">
        <v>2219</v>
      </c>
      <c r="F704" s="8">
        <v>11199</v>
      </c>
      <c r="G704" s="8">
        <v>961</v>
      </c>
      <c r="H704" s="8">
        <v>38500</v>
      </c>
      <c r="I704" s="8">
        <v>10238</v>
      </c>
      <c r="J704" s="8">
        <v>961</v>
      </c>
      <c r="K704" s="8">
        <v>10238</v>
      </c>
      <c r="L704" s="10">
        <v>8.6</v>
      </c>
    </row>
    <row r="705" spans="1:12" x14ac:dyDescent="0.25">
      <c r="A705" s="6" t="s">
        <v>61</v>
      </c>
      <c r="B705" s="6" t="s">
        <v>2939</v>
      </c>
      <c r="C705" s="8">
        <v>7</v>
      </c>
      <c r="D705" s="6" t="s">
        <v>2946</v>
      </c>
      <c r="E705" s="6" t="s">
        <v>2219</v>
      </c>
      <c r="F705" s="8">
        <v>11282</v>
      </c>
      <c r="G705" s="8">
        <v>6018</v>
      </c>
      <c r="H705" s="8">
        <v>38500</v>
      </c>
      <c r="I705" s="8">
        <v>5264</v>
      </c>
      <c r="J705" s="8">
        <v>6018</v>
      </c>
      <c r="K705" s="8">
        <v>5264</v>
      </c>
      <c r="L705" s="10">
        <v>53.3</v>
      </c>
    </row>
    <row r="706" spans="1:12" x14ac:dyDescent="0.25">
      <c r="A706" s="6" t="s">
        <v>61</v>
      </c>
      <c r="B706" s="6" t="s">
        <v>2939</v>
      </c>
      <c r="C706" s="8">
        <v>8</v>
      </c>
      <c r="D706" s="6" t="s">
        <v>2947</v>
      </c>
      <c r="E706" s="6" t="s">
        <v>2219</v>
      </c>
      <c r="F706" s="8">
        <v>11379</v>
      </c>
      <c r="G706" s="8">
        <v>13408</v>
      </c>
      <c r="H706" s="8">
        <v>38500</v>
      </c>
      <c r="I706" s="8">
        <v>0</v>
      </c>
      <c r="J706" s="8">
        <v>11379</v>
      </c>
      <c r="K706" s="8">
        <v>0</v>
      </c>
      <c r="L706" s="8">
        <v>100</v>
      </c>
    </row>
    <row r="707" spans="1:12" x14ac:dyDescent="0.25">
      <c r="A707" s="6" t="s">
        <v>61</v>
      </c>
      <c r="B707" s="6" t="s">
        <v>2939</v>
      </c>
      <c r="C707" s="8">
        <v>9</v>
      </c>
      <c r="D707" s="6" t="s">
        <v>2948</v>
      </c>
      <c r="E707" s="6" t="s">
        <v>2219</v>
      </c>
      <c r="F707" s="8">
        <v>11483</v>
      </c>
      <c r="G707" s="8">
        <v>21430</v>
      </c>
      <c r="H707" s="8">
        <v>38500</v>
      </c>
      <c r="I707" s="8">
        <v>0</v>
      </c>
      <c r="J707" s="8">
        <v>11483</v>
      </c>
      <c r="K707" s="8">
        <v>0</v>
      </c>
      <c r="L707" s="8">
        <v>100</v>
      </c>
    </row>
    <row r="708" spans="1:12" x14ac:dyDescent="0.25">
      <c r="A708" s="6" t="s">
        <v>61</v>
      </c>
      <c r="B708" s="6" t="s">
        <v>2939</v>
      </c>
      <c r="C708" s="8">
        <v>10</v>
      </c>
      <c r="D708" s="6" t="s">
        <v>2949</v>
      </c>
      <c r="E708" s="6" t="s">
        <v>2219</v>
      </c>
      <c r="F708" s="8">
        <v>11587</v>
      </c>
      <c r="G708" s="8">
        <v>28515</v>
      </c>
      <c r="H708" s="8">
        <v>38500</v>
      </c>
      <c r="I708" s="8">
        <v>0</v>
      </c>
      <c r="J708" s="8">
        <v>11587</v>
      </c>
      <c r="K708" s="8">
        <v>0</v>
      </c>
      <c r="L708" s="8">
        <v>100</v>
      </c>
    </row>
    <row r="709" spans="1:12" x14ac:dyDescent="0.25">
      <c r="A709" s="6" t="s">
        <v>61</v>
      </c>
      <c r="B709" s="6" t="s">
        <v>2939</v>
      </c>
      <c r="C709" s="8">
        <v>11</v>
      </c>
      <c r="D709" s="6" t="s">
        <v>2950</v>
      </c>
      <c r="E709" s="6" t="s">
        <v>2219</v>
      </c>
      <c r="F709" s="8">
        <v>11684</v>
      </c>
      <c r="G709" s="8">
        <v>33351</v>
      </c>
      <c r="H709" s="8">
        <v>38500</v>
      </c>
      <c r="I709" s="8">
        <v>0</v>
      </c>
      <c r="J709" s="8">
        <v>11684</v>
      </c>
      <c r="K709" s="8">
        <v>0</v>
      </c>
      <c r="L709" s="8">
        <v>100</v>
      </c>
    </row>
    <row r="710" spans="1:12" x14ac:dyDescent="0.25">
      <c r="A710" s="6" t="s">
        <v>61</v>
      </c>
      <c r="B710" s="6" t="s">
        <v>2939</v>
      </c>
      <c r="C710" s="8">
        <v>12</v>
      </c>
      <c r="D710" s="6" t="s">
        <v>2951</v>
      </c>
      <c r="E710" s="6" t="s">
        <v>2219</v>
      </c>
      <c r="F710" s="8">
        <v>11768</v>
      </c>
      <c r="G710" s="8">
        <v>35066</v>
      </c>
      <c r="H710" s="8">
        <v>38500</v>
      </c>
      <c r="I710" s="8">
        <v>0</v>
      </c>
      <c r="J710" s="8">
        <v>11768</v>
      </c>
      <c r="K710" s="8">
        <v>0</v>
      </c>
      <c r="L710" s="8">
        <v>100</v>
      </c>
    </row>
    <row r="711" spans="1:12" x14ac:dyDescent="0.25">
      <c r="A711" s="6" t="s">
        <v>61</v>
      </c>
      <c r="B711" s="6" t="s">
        <v>2939</v>
      </c>
      <c r="C711" s="8">
        <v>13</v>
      </c>
      <c r="D711" s="6" t="s">
        <v>2952</v>
      </c>
      <c r="E711" s="6" t="s">
        <v>2219</v>
      </c>
      <c r="F711" s="8">
        <v>11831</v>
      </c>
      <c r="G711" s="8">
        <v>33351</v>
      </c>
      <c r="H711" s="8">
        <v>38500</v>
      </c>
      <c r="I711" s="8">
        <v>0</v>
      </c>
      <c r="J711" s="8">
        <v>11831</v>
      </c>
      <c r="K711" s="8">
        <v>0</v>
      </c>
      <c r="L711" s="8">
        <v>100</v>
      </c>
    </row>
    <row r="712" spans="1:12" x14ac:dyDescent="0.25">
      <c r="A712" s="6" t="s">
        <v>61</v>
      </c>
      <c r="B712" s="6" t="s">
        <v>2939</v>
      </c>
      <c r="C712" s="8">
        <v>14</v>
      </c>
      <c r="D712" s="6" t="s">
        <v>2953</v>
      </c>
      <c r="E712" s="6" t="s">
        <v>2219</v>
      </c>
      <c r="F712" s="8">
        <v>11872</v>
      </c>
      <c r="G712" s="8">
        <v>28515</v>
      </c>
      <c r="H712" s="8">
        <v>38500</v>
      </c>
      <c r="I712" s="8">
        <v>0</v>
      </c>
      <c r="J712" s="8">
        <v>11872</v>
      </c>
      <c r="K712" s="8">
        <v>0</v>
      </c>
      <c r="L712" s="8">
        <v>100</v>
      </c>
    </row>
    <row r="713" spans="1:12" x14ac:dyDescent="0.25">
      <c r="A713" s="6" t="s">
        <v>61</v>
      </c>
      <c r="B713" s="6" t="s">
        <v>2939</v>
      </c>
      <c r="C713" s="8">
        <v>15</v>
      </c>
      <c r="D713" s="6" t="s">
        <v>2954</v>
      </c>
      <c r="E713" s="6" t="s">
        <v>2219</v>
      </c>
      <c r="F713" s="8">
        <v>11885</v>
      </c>
      <c r="G713" s="8">
        <v>21430</v>
      </c>
      <c r="H713" s="8">
        <v>38500</v>
      </c>
      <c r="I713" s="8">
        <v>0</v>
      </c>
      <c r="J713" s="8">
        <v>11885</v>
      </c>
      <c r="K713" s="8">
        <v>0</v>
      </c>
      <c r="L713" s="8">
        <v>100</v>
      </c>
    </row>
    <row r="714" spans="1:12" x14ac:dyDescent="0.25">
      <c r="A714" s="6" t="s">
        <v>61</v>
      </c>
      <c r="B714" s="6" t="s">
        <v>2939</v>
      </c>
      <c r="C714" s="8">
        <v>16</v>
      </c>
      <c r="D714" s="6" t="s">
        <v>2955</v>
      </c>
      <c r="E714" s="6" t="s">
        <v>2219</v>
      </c>
      <c r="F714" s="8">
        <v>11872</v>
      </c>
      <c r="G714" s="8">
        <v>13408</v>
      </c>
      <c r="H714" s="8">
        <v>38500</v>
      </c>
      <c r="I714" s="8">
        <v>0</v>
      </c>
      <c r="J714" s="8">
        <v>11872</v>
      </c>
      <c r="K714" s="8">
        <v>0</v>
      </c>
      <c r="L714" s="8">
        <v>100</v>
      </c>
    </row>
    <row r="715" spans="1:12" x14ac:dyDescent="0.25">
      <c r="A715" s="6" t="s">
        <v>61</v>
      </c>
      <c r="B715" s="6" t="s">
        <v>2939</v>
      </c>
      <c r="C715" s="8">
        <v>17</v>
      </c>
      <c r="D715" s="6" t="s">
        <v>2956</v>
      </c>
      <c r="E715" s="6" t="s">
        <v>2219</v>
      </c>
      <c r="F715" s="8">
        <v>11831</v>
      </c>
      <c r="G715" s="8">
        <v>6018</v>
      </c>
      <c r="H715" s="8">
        <v>38500</v>
      </c>
      <c r="I715" s="8">
        <v>5813</v>
      </c>
      <c r="J715" s="8">
        <v>6018</v>
      </c>
      <c r="K715" s="8">
        <v>5813</v>
      </c>
      <c r="L715" s="10">
        <v>50.9</v>
      </c>
    </row>
    <row r="716" spans="1:12" x14ac:dyDescent="0.25">
      <c r="A716" s="6" t="s">
        <v>61</v>
      </c>
      <c r="B716" s="6" t="s">
        <v>2939</v>
      </c>
      <c r="C716" s="8">
        <v>18</v>
      </c>
      <c r="D716" s="6" t="s">
        <v>2957</v>
      </c>
      <c r="E716" s="6" t="s">
        <v>2219</v>
      </c>
      <c r="F716" s="8">
        <v>11768</v>
      </c>
      <c r="G716" s="8">
        <v>961</v>
      </c>
      <c r="H716" s="8">
        <v>38500</v>
      </c>
      <c r="I716" s="8">
        <v>10807</v>
      </c>
      <c r="J716" s="8">
        <v>961</v>
      </c>
      <c r="K716" s="8">
        <v>10807</v>
      </c>
      <c r="L716" s="10">
        <v>8.2</v>
      </c>
    </row>
    <row r="717" spans="1:12" x14ac:dyDescent="0.25">
      <c r="A717" s="6" t="s">
        <v>61</v>
      </c>
      <c r="B717" s="6" t="s">
        <v>2939</v>
      </c>
      <c r="C717" s="8">
        <v>19</v>
      </c>
      <c r="D717" s="6" t="s">
        <v>2958</v>
      </c>
      <c r="E717" s="6" t="s">
        <v>2219</v>
      </c>
      <c r="F717" s="8">
        <v>11684</v>
      </c>
      <c r="G717" s="8">
        <v>0</v>
      </c>
      <c r="H717" s="8">
        <v>38500</v>
      </c>
      <c r="I717" s="8">
        <v>11684</v>
      </c>
      <c r="J717" s="8">
        <v>0</v>
      </c>
      <c r="K717" s="8">
        <v>11684</v>
      </c>
      <c r="L717" s="8">
        <v>0</v>
      </c>
    </row>
    <row r="718" spans="1:12" x14ac:dyDescent="0.25">
      <c r="A718" s="6" t="s">
        <v>61</v>
      </c>
      <c r="B718" s="6" t="s">
        <v>2939</v>
      </c>
      <c r="C718" s="8">
        <v>20</v>
      </c>
      <c r="D718" s="6" t="s">
        <v>2959</v>
      </c>
      <c r="E718" s="6" t="s">
        <v>2219</v>
      </c>
      <c r="F718" s="8">
        <v>11587</v>
      </c>
      <c r="G718" s="8">
        <v>0</v>
      </c>
      <c r="H718" s="8">
        <v>38500</v>
      </c>
      <c r="I718" s="8">
        <v>11587</v>
      </c>
      <c r="J718" s="8">
        <v>0</v>
      </c>
      <c r="K718" s="8">
        <v>11587</v>
      </c>
      <c r="L718" s="8">
        <v>0</v>
      </c>
    </row>
    <row r="719" spans="1:12" x14ac:dyDescent="0.25">
      <c r="A719" s="6" t="s">
        <v>61</v>
      </c>
      <c r="B719" s="6" t="s">
        <v>2939</v>
      </c>
      <c r="C719" s="8">
        <v>21</v>
      </c>
      <c r="D719" s="6" t="s">
        <v>2960</v>
      </c>
      <c r="E719" s="6" t="s">
        <v>2219</v>
      </c>
      <c r="F719" s="8">
        <v>11483</v>
      </c>
      <c r="G719" s="8">
        <v>0</v>
      </c>
      <c r="H719" s="8">
        <v>38500</v>
      </c>
      <c r="I719" s="8">
        <v>11483</v>
      </c>
      <c r="J719" s="8">
        <v>0</v>
      </c>
      <c r="K719" s="8">
        <v>11483</v>
      </c>
      <c r="L719" s="8">
        <v>0</v>
      </c>
    </row>
    <row r="720" spans="1:12" x14ac:dyDescent="0.25">
      <c r="A720" s="6" t="s">
        <v>61</v>
      </c>
      <c r="B720" s="6" t="s">
        <v>2939</v>
      </c>
      <c r="C720" s="8">
        <v>22</v>
      </c>
      <c r="D720" s="6" t="s">
        <v>2961</v>
      </c>
      <c r="E720" s="6" t="s">
        <v>2219</v>
      </c>
      <c r="F720" s="8">
        <v>11379</v>
      </c>
      <c r="G720" s="8">
        <v>0</v>
      </c>
      <c r="H720" s="8">
        <v>38500</v>
      </c>
      <c r="I720" s="8">
        <v>11379</v>
      </c>
      <c r="J720" s="8">
        <v>0</v>
      </c>
      <c r="K720" s="8">
        <v>11379</v>
      </c>
      <c r="L720" s="8">
        <v>0</v>
      </c>
    </row>
    <row r="721" spans="1:12" x14ac:dyDescent="0.25">
      <c r="A721" s="6" t="s">
        <v>61</v>
      </c>
      <c r="B721" s="6" t="s">
        <v>2939</v>
      </c>
      <c r="C721" s="8">
        <v>23</v>
      </c>
      <c r="D721" s="6" t="s">
        <v>2962</v>
      </c>
      <c r="E721" s="6" t="s">
        <v>2219</v>
      </c>
      <c r="F721" s="8">
        <v>11282</v>
      </c>
      <c r="G721" s="8">
        <v>0</v>
      </c>
      <c r="H721" s="8">
        <v>38500</v>
      </c>
      <c r="I721" s="8">
        <v>11282</v>
      </c>
      <c r="J721" s="8">
        <v>0</v>
      </c>
      <c r="K721" s="8">
        <v>11282</v>
      </c>
      <c r="L721" s="8">
        <v>0</v>
      </c>
    </row>
    <row r="723" spans="1:1" x14ac:dyDescent="0.25">
      <c r="A723" s="9" t="s">
        <v>2963</v>
      </c>
    </row>
    <row r="724" spans="1:1" x14ac:dyDescent="0.25">
      <c r="A724" s="9" t="s">
        <v>2964</v>
      </c>
    </row>
    <row r="725" spans="1:1" x14ac:dyDescent="0.25">
      <c r="A725" s="9" t="s">
        <v>2965</v>
      </c>
    </row>
    <row r="726" spans="1:1" x14ac:dyDescent="0.25">
      <c r="A726" s="9" t="s">
        <v>2966</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8" customWidth="1"/>
    <col min="3" max="3" width="11" customWidth="1"/>
    <col min="4" max="4" width="10" customWidth="1"/>
    <col min="5" max="5" width="13" customWidth="1"/>
    <col min="6" max="6" width="10" customWidth="1"/>
    <col min="7" max="7" width="24" customWidth="1"/>
    <col min="8" max="8" width="14" customWidth="1"/>
    <col min="9" max="9" width="13" customWidth="1"/>
    <col min="10" max="10" width="15" customWidth="1"/>
    <col min="11" max="11" width="72" customWidth="1"/>
  </cols>
  <sheetData>
    <row r="1" spans="1:11" x14ac:dyDescent="0.25">
      <c r="A1" s="5" t="s">
        <v>42</v>
      </c>
      <c r="B1" s="5" t="s">
        <v>2967</v>
      </c>
      <c r="C1" s="5" t="s">
        <v>2968</v>
      </c>
      <c r="D1" s="5" t="s">
        <v>50</v>
      </c>
      <c r="E1" s="5" t="s">
        <v>2969</v>
      </c>
      <c r="F1" s="5" t="s">
        <v>2970</v>
      </c>
      <c r="G1" s="5" t="s">
        <v>2971</v>
      </c>
      <c r="H1" s="5" t="s">
        <v>58</v>
      </c>
      <c r="I1" s="5" t="s">
        <v>1249</v>
      </c>
      <c r="J1" s="5" t="s">
        <v>800</v>
      </c>
      <c r="K1" s="5" t="s">
        <v>1906</v>
      </c>
    </row>
    <row r="2" spans="1:11" x14ac:dyDescent="0.25">
      <c r="A2" s="6" t="s">
        <v>61</v>
      </c>
      <c r="B2" s="6" t="s">
        <v>2972</v>
      </c>
      <c r="C2" s="6" t="s">
        <v>2973</v>
      </c>
      <c r="D2" s="6" t="s">
        <v>2974</v>
      </c>
      <c r="E2" s="8">
        <v>0</v>
      </c>
      <c r="F2" s="8">
        <v>38500</v>
      </c>
      <c r="G2" s="8">
        <v>100</v>
      </c>
      <c r="H2" s="10">
        <v>5.5</v>
      </c>
      <c r="I2" s="8">
        <v>0</v>
      </c>
      <c r="J2" s="8">
        <v>40</v>
      </c>
      <c r="K2" s="6" t="s">
        <v>2975</v>
      </c>
    </row>
    <row r="3" spans="1:11" x14ac:dyDescent="0.25">
      <c r="A3" s="6" t="s">
        <v>61</v>
      </c>
      <c r="B3" s="6" t="s">
        <v>2976</v>
      </c>
      <c r="C3" s="6" t="s">
        <v>2977</v>
      </c>
      <c r="D3" s="6" t="s">
        <v>2974</v>
      </c>
      <c r="E3" s="8">
        <v>4000</v>
      </c>
      <c r="F3" s="8">
        <v>2000</v>
      </c>
      <c r="G3" s="8">
        <v>88</v>
      </c>
      <c r="H3" s="8">
        <v>0</v>
      </c>
      <c r="I3" s="8">
        <v>425</v>
      </c>
      <c r="J3" s="8">
        <v>26</v>
      </c>
      <c r="K3" s="6" t="s">
        <v>2978</v>
      </c>
    </row>
    <row r="4" spans="1:11" x14ac:dyDescent="0.25">
      <c r="A4" s="6" t="s">
        <v>61</v>
      </c>
      <c r="B4" s="6" t="s">
        <v>2979</v>
      </c>
      <c r="C4" s="6" t="s">
        <v>2977</v>
      </c>
      <c r="D4" s="6" t="s">
        <v>2974</v>
      </c>
      <c r="E4" s="8">
        <v>120000</v>
      </c>
      <c r="F4" s="8">
        <v>30000</v>
      </c>
      <c r="G4" s="8">
        <v>88</v>
      </c>
      <c r="H4" s="8">
        <v>0</v>
      </c>
      <c r="I4" s="8">
        <v>12750</v>
      </c>
      <c r="J4" s="8">
        <v>52</v>
      </c>
      <c r="K4" s="6" t="s">
        <v>2980</v>
      </c>
    </row>
    <row r="6" spans="1:1" x14ac:dyDescent="0.25">
      <c r="A6" s="9" t="s">
        <v>2981</v>
      </c>
    </row>
    <row r="7" spans="1:1" x14ac:dyDescent="0.25">
      <c r="A7" s="9" t="s">
        <v>2982</v>
      </c>
    </row>
    <row r="8" spans="1:1" x14ac:dyDescent="0.25">
      <c r="A8" s="9" t="s">
        <v>2983</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2" customWidth="1"/>
    <col min="3" max="3" width="70" customWidth="1"/>
    <col min="4" max="4" width="22" customWidth="1"/>
    <col min="5" max="5" width="34" customWidth="1"/>
    <col min="6" max="6" width="14" customWidth="1"/>
    <col min="7" max="7" width="22" customWidth="1"/>
    <col min="8" max="8" width="20" customWidth="1"/>
  </cols>
  <sheetData>
    <row r="1" spans="1:8" x14ac:dyDescent="0.25">
      <c r="A1" s="5" t="s">
        <v>42</v>
      </c>
      <c r="B1" s="5" t="s">
        <v>1506</v>
      </c>
      <c r="C1" s="5" t="s">
        <v>1247</v>
      </c>
      <c r="D1" s="5" t="s">
        <v>2984</v>
      </c>
      <c r="E1" s="5" t="s">
        <v>2985</v>
      </c>
      <c r="F1" s="5" t="s">
        <v>2986</v>
      </c>
      <c r="G1" s="5" t="s">
        <v>2987</v>
      </c>
      <c r="H1" s="5" t="s">
        <v>2988</v>
      </c>
    </row>
    <row r="2" spans="1:8" x14ac:dyDescent="0.25">
      <c r="A2" s="6" t="s">
        <v>61</v>
      </c>
      <c r="B2" s="6" t="s">
        <v>2989</v>
      </c>
      <c r="C2" s="6" t="s">
        <v>2990</v>
      </c>
      <c r="D2" s="8">
        <v>6200000</v>
      </c>
      <c r="E2" s="6" t="s">
        <v>2991</v>
      </c>
      <c r="F2" s="8">
        <v>22</v>
      </c>
      <c r="G2" s="10">
        <v>1.5</v>
      </c>
      <c r="H2" s="8">
        <v>85</v>
      </c>
    </row>
    <row r="3" spans="1:8" x14ac:dyDescent="0.25">
      <c r="A3" s="6" t="s">
        <v>61</v>
      </c>
      <c r="B3" s="6" t="s">
        <v>2992</v>
      </c>
      <c r="C3" s="6" t="s">
        <v>2993</v>
      </c>
      <c r="D3" s="8">
        <v>1400000</v>
      </c>
      <c r="E3" s="6" t="s">
        <v>2994</v>
      </c>
      <c r="F3" s="8">
        <v>35</v>
      </c>
      <c r="G3" s="8">
        <v>4</v>
      </c>
      <c r="H3" s="8">
        <v>85</v>
      </c>
    </row>
    <row r="4" spans="1:8" x14ac:dyDescent="0.25">
      <c r="A4" s="6" t="s">
        <v>61</v>
      </c>
      <c r="B4" s="6" t="s">
        <v>2995</v>
      </c>
      <c r="C4" s="6" t="s">
        <v>2996</v>
      </c>
      <c r="D4" s="8">
        <v>18432000</v>
      </c>
      <c r="E4" s="6" t="s">
        <v>2997</v>
      </c>
      <c r="F4" s="8">
        <v>68</v>
      </c>
      <c r="G4" s="10">
        <v>2.5</v>
      </c>
      <c r="H4" s="8">
        <v>85</v>
      </c>
    </row>
    <row r="5" spans="1:8" x14ac:dyDescent="0.25">
      <c r="A5" s="6" t="s">
        <v>73</v>
      </c>
      <c r="B5" s="6" t="s">
        <v>2989</v>
      </c>
      <c r="C5" s="6" t="s">
        <v>2990</v>
      </c>
      <c r="D5" s="8">
        <v>5100000</v>
      </c>
      <c r="E5" s="6" t="s">
        <v>2991</v>
      </c>
      <c r="F5" s="8">
        <v>20</v>
      </c>
      <c r="G5" s="10">
        <v>1.5</v>
      </c>
      <c r="H5" s="8">
        <v>140</v>
      </c>
    </row>
    <row r="6" spans="1:8" x14ac:dyDescent="0.25">
      <c r="A6" s="6" t="s">
        <v>73</v>
      </c>
      <c r="B6" s="6" t="s">
        <v>2992</v>
      </c>
      <c r="C6" s="6" t="s">
        <v>2993</v>
      </c>
      <c r="D6" s="8">
        <v>1100000</v>
      </c>
      <c r="E6" s="6" t="s">
        <v>2994</v>
      </c>
      <c r="F6" s="8">
        <v>32</v>
      </c>
      <c r="G6" s="8">
        <v>4</v>
      </c>
      <c r="H6" s="8">
        <v>140</v>
      </c>
    </row>
    <row r="7" spans="1:8" x14ac:dyDescent="0.25">
      <c r="A7" s="6" t="s">
        <v>73</v>
      </c>
      <c r="B7" s="6" t="s">
        <v>2995</v>
      </c>
      <c r="C7" s="6" t="s">
        <v>2998</v>
      </c>
      <c r="D7" s="8">
        <v>8736000</v>
      </c>
      <c r="E7" s="6" t="s">
        <v>2997</v>
      </c>
      <c r="F7" s="8">
        <v>58</v>
      </c>
      <c r="G7" s="10">
        <v>2.5</v>
      </c>
      <c r="H7" s="8">
        <v>140</v>
      </c>
    </row>
    <row r="9" spans="1:1" x14ac:dyDescent="0.25">
      <c r="A9" s="9" t="s">
        <v>2999</v>
      </c>
    </row>
    <row r="10" spans="1:1" x14ac:dyDescent="0.25">
      <c r="A10" s="9" t="s">
        <v>3000</v>
      </c>
    </row>
    <row r="11" spans="1:1" x14ac:dyDescent="0.25">
      <c r="A11" s="9" t="s">
        <v>3001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00_README</vt:lpstr>
      <vt:lpstr>01_facilities</vt:lpstr>
      <vt:lpstr>02_halls</vt:lpstr>
      <vt:lpstr>03_rows</vt:lpstr>
      <vt:lpstr>04_racks</vt:lpstr>
      <vt:lpstr>04_components</vt:lpstr>
      <vt:lpstr>04b_component_positions</vt:lpstr>
      <vt:lpstr>05_dependencies</vt:lpstr>
      <vt:lpstr>06_upgrade_options</vt:lpstr>
      <vt:lpstr>07_cascade_result</vt:lpstr>
      <vt:lpstr>08_secondary_effects</vt:lpstr>
      <vt:lpstr>09_tenants</vt:lpstr>
      <vt:lpstr>10_contracts</vt:lpstr>
      <vt:lpstr>11_incidents</vt:lpstr>
      <vt:lpstr>12_telemetry_replay</vt:lpstr>
      <vt:lpstr>13_energy</vt:lpstr>
      <vt:lpstr>14_water</vt:lpstr>
      <vt:lpstr>15_grid</vt:lpstr>
      <vt:lpstr>16_state_policy</vt:lpstr>
      <vt:lpstr>17_demo_script</vt:lpstr>
      <vt:lpstr>19_maintenance</vt:lpstr>
      <vt:lpstr>20_active_alerts</vt:lpstr>
      <vt:lpstr>21_benchmarks</vt:lpstr>
      <vt:lpstr>22_timeseries</vt:lpstr>
      <vt:lpstr>23_runbooks</vt:lpstr>
      <vt:lpstr>24_site_risk</vt:lpstr>
      <vt:lpstr>25_supply_chain</vt:lpstr>
      <vt:lpstr>26_thermal_sensors</vt:lpstr>
      <vt:lpstr>27_hourly_generation</vt:lpstr>
      <vt:lpstr>28_clean_energy_assets</vt:lpstr>
      <vt:lpstr>29_water_reuse_opportunities</vt:lpstr>
      <vt:lpstr>18_checks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itle/>
  <dc:subject/>
  <dc:description/>
  <dc:language>en-US</dc:language>
  <cp:lastModifiedBy>Unknown</cp:lastModifiedBy>
  <dcterms:created xsi:type="dcterms:W3CDTF">2026-10-06T10:29:38Z</dcterms:created>
  <dcterms:modified xsi:type="dcterms:W3CDTF">2026-10-06T10:29:40Z</dcterms:modified>
</cp:coreProperties>
</file>