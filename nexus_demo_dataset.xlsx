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facilities" sheetId="2" state="visible" r:id="rId4"/>
    <sheet name="02_halls" sheetId="3" state="visible" r:id="rId5"/>
    <sheet name="03_rows" sheetId="4" state="visible" r:id="rId6"/>
    <sheet name="04_racks" sheetId="5" state="visible" r:id="rId7"/>
    <sheet name="04_components" sheetId="6" state="visible" r:id="rId8"/>
    <sheet name="04b_component_positions" sheetId="7" state="visible" r:id="rId9"/>
    <sheet name="05_dependencies" sheetId="8" state="visible" r:id="rId10"/>
    <sheet name="06_upgrade_options" sheetId="9" state="visible" r:id="rId11"/>
    <sheet name="07_cascade_result" sheetId="10" state="visible" r:id="rId12"/>
    <sheet name="08_secondary_effects" sheetId="11" state="visible" r:id="rId13"/>
    <sheet name="09_tenants" sheetId="12" state="visible" r:id="rId14"/>
    <sheet name="10_contracts" sheetId="13" state="visible" r:id="rId15"/>
    <sheet name="11_incidents" sheetId="14" state="visible" r:id="rId16"/>
    <sheet name="12_telemetry_replay" sheetId="15" state="visible" r:id="rId17"/>
    <sheet name="13_energy" sheetId="16" state="visible" r:id="rId18"/>
    <sheet name="14_water" sheetId="17" state="visible" r:id="rId19"/>
    <sheet name="15_grid" sheetId="18" state="visible" r:id="rId20"/>
    <sheet name="16_state_policy" sheetId="19" state="visible" r:id="rId21"/>
    <sheet name="17_demo_script" sheetId="20" state="visible" r:id="rId22"/>
    <sheet name="19_maintenance" sheetId="21" state="visible" r:id="rId23"/>
    <sheet name="20_active_alerts" sheetId="22" state="visible" r:id="rId24"/>
    <sheet name="21_benchmarks" sheetId="23" state="visible" r:id="rId25"/>
    <sheet name="22_timeseries" sheetId="24" state="visible" r:id="rId26"/>
    <sheet name="18_checks" sheetId="25" state="visible" r:id="rId2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<sst xmlns="http://schemas.openxmlformats.org/spreadsheetml/2006/main" count="8677" uniqueCount="1941">
  <si>
    <t xml:space="preserve">Nexus Data Infrastructure - K-Nexus demo dataset</t>
  </si>
  <si>
    <t xml:space="preserve">What this is</t>
  </si>
  <si>
    <t xml:space="preserve">A composite Indian datacenter operator built for demonstration. The company is fictional. Every specification, tariff, lead time and equipment rating is drawn from real market data.</t>
  </si>
  <si>
    <t xml:space="preserve">How to brief an audience</t>
  </si>
  <si>
    <t xml:space="preserve">"Everything you are about to see runs on Nexus Data Infrastructure, a composite operator we built from published Indian facility specifications, real equipment ratings and actual state tariffs. The company is not real. Every number in it is." Say it once, early, then never mention it again.</t>
  </si>
  <si>
    <t xml:space="preserve">Portfolio</t>
  </si>
  <si>
    <t xml:space="preserve">Operator</t>
  </si>
  <si>
    <t xml:space="preserve">Nexus Data Infrastructure Pvt Ltd</t>
  </si>
  <si>
    <t xml:space="preserve">Facilities</t>
  </si>
  <si>
    <t xml:space="preserve">6 (5 operational, 1 under construction)</t>
  </si>
  <si>
    <t xml:space="preserve">Total design IT load</t>
  </si>
  <si>
    <t xml:space="preserve">67,000 kW across the portfolio</t>
  </si>
  <si>
    <t xml:space="preserve">Hero facility</t>
  </si>
  <si>
    <t xml:space="preserve">Nexus Mumbai-1 (MUM-1) - all four demo scenes run here</t>
  </si>
  <si>
    <t xml:space="preserve">Planted demo moments - these numbers are deliberate, not random</t>
  </si>
  <si>
    <t xml:space="preserve">Scene 1 - Stranded</t>
  </si>
  <si>
    <t xml:space="preserve">MUM-1 carries 640 kW of structural stranded capacity. Row K 380 kW (cooling-limited), Row C 190 kW (space-limited), Row P 40 kW, Row Q 30 kW. Hall 4 holds a further 480 kW classified as planned expansion headroom, NOT waste.</t>
  </si>
  <si>
    <t xml:space="preserve">Scene 2 - Can we take it</t>
  </si>
  <si>
    <t xml:space="preserve">A 2 MW enquiry at 60 kW/rack against MUM-1 Hall 4. Space allows 34 racks, power allows 22, cooling allows 14. Cooling binds. Answer: 840 kW deployable today.</t>
  </si>
  <si>
    <t xml:space="preserve">Scene 3 - Cascade</t>
  </si>
  <si>
    <t xml:space="preserve">MUM-1 Row G from 10 kW to 60 kW per rack (+1,000 kW). Breaks 5 components across 3 systems. Costs the UPS-1/UPS-2 pair its N+1 redundancy. Rs 2.50 crore of upgrades, 16-week critical path.</t>
  </si>
  <si>
    <t xml:space="preserve">Scene 4 - Replay</t>
  </si>
  <si>
    <t xml:space="preserve">Incident INC-2026-0318 at MUM-1. Formally detected 04:12 on 18 March. Degradation signal present in telemetry from 22:40 the previous evening - 5 hours 32 minutes earlier.</t>
  </si>
  <si>
    <t xml:space="preserve">Rules for anyone extending this data</t>
  </si>
  <si>
    <t xml:space="preserve">Naming</t>
  </si>
  <si>
    <t xml:space="preserve">Facility IDs are MUM-1, MUM-2, CHN-1, HYD-1, NCR-1, BLR-1. Rows are single letters A-X. Components follow TYPE-IDENTIFIER. Never invent a new naming scheme in one module.</t>
  </si>
  <si>
    <t xml:space="preserve">Currency</t>
  </si>
  <si>
    <t xml:space="preserve">All costs in INR lakh unless the column says otherwise. 100 lakh = 1 crore.</t>
  </si>
  <si>
    <t xml:space="preserve">Units</t>
  </si>
  <si>
    <t xml:space="preserve">Power in kW, transformers and UPS in kVA, cooling in kW or TR, water flow in LPM, consumption in litres.</t>
  </si>
  <si>
    <t xml:space="preserve">Do not</t>
  </si>
  <si>
    <t xml:space="preserve">Name a real operator, even favourably. Use round numbers everywhere - real facilities have 847 racks, not 850. Make the hero facility a disaster.</t>
  </si>
  <si>
    <t xml:space="preserve">facility_id</t>
  </si>
  <si>
    <t xml:space="preserve">name</t>
  </si>
  <si>
    <t xml:space="preserve">city</t>
  </si>
  <si>
    <t xml:space="preserve">state</t>
  </si>
  <si>
    <t xml:space="preserve">lat</t>
  </si>
  <si>
    <t xml:space="preserve">lon</t>
  </si>
  <si>
    <t xml:space="preserve">tier</t>
  </si>
  <si>
    <t xml:space="preserve">commissioned</t>
  </si>
  <si>
    <t xml:space="preserve">status</t>
  </si>
  <si>
    <t xml:space="preserve">design_it_kw</t>
  </si>
  <si>
    <t xml:space="preserve">used_it_kw</t>
  </si>
  <si>
    <t xml:space="preserve">utilisation_pct</t>
  </si>
  <si>
    <t xml:space="preserve">halls</t>
  </si>
  <si>
    <t xml:space="preserve">racks</t>
  </si>
  <si>
    <t xml:space="preserve">pue</t>
  </si>
  <si>
    <t xml:space="preserve">wue_l_per_kwh</t>
  </si>
  <si>
    <t xml:space="preserve">tariff_inr_kwh</t>
  </si>
  <si>
    <t xml:space="preserve">renewable_pct</t>
  </si>
  <si>
    <t xml:space="preserve">demo_role</t>
  </si>
  <si>
    <t xml:space="preserve">MUM-1</t>
  </si>
  <si>
    <t xml:space="preserve">Nexus Mumbai-1</t>
  </si>
  <si>
    <t xml:space="preserve">Navi Mumbai</t>
  </si>
  <si>
    <t xml:space="preserve">Maharashtra</t>
  </si>
  <si>
    <t xml:space="preserve">Tier III</t>
  </si>
  <si>
    <t xml:space="preserve">2019-08-14</t>
  </si>
  <si>
    <t xml:space="preserve">Operational</t>
  </si>
  <si>
    <t xml:space="preserve">HERO. All four demo scenes run here.</t>
  </si>
  <si>
    <t xml:space="preserve">MUM-2</t>
  </si>
  <si>
    <t xml:space="preserve">Nexus Mumbai-2</t>
  </si>
  <si>
    <t xml:space="preserve">2016-03-22</t>
  </si>
  <si>
    <t xml:space="preserve">Older build. Severe AI density gap, worst PUE in portfolio.</t>
  </si>
  <si>
    <t xml:space="preserve">CHN-1</t>
  </si>
  <si>
    <t xml:space="preserve">Nexus Chennai-1</t>
  </si>
  <si>
    <t xml:space="preserve">Chennai</t>
  </si>
  <si>
    <t xml:space="preserve">Tamil Nadu</t>
  </si>
  <si>
    <t xml:space="preserve">2021-11-05</t>
  </si>
  <si>
    <t xml:space="preserve">Water stress and cyclone exposure. Carries the water argument.</t>
  </si>
  <si>
    <t xml:space="preserve">HYD-1</t>
  </si>
  <si>
    <t xml:space="preserve">Nexus Hyderabad-1</t>
  </si>
  <si>
    <t xml:space="preserve">Hyderabad</t>
  </si>
  <si>
    <t xml:space="preserve">Telangana</t>
  </si>
  <si>
    <t xml:space="preserve">2024-02-19</t>
  </si>
  <si>
    <t xml:space="preserve">The healthy contrast. Modern, AI-ready, best efficiency.</t>
  </si>
  <si>
    <t xml:space="preserve">NCR-1</t>
  </si>
  <si>
    <t xml:space="preserve">Nexus NCR-1</t>
  </si>
  <si>
    <t xml:space="preserve">Noida</t>
  </si>
  <si>
    <t xml:space="preserve">Uttar Pradesh</t>
  </si>
  <si>
    <t xml:space="preserve">2022-06-30</t>
  </si>
  <si>
    <t xml:space="preserve">Grid constrained. Interconnection queue. Power scarcity point.</t>
  </si>
  <si>
    <t xml:space="preserve">BLR-1</t>
  </si>
  <si>
    <t xml:space="preserve">Nexus Bengaluru-1</t>
  </si>
  <si>
    <t xml:space="preserve">Bengaluru</t>
  </si>
  <si>
    <t xml:space="preserve">Karnataka</t>
  </si>
  <si>
    <t xml:space="preserve">Tier IV</t>
  </si>
  <si>
    <t xml:space="preserve">2027-04-01</t>
  </si>
  <si>
    <t xml:space="preserve">Under construction</t>
  </si>
  <si>
    <t xml:space="preserve">Karnataka policy angle - new plant-wise PUE/WUE mandate applies.</t>
  </si>
  <si>
    <t xml:space="preserve">hall_id</t>
  </si>
  <si>
    <t xml:space="preserve">row_count</t>
  </si>
  <si>
    <t xml:space="preserve">rack_count</t>
  </si>
  <si>
    <t xml:space="preserve">power_circuit_kw</t>
  </si>
  <si>
    <t xml:space="preserve">cooling_capacity_kw</t>
  </si>
  <si>
    <t xml:space="preserve">used_kw</t>
  </si>
  <si>
    <t xml:space="preserve">max_density_kw</t>
  </si>
  <si>
    <t xml:space="preserve">cooling_type</t>
  </si>
  <si>
    <t xml:space="preserve">note</t>
  </si>
  <si>
    <t xml:space="preserve">MUM-1-H1</t>
  </si>
  <si>
    <t xml:space="preserve">Hall 1</t>
  </si>
  <si>
    <t xml:space="preserve">Chilled water CRAH</t>
  </si>
  <si>
    <t xml:space="preserve">2019 original build</t>
  </si>
  <si>
    <t xml:space="preserve">MUM-1-H2</t>
  </si>
  <si>
    <t xml:space="preserve">Hall 2</t>
  </si>
  <si>
    <t xml:space="preserve">MUM-1-H3</t>
  </si>
  <si>
    <t xml:space="preserve">Hall 3</t>
  </si>
  <si>
    <t xml:space="preserve">MUM-1-H4</t>
  </si>
  <si>
    <t xml:space="preserve">Hall 4</t>
  </si>
  <si>
    <t xml:space="preserve">Chilled water, high-density containment</t>
  </si>
  <si>
    <t xml:space="preserve">2023 retrofit, AI-ready</t>
  </si>
  <si>
    <t xml:space="preserve">MUM-2-H1</t>
  </si>
  <si>
    <t xml:space="preserve">MUM-2-H2</t>
  </si>
  <si>
    <t xml:space="preserve">MUM-2-H3</t>
  </si>
  <si>
    <t xml:space="preserve">CHN-1-H1</t>
  </si>
  <si>
    <t xml:space="preserve">CHN-1-H2</t>
  </si>
  <si>
    <t xml:space="preserve">CHN-1-H3</t>
  </si>
  <si>
    <t xml:space="preserve">HYD-1-H1</t>
  </si>
  <si>
    <t xml:space="preserve">HYD-1-H2</t>
  </si>
  <si>
    <t xml:space="preserve">HYD-1-H3</t>
  </si>
  <si>
    <t xml:space="preserve">HYD-1-H4</t>
  </si>
  <si>
    <t xml:space="preserve">NCR-1-H1</t>
  </si>
  <si>
    <t xml:space="preserve">NCR-1-H2</t>
  </si>
  <si>
    <t xml:space="preserve">NCR-1-H3</t>
  </si>
  <si>
    <t xml:space="preserve">BLR-1-H1</t>
  </si>
  <si>
    <t xml:space="preserve">BLR-1-H2</t>
  </si>
  <si>
    <t xml:space="preserve">BLR-1-H3</t>
  </si>
  <si>
    <t xml:space="preserve">BLR-1-H4</t>
  </si>
  <si>
    <t xml:space="preserve">BLR-1-H5</t>
  </si>
  <si>
    <t xml:space="preserve">Hall 5</t>
  </si>
  <si>
    <t xml:space="preserve">row_id</t>
  </si>
  <si>
    <t xml:space="preserve">usable_positions</t>
  </si>
  <si>
    <t xml:space="preserve">racks_occupied</t>
  </si>
  <si>
    <t xml:space="preserve">racks_free</t>
  </si>
  <si>
    <t xml:space="preserve">design_space_kw</t>
  </si>
  <si>
    <t xml:space="preserve">deployable_kw</t>
  </si>
  <si>
    <t xml:space="preserve">headroom_kw</t>
  </si>
  <si>
    <t xml:space="preserve">stranded_kw</t>
  </si>
  <si>
    <t xml:space="preserve">binding_constraint</t>
  </si>
  <si>
    <t xml:space="preserve">stranded_classification</t>
  </si>
  <si>
    <t xml:space="preserve">thermal_margin_c</t>
  </si>
  <si>
    <t xml:space="preserve">A</t>
  </si>
  <si>
    <t xml:space="preserve">balanced</t>
  </si>
  <si>
    <t xml:space="preserve">B</t>
  </si>
  <si>
    <t xml:space="preserve">C</t>
  </si>
  <si>
    <t xml:space="preserve">space</t>
  </si>
  <si>
    <t xml:space="preserve">structural</t>
  </si>
  <si>
    <t xml:space="preserve">STRUCTURAL STRANDING: 570 kW circuit, one position permanently blocked by CRAH access</t>
  </si>
  <si>
    <t xml:space="preserve">D</t>
  </si>
  <si>
    <t xml:space="preserve">E</t>
  </si>
  <si>
    <t xml:space="preserve">F</t>
  </si>
  <si>
    <t xml:space="preserve">G</t>
  </si>
  <si>
    <t xml:space="preserve">CASCADE TARGET: 20 racks at 10 kW, proposal takes them to 60 kW</t>
  </si>
  <si>
    <t xml:space="preserve">H</t>
  </si>
  <si>
    <t xml:space="preserve">I</t>
  </si>
  <si>
    <t xml:space="preserve">J</t>
  </si>
  <si>
    <t xml:space="preserve">K</t>
  </si>
  <si>
    <t xml:space="preserve">cooling</t>
  </si>
  <si>
    <t xml:space="preserve">STRUCTURAL STRANDING: 600 kW circuit against 220 kW of cooling</t>
  </si>
  <si>
    <t xml:space="preserve">L</t>
  </si>
  <si>
    <t xml:space="preserve">M</t>
  </si>
  <si>
    <t xml:space="preserve">N</t>
  </si>
  <si>
    <t xml:space="preserve">O</t>
  </si>
  <si>
    <t xml:space="preserve">P</t>
  </si>
  <si>
    <t xml:space="preserve">STRUCTURAL STRANDING: 40 kW cooling shortfall</t>
  </si>
  <si>
    <t xml:space="preserve">Q</t>
  </si>
  <si>
    <t xml:space="preserve">STRUCTURAL STRANDING: 30 kW cooling shortfall</t>
  </si>
  <si>
    <t xml:space="preserve">R</t>
  </si>
  <si>
    <t xml:space="preserve">S</t>
  </si>
  <si>
    <t xml:space="preserve">planned headroom</t>
  </si>
  <si>
    <t xml:space="preserve">AI-ready, 2023 retrofit. Power ahead of cooling by design.</t>
  </si>
  <si>
    <t xml:space="preserve">T</t>
  </si>
  <si>
    <t xml:space="preserve">U</t>
  </si>
  <si>
    <t xml:space="preserve">V</t>
  </si>
  <si>
    <t xml:space="preserve">W</t>
  </si>
  <si>
    <t xml:space="preserve">X</t>
  </si>
  <si>
    <t xml:space="preserve">stranded_kw = power_circuit_kw - min(power_circuit_kw, cooling_capacity_kw, design_space_kw)</t>
  </si>
  <si>
    <t xml:space="preserve">Only 'structural' stranding is counted as recoverable waste. Hall 4 is deliberate provisioning.</t>
  </si>
  <si>
    <t xml:space="preserve">rack_id</t>
  </si>
  <si>
    <t xml:space="preserve">position_in_row</t>
  </si>
  <si>
    <t xml:space="preserve">x_m</t>
  </si>
  <si>
    <t xml:space="preserve">y_m</t>
  </si>
  <si>
    <t xml:space="preserve">z_m</t>
  </si>
  <si>
    <t xml:space="preserve">width_m</t>
  </si>
  <si>
    <t xml:space="preserve">depth_m</t>
  </si>
  <si>
    <t xml:space="preserve">height_m</t>
  </si>
  <si>
    <t xml:space="preserve">u_height</t>
  </si>
  <si>
    <t xml:space="preserve">capacity_kw</t>
  </si>
  <si>
    <t xml:space="preserve">tenant_id</t>
  </si>
  <si>
    <t xml:space="preserve">fed_by_pdu</t>
  </si>
  <si>
    <t xml:space="preserve">cooled_by_crah</t>
  </si>
  <si>
    <t xml:space="preserve">MUM-1-A-01</t>
  </si>
  <si>
    <t xml:space="preserve">occupied</t>
  </si>
  <si>
    <t xml:space="preserve">TEN-01</t>
  </si>
  <si>
    <t xml:space="preserve">PDU-A1</t>
  </si>
  <si>
    <t xml:space="preserve">CRAH-A-01</t>
  </si>
  <si>
    <t xml:space="preserve">MUM-1-A-02</t>
  </si>
  <si>
    <t xml:space="preserve">MUM-1-A-03</t>
  </si>
  <si>
    <t xml:space="preserve">MUM-1-A-04</t>
  </si>
  <si>
    <t xml:space="preserve">MUM-1-A-05</t>
  </si>
  <si>
    <t xml:space="preserve">MUM-1-A-06</t>
  </si>
  <si>
    <t xml:space="preserve">MUM-1-A-07</t>
  </si>
  <si>
    <t xml:space="preserve">MUM-1-A-08</t>
  </si>
  <si>
    <t xml:space="preserve">MUM-1-A-09</t>
  </si>
  <si>
    <t xml:space="preserve">MUM-1-A-10</t>
  </si>
  <si>
    <t xml:space="preserve">MUM-1-A-11</t>
  </si>
  <si>
    <t xml:space="preserve">PDU-A2</t>
  </si>
  <si>
    <t xml:space="preserve">CRAH-A-02</t>
  </si>
  <si>
    <t xml:space="preserve">MUM-1-A-12</t>
  </si>
  <si>
    <t xml:space="preserve">MUM-1-A-13</t>
  </si>
  <si>
    <t xml:space="preserve">MUM-1-A-14</t>
  </si>
  <si>
    <t xml:space="preserve">MUM-1-A-15</t>
  </si>
  <si>
    <t xml:space="preserve">MUM-1-A-16</t>
  </si>
  <si>
    <t xml:space="preserve">MUM-1-A-17</t>
  </si>
  <si>
    <t xml:space="preserve">MUM-1-A-18</t>
  </si>
  <si>
    <t xml:space="preserve">MUM-1-A-19</t>
  </si>
  <si>
    <t xml:space="preserve">free</t>
  </si>
  <si>
    <t xml:space="preserve">MUM-1-A-20</t>
  </si>
  <si>
    <t xml:space="preserve">MUM-1-B-01</t>
  </si>
  <si>
    <t xml:space="preserve">PDU-B1</t>
  </si>
  <si>
    <t xml:space="preserve">CRAH-B-01</t>
  </si>
  <si>
    <t xml:space="preserve">MUM-1-B-02</t>
  </si>
  <si>
    <t xml:space="preserve">MUM-1-B-03</t>
  </si>
  <si>
    <t xml:space="preserve">MUM-1-B-04</t>
  </si>
  <si>
    <t xml:space="preserve">MUM-1-B-05</t>
  </si>
  <si>
    <t xml:space="preserve">MUM-1-B-06</t>
  </si>
  <si>
    <t xml:space="preserve">MUM-1-B-07</t>
  </si>
  <si>
    <t xml:space="preserve">MUM-1-B-08</t>
  </si>
  <si>
    <t xml:space="preserve">MUM-1-B-09</t>
  </si>
  <si>
    <t xml:space="preserve">MUM-1-B-10</t>
  </si>
  <si>
    <t xml:space="preserve">MUM-1-B-11</t>
  </si>
  <si>
    <t xml:space="preserve">PDU-B2</t>
  </si>
  <si>
    <t xml:space="preserve">CRAH-B-02</t>
  </si>
  <si>
    <t xml:space="preserve">MUM-1-B-12</t>
  </si>
  <si>
    <t xml:space="preserve">MUM-1-B-13</t>
  </si>
  <si>
    <t xml:space="preserve">MUM-1-B-14</t>
  </si>
  <si>
    <t xml:space="preserve">MUM-1-B-15</t>
  </si>
  <si>
    <t xml:space="preserve">MUM-1-B-16</t>
  </si>
  <si>
    <t xml:space="preserve">MUM-1-B-17</t>
  </si>
  <si>
    <t xml:space="preserve">MUM-1-B-18</t>
  </si>
  <si>
    <t xml:space="preserve">MUM-1-B-19</t>
  </si>
  <si>
    <t xml:space="preserve">MUM-1-B-20</t>
  </si>
  <si>
    <t xml:space="preserve">MUM-1-C-01</t>
  </si>
  <si>
    <t xml:space="preserve">TEN-02</t>
  </si>
  <si>
    <t xml:space="preserve">PDU-C1</t>
  </si>
  <si>
    <t xml:space="preserve">CRAH-C-01</t>
  </si>
  <si>
    <t xml:space="preserve">MUM-1-C-02</t>
  </si>
  <si>
    <t xml:space="preserve">MUM-1-C-03</t>
  </si>
  <si>
    <t xml:space="preserve">MUM-1-C-04</t>
  </si>
  <si>
    <t xml:space="preserve">MUM-1-C-05</t>
  </si>
  <si>
    <t xml:space="preserve">MUM-1-C-06</t>
  </si>
  <si>
    <t xml:space="preserve">MUM-1-C-07</t>
  </si>
  <si>
    <t xml:space="preserve">MUM-1-C-08</t>
  </si>
  <si>
    <t xml:space="preserve">MUM-1-C-09</t>
  </si>
  <si>
    <t xml:space="preserve">MUM-1-C-10</t>
  </si>
  <si>
    <t xml:space="preserve">MUM-1-C-11</t>
  </si>
  <si>
    <t xml:space="preserve">PDU-C2</t>
  </si>
  <si>
    <t xml:space="preserve">CRAH-C-02</t>
  </si>
  <si>
    <t xml:space="preserve">MUM-1-C-12</t>
  </si>
  <si>
    <t xml:space="preserve">MUM-1-C-13</t>
  </si>
  <si>
    <t xml:space="preserve">blocked</t>
  </si>
  <si>
    <t xml:space="preserve">Permanently blocked - CRAH service access</t>
  </si>
  <si>
    <t xml:space="preserve">MUM-1-C-14</t>
  </si>
  <si>
    <t xml:space="preserve">MUM-1-C-15</t>
  </si>
  <si>
    <t xml:space="preserve">MUM-1-C-16</t>
  </si>
  <si>
    <t xml:space="preserve">MUM-1-C-17</t>
  </si>
  <si>
    <t xml:space="preserve">MUM-1-C-18</t>
  </si>
  <si>
    <t xml:space="preserve">MUM-1-C-19</t>
  </si>
  <si>
    <t xml:space="preserve">MUM-1-C-20</t>
  </si>
  <si>
    <t xml:space="preserve">MUM-1-D-01</t>
  </si>
  <si>
    <t xml:space="preserve">PDU-D1</t>
  </si>
  <si>
    <t xml:space="preserve">CRAH-D-01</t>
  </si>
  <si>
    <t xml:space="preserve">MUM-1-D-02</t>
  </si>
  <si>
    <t xml:space="preserve">MUM-1-D-03</t>
  </si>
  <si>
    <t xml:space="preserve">MUM-1-D-04</t>
  </si>
  <si>
    <t xml:space="preserve">MUM-1-D-05</t>
  </si>
  <si>
    <t xml:space="preserve">MUM-1-D-06</t>
  </si>
  <si>
    <t xml:space="preserve">MUM-1-D-07</t>
  </si>
  <si>
    <t xml:space="preserve">MUM-1-D-08</t>
  </si>
  <si>
    <t xml:space="preserve">MUM-1-D-09</t>
  </si>
  <si>
    <t xml:space="preserve">MUM-1-D-10</t>
  </si>
  <si>
    <t xml:space="preserve">MUM-1-D-11</t>
  </si>
  <si>
    <t xml:space="preserve">PDU-D2</t>
  </si>
  <si>
    <t xml:space="preserve">CRAH-D-02</t>
  </si>
  <si>
    <t xml:space="preserve">MUM-1-D-12</t>
  </si>
  <si>
    <t xml:space="preserve">MUM-1-D-13</t>
  </si>
  <si>
    <t xml:space="preserve">MUM-1-D-14</t>
  </si>
  <si>
    <t xml:space="preserve">MUM-1-D-15</t>
  </si>
  <si>
    <t xml:space="preserve">MUM-1-D-16</t>
  </si>
  <si>
    <t xml:space="preserve">MUM-1-D-17</t>
  </si>
  <si>
    <t xml:space="preserve">MUM-1-D-18</t>
  </si>
  <si>
    <t xml:space="preserve">MUM-1-D-19</t>
  </si>
  <si>
    <t xml:space="preserve">MUM-1-D-20</t>
  </si>
  <si>
    <t xml:space="preserve">MUM-1-E-01</t>
  </si>
  <si>
    <t xml:space="preserve">TEN-04</t>
  </si>
  <si>
    <t xml:space="preserve">PDU-E1</t>
  </si>
  <si>
    <t xml:space="preserve">CRAH-E-01</t>
  </si>
  <si>
    <t xml:space="preserve">MUM-1-E-02</t>
  </si>
  <si>
    <t xml:space="preserve">MUM-1-E-03</t>
  </si>
  <si>
    <t xml:space="preserve">MUM-1-E-04</t>
  </si>
  <si>
    <t xml:space="preserve">MUM-1-E-05</t>
  </si>
  <si>
    <t xml:space="preserve">MUM-1-E-06</t>
  </si>
  <si>
    <t xml:space="preserve">MUM-1-E-07</t>
  </si>
  <si>
    <t xml:space="preserve">MUM-1-E-08</t>
  </si>
  <si>
    <t xml:space="preserve">MUM-1-E-09</t>
  </si>
  <si>
    <t xml:space="preserve">MUM-1-E-10</t>
  </si>
  <si>
    <t xml:space="preserve">MUM-1-E-11</t>
  </si>
  <si>
    <t xml:space="preserve">PDU-E2</t>
  </si>
  <si>
    <t xml:space="preserve">CRAH-E-02</t>
  </si>
  <si>
    <t xml:space="preserve">MUM-1-E-12</t>
  </si>
  <si>
    <t xml:space="preserve">MUM-1-E-13</t>
  </si>
  <si>
    <t xml:space="preserve">MUM-1-E-14</t>
  </si>
  <si>
    <t xml:space="preserve">MUM-1-E-15</t>
  </si>
  <si>
    <t xml:space="preserve">MUM-1-E-16</t>
  </si>
  <si>
    <t xml:space="preserve">MUM-1-E-17</t>
  </si>
  <si>
    <t xml:space="preserve">MUM-1-E-18</t>
  </si>
  <si>
    <t xml:space="preserve">MUM-1-E-19</t>
  </si>
  <si>
    <t xml:space="preserve">MUM-1-E-20</t>
  </si>
  <si>
    <t xml:space="preserve">MUM-1-F-01</t>
  </si>
  <si>
    <t xml:space="preserve">TEN-05</t>
  </si>
  <si>
    <t xml:space="preserve">PDU-F1</t>
  </si>
  <si>
    <t xml:space="preserve">CRAH-F-01</t>
  </si>
  <si>
    <t xml:space="preserve">MUM-1-F-02</t>
  </si>
  <si>
    <t xml:space="preserve">MUM-1-F-03</t>
  </si>
  <si>
    <t xml:space="preserve">MUM-1-F-04</t>
  </si>
  <si>
    <t xml:space="preserve">MUM-1-F-05</t>
  </si>
  <si>
    <t xml:space="preserve">MUM-1-F-06</t>
  </si>
  <si>
    <t xml:space="preserve">MUM-1-F-07</t>
  </si>
  <si>
    <t xml:space="preserve">MUM-1-F-08</t>
  </si>
  <si>
    <t xml:space="preserve">MUM-1-F-09</t>
  </si>
  <si>
    <t xml:space="preserve">MUM-1-F-10</t>
  </si>
  <si>
    <t xml:space="preserve">MUM-1-F-11</t>
  </si>
  <si>
    <t xml:space="preserve">PDU-F2</t>
  </si>
  <si>
    <t xml:space="preserve">CRAH-F-02</t>
  </si>
  <si>
    <t xml:space="preserve">MUM-1-F-12</t>
  </si>
  <si>
    <t xml:space="preserve">MUM-1-F-13</t>
  </si>
  <si>
    <t xml:space="preserve">MUM-1-F-14</t>
  </si>
  <si>
    <t xml:space="preserve">MUM-1-F-15</t>
  </si>
  <si>
    <t xml:space="preserve">MUM-1-F-16</t>
  </si>
  <si>
    <t xml:space="preserve">MUM-1-F-17</t>
  </si>
  <si>
    <t xml:space="preserve">MUM-1-F-18</t>
  </si>
  <si>
    <t xml:space="preserve">MUM-1-F-19</t>
  </si>
  <si>
    <t xml:space="preserve">MUM-1-F-20</t>
  </si>
  <si>
    <t xml:space="preserve">MUM-1-G-01</t>
  </si>
  <si>
    <t xml:space="preserve">PDU-G1</t>
  </si>
  <si>
    <t xml:space="preserve">CRAH-G-01</t>
  </si>
  <si>
    <t xml:space="preserve">MUM-1-G-02</t>
  </si>
  <si>
    <t xml:space="preserve">MUM-1-G-03</t>
  </si>
  <si>
    <t xml:space="preserve">MUM-1-G-04</t>
  </si>
  <si>
    <t xml:space="preserve">MUM-1-G-05</t>
  </si>
  <si>
    <t xml:space="preserve">MUM-1-G-06</t>
  </si>
  <si>
    <t xml:space="preserve">MUM-1-G-07</t>
  </si>
  <si>
    <t xml:space="preserve">MUM-1-G-08</t>
  </si>
  <si>
    <t xml:space="preserve">MUM-1-G-09</t>
  </si>
  <si>
    <t xml:space="preserve">MUM-1-G-10</t>
  </si>
  <si>
    <t xml:space="preserve">MUM-1-G-11</t>
  </si>
  <si>
    <t xml:space="preserve">PDU-G2</t>
  </si>
  <si>
    <t xml:space="preserve">CRAH-G-02</t>
  </si>
  <si>
    <t xml:space="preserve">MUM-1-G-12</t>
  </si>
  <si>
    <t xml:space="preserve">MUM-1-G-13</t>
  </si>
  <si>
    <t xml:space="preserve">MUM-1-G-14</t>
  </si>
  <si>
    <t xml:space="preserve">MUM-1-G-15</t>
  </si>
  <si>
    <t xml:space="preserve">MUM-1-G-16</t>
  </si>
  <si>
    <t xml:space="preserve">MUM-1-G-17</t>
  </si>
  <si>
    <t xml:space="preserve">MUM-1-G-18</t>
  </si>
  <si>
    <t xml:space="preserve">MUM-1-G-19</t>
  </si>
  <si>
    <t xml:space="preserve">MUM-1-G-20</t>
  </si>
  <si>
    <t xml:space="preserve">MUM-1-H-01</t>
  </si>
  <si>
    <t xml:space="preserve">PDU-H1</t>
  </si>
  <si>
    <t xml:space="preserve">CRAH-H-01</t>
  </si>
  <si>
    <t xml:space="preserve">MUM-1-H-02</t>
  </si>
  <si>
    <t xml:space="preserve">MUM-1-H-03</t>
  </si>
  <si>
    <t xml:space="preserve">MUM-1-H-04</t>
  </si>
  <si>
    <t xml:space="preserve">MUM-1-H-05</t>
  </si>
  <si>
    <t xml:space="preserve">MUM-1-H-06</t>
  </si>
  <si>
    <t xml:space="preserve">MUM-1-H-07</t>
  </si>
  <si>
    <t xml:space="preserve">MUM-1-H-08</t>
  </si>
  <si>
    <t xml:space="preserve">MUM-1-H-09</t>
  </si>
  <si>
    <t xml:space="preserve">MUM-1-H-10</t>
  </si>
  <si>
    <t xml:space="preserve">MUM-1-H-11</t>
  </si>
  <si>
    <t xml:space="preserve">PDU-H2</t>
  </si>
  <si>
    <t xml:space="preserve">CRAH-H-02</t>
  </si>
  <si>
    <t xml:space="preserve">MUM-1-H-12</t>
  </si>
  <si>
    <t xml:space="preserve">MUM-1-H-13</t>
  </si>
  <si>
    <t xml:space="preserve">MUM-1-H-14</t>
  </si>
  <si>
    <t xml:space="preserve">MUM-1-H-15</t>
  </si>
  <si>
    <t xml:space="preserve">MUM-1-H-16</t>
  </si>
  <si>
    <t xml:space="preserve">MUM-1-H-17</t>
  </si>
  <si>
    <t xml:space="preserve">MUM-1-H-18</t>
  </si>
  <si>
    <t xml:space="preserve">MUM-1-H-19</t>
  </si>
  <si>
    <t xml:space="preserve">MUM-1-H-20</t>
  </si>
  <si>
    <t xml:space="preserve">MUM-1-I-01</t>
  </si>
  <si>
    <t xml:space="preserve">PDU-I1</t>
  </si>
  <si>
    <t xml:space="preserve">CRAH-I-01</t>
  </si>
  <si>
    <t xml:space="preserve">MUM-1-I-02</t>
  </si>
  <si>
    <t xml:space="preserve">MUM-1-I-03</t>
  </si>
  <si>
    <t xml:space="preserve">MUM-1-I-04</t>
  </si>
  <si>
    <t xml:space="preserve">MUM-1-I-05</t>
  </si>
  <si>
    <t xml:space="preserve">MUM-1-I-06</t>
  </si>
  <si>
    <t xml:space="preserve">MUM-1-I-07</t>
  </si>
  <si>
    <t xml:space="preserve">MUM-1-I-08</t>
  </si>
  <si>
    <t xml:space="preserve">MUM-1-I-09</t>
  </si>
  <si>
    <t xml:space="preserve">MUM-1-I-10</t>
  </si>
  <si>
    <t xml:space="preserve">MUM-1-I-11</t>
  </si>
  <si>
    <t xml:space="preserve">PDU-I2</t>
  </si>
  <si>
    <t xml:space="preserve">CRAH-I-02</t>
  </si>
  <si>
    <t xml:space="preserve">MUM-1-I-12</t>
  </si>
  <si>
    <t xml:space="preserve">MUM-1-I-13</t>
  </si>
  <si>
    <t xml:space="preserve">MUM-1-I-14</t>
  </si>
  <si>
    <t xml:space="preserve">MUM-1-I-15</t>
  </si>
  <si>
    <t xml:space="preserve">MUM-1-I-16</t>
  </si>
  <si>
    <t xml:space="preserve">MUM-1-I-17</t>
  </si>
  <si>
    <t xml:space="preserve">MUM-1-I-18</t>
  </si>
  <si>
    <t xml:space="preserve">MUM-1-I-19</t>
  </si>
  <si>
    <t xml:space="preserve">MUM-1-I-20</t>
  </si>
  <si>
    <t xml:space="preserve">MUM-1-J-01</t>
  </si>
  <si>
    <t xml:space="preserve">PDU-J1</t>
  </si>
  <si>
    <t xml:space="preserve">CRAH-J-01</t>
  </si>
  <si>
    <t xml:space="preserve">MUM-1-J-02</t>
  </si>
  <si>
    <t xml:space="preserve">MUM-1-J-03</t>
  </si>
  <si>
    <t xml:space="preserve">MUM-1-J-04</t>
  </si>
  <si>
    <t xml:space="preserve">MUM-1-J-05</t>
  </si>
  <si>
    <t xml:space="preserve">MUM-1-J-06</t>
  </si>
  <si>
    <t xml:space="preserve">MUM-1-J-07</t>
  </si>
  <si>
    <t xml:space="preserve">MUM-1-J-08</t>
  </si>
  <si>
    <t xml:space="preserve">MUM-1-J-09</t>
  </si>
  <si>
    <t xml:space="preserve">MUM-1-J-10</t>
  </si>
  <si>
    <t xml:space="preserve">MUM-1-J-11</t>
  </si>
  <si>
    <t xml:space="preserve">PDU-J2</t>
  </si>
  <si>
    <t xml:space="preserve">CRAH-J-02</t>
  </si>
  <si>
    <t xml:space="preserve">MUM-1-J-12</t>
  </si>
  <si>
    <t xml:space="preserve">MUM-1-J-13</t>
  </si>
  <si>
    <t xml:space="preserve">MUM-1-J-14</t>
  </si>
  <si>
    <t xml:space="preserve">MUM-1-J-15</t>
  </si>
  <si>
    <t xml:space="preserve">MUM-1-J-16</t>
  </si>
  <si>
    <t xml:space="preserve">MUM-1-J-17</t>
  </si>
  <si>
    <t xml:space="preserve">MUM-1-J-18</t>
  </si>
  <si>
    <t xml:space="preserve">MUM-1-J-19</t>
  </si>
  <si>
    <t xml:space="preserve">MUM-1-J-20</t>
  </si>
  <si>
    <t xml:space="preserve">MUM-1-K-01</t>
  </si>
  <si>
    <t xml:space="preserve">TEN-03</t>
  </si>
  <si>
    <t xml:space="preserve">PDU-K1</t>
  </si>
  <si>
    <t xml:space="preserve">CRAH-K-01</t>
  </si>
  <si>
    <t xml:space="preserve">MUM-1-K-02</t>
  </si>
  <si>
    <t xml:space="preserve">MUM-1-K-03</t>
  </si>
  <si>
    <t xml:space="preserve">MUM-1-K-04</t>
  </si>
  <si>
    <t xml:space="preserve">MUM-1-K-05</t>
  </si>
  <si>
    <t xml:space="preserve">MUM-1-K-06</t>
  </si>
  <si>
    <t xml:space="preserve">MUM-1-K-07</t>
  </si>
  <si>
    <t xml:space="preserve">MUM-1-K-08</t>
  </si>
  <si>
    <t xml:space="preserve">MUM-1-K-09</t>
  </si>
  <si>
    <t xml:space="preserve">MUM-1-K-10</t>
  </si>
  <si>
    <t xml:space="preserve">MUM-1-K-11</t>
  </si>
  <si>
    <t xml:space="preserve">PDU-K2</t>
  </si>
  <si>
    <t xml:space="preserve">CRAH-K-02</t>
  </si>
  <si>
    <t xml:space="preserve">MUM-1-K-12</t>
  </si>
  <si>
    <t xml:space="preserve">MUM-1-K-13</t>
  </si>
  <si>
    <t xml:space="preserve">MUM-1-K-14</t>
  </si>
  <si>
    <t xml:space="preserve">MUM-1-K-15</t>
  </si>
  <si>
    <t xml:space="preserve">MUM-1-K-16</t>
  </si>
  <si>
    <t xml:space="preserve">MUM-1-K-17</t>
  </si>
  <si>
    <t xml:space="preserve">MUM-1-K-18</t>
  </si>
  <si>
    <t xml:space="preserve">MUM-1-K-19</t>
  </si>
  <si>
    <t xml:space="preserve">MUM-1-K-20</t>
  </si>
  <si>
    <t xml:space="preserve">MUM-1-L-01</t>
  </si>
  <si>
    <t xml:space="preserve">PDU-L1</t>
  </si>
  <si>
    <t xml:space="preserve">CRAH-L-01</t>
  </si>
  <si>
    <t xml:space="preserve">MUM-1-L-02</t>
  </si>
  <si>
    <t xml:space="preserve">MUM-1-L-03</t>
  </si>
  <si>
    <t xml:space="preserve">MUM-1-L-04</t>
  </si>
  <si>
    <t xml:space="preserve">MUM-1-L-05</t>
  </si>
  <si>
    <t xml:space="preserve">MUM-1-L-06</t>
  </si>
  <si>
    <t xml:space="preserve">MUM-1-L-07</t>
  </si>
  <si>
    <t xml:space="preserve">MUM-1-L-08</t>
  </si>
  <si>
    <t xml:space="preserve">MUM-1-L-09</t>
  </si>
  <si>
    <t xml:space="preserve">MUM-1-L-10</t>
  </si>
  <si>
    <t xml:space="preserve">MUM-1-L-11</t>
  </si>
  <si>
    <t xml:space="preserve">PDU-L2</t>
  </si>
  <si>
    <t xml:space="preserve">CRAH-L-02</t>
  </si>
  <si>
    <t xml:space="preserve">MUM-1-L-12</t>
  </si>
  <si>
    <t xml:space="preserve">MUM-1-L-13</t>
  </si>
  <si>
    <t xml:space="preserve">MUM-1-L-14</t>
  </si>
  <si>
    <t xml:space="preserve">MUM-1-L-15</t>
  </si>
  <si>
    <t xml:space="preserve">MUM-1-L-16</t>
  </si>
  <si>
    <t xml:space="preserve">MUM-1-L-17</t>
  </si>
  <si>
    <t xml:space="preserve">MUM-1-L-18</t>
  </si>
  <si>
    <t xml:space="preserve">MUM-1-L-19</t>
  </si>
  <si>
    <t xml:space="preserve">MUM-1-L-20</t>
  </si>
  <si>
    <t xml:space="preserve">MUM-1-M-01</t>
  </si>
  <si>
    <t xml:space="preserve">PDU-M1</t>
  </si>
  <si>
    <t xml:space="preserve">CRAH-M-01</t>
  </si>
  <si>
    <t xml:space="preserve">MUM-1-M-02</t>
  </si>
  <si>
    <t xml:space="preserve">MUM-1-M-03</t>
  </si>
  <si>
    <t xml:space="preserve">MUM-1-M-04</t>
  </si>
  <si>
    <t xml:space="preserve">MUM-1-M-05</t>
  </si>
  <si>
    <t xml:space="preserve">MUM-1-M-06</t>
  </si>
  <si>
    <t xml:space="preserve">MUM-1-M-07</t>
  </si>
  <si>
    <t xml:space="preserve">MUM-1-M-08</t>
  </si>
  <si>
    <t xml:space="preserve">MUM-1-M-09</t>
  </si>
  <si>
    <t xml:space="preserve">MUM-1-M-10</t>
  </si>
  <si>
    <t xml:space="preserve">MUM-1-M-11</t>
  </si>
  <si>
    <t xml:space="preserve">PDU-M2</t>
  </si>
  <si>
    <t xml:space="preserve">CRAH-M-02</t>
  </si>
  <si>
    <t xml:space="preserve">MUM-1-M-12</t>
  </si>
  <si>
    <t xml:space="preserve">MUM-1-M-13</t>
  </si>
  <si>
    <t xml:space="preserve">MUM-1-M-14</t>
  </si>
  <si>
    <t xml:space="preserve">MUM-1-M-15</t>
  </si>
  <si>
    <t xml:space="preserve">MUM-1-M-16</t>
  </si>
  <si>
    <t xml:space="preserve">MUM-1-M-17</t>
  </si>
  <si>
    <t xml:space="preserve">MUM-1-M-18</t>
  </si>
  <si>
    <t xml:space="preserve">MUM-1-M-19</t>
  </si>
  <si>
    <t xml:space="preserve">MUM-1-M-20</t>
  </si>
  <si>
    <t xml:space="preserve">MUM-1-N-01</t>
  </si>
  <si>
    <t xml:space="preserve">PDU-N1</t>
  </si>
  <si>
    <t xml:space="preserve">CRAH-N-01</t>
  </si>
  <si>
    <t xml:space="preserve">MUM-1-N-02</t>
  </si>
  <si>
    <t xml:space="preserve">MUM-1-N-03</t>
  </si>
  <si>
    <t xml:space="preserve">MUM-1-N-04</t>
  </si>
  <si>
    <t xml:space="preserve">MUM-1-N-05</t>
  </si>
  <si>
    <t xml:space="preserve">MUM-1-N-06</t>
  </si>
  <si>
    <t xml:space="preserve">MUM-1-N-07</t>
  </si>
  <si>
    <t xml:space="preserve">MUM-1-N-08</t>
  </si>
  <si>
    <t xml:space="preserve">MUM-1-N-09</t>
  </si>
  <si>
    <t xml:space="preserve">MUM-1-N-10</t>
  </si>
  <si>
    <t xml:space="preserve">MUM-1-N-11</t>
  </si>
  <si>
    <t xml:space="preserve">PDU-N2</t>
  </si>
  <si>
    <t xml:space="preserve">CRAH-N-02</t>
  </si>
  <si>
    <t xml:space="preserve">MUM-1-N-12</t>
  </si>
  <si>
    <t xml:space="preserve">MUM-1-N-13</t>
  </si>
  <si>
    <t xml:space="preserve">MUM-1-N-14</t>
  </si>
  <si>
    <t xml:space="preserve">MUM-1-N-15</t>
  </si>
  <si>
    <t xml:space="preserve">MUM-1-N-16</t>
  </si>
  <si>
    <t xml:space="preserve">MUM-1-N-17</t>
  </si>
  <si>
    <t xml:space="preserve">MUM-1-N-18</t>
  </si>
  <si>
    <t xml:space="preserve">MUM-1-N-19</t>
  </si>
  <si>
    <t xml:space="preserve">MUM-1-N-20</t>
  </si>
  <si>
    <t xml:space="preserve">MUM-1-O-01</t>
  </si>
  <si>
    <t xml:space="preserve">PDU-O1</t>
  </si>
  <si>
    <t xml:space="preserve">CRAH-O-01</t>
  </si>
  <si>
    <t xml:space="preserve">MUM-1-O-02</t>
  </si>
  <si>
    <t xml:space="preserve">MUM-1-O-03</t>
  </si>
  <si>
    <t xml:space="preserve">MUM-1-O-04</t>
  </si>
  <si>
    <t xml:space="preserve">MUM-1-O-05</t>
  </si>
  <si>
    <t xml:space="preserve">MUM-1-O-06</t>
  </si>
  <si>
    <t xml:space="preserve">MUM-1-O-07</t>
  </si>
  <si>
    <t xml:space="preserve">MUM-1-O-08</t>
  </si>
  <si>
    <t xml:space="preserve">MUM-1-O-09</t>
  </si>
  <si>
    <t xml:space="preserve">MUM-1-O-10</t>
  </si>
  <si>
    <t xml:space="preserve">MUM-1-O-11</t>
  </si>
  <si>
    <t xml:space="preserve">PDU-O2</t>
  </si>
  <si>
    <t xml:space="preserve">CRAH-O-02</t>
  </si>
  <si>
    <t xml:space="preserve">MUM-1-O-12</t>
  </si>
  <si>
    <t xml:space="preserve">MUM-1-O-13</t>
  </si>
  <si>
    <t xml:space="preserve">MUM-1-O-14</t>
  </si>
  <si>
    <t xml:space="preserve">MUM-1-O-15</t>
  </si>
  <si>
    <t xml:space="preserve">MUM-1-O-16</t>
  </si>
  <si>
    <t xml:space="preserve">MUM-1-O-17</t>
  </si>
  <si>
    <t xml:space="preserve">MUM-1-O-18</t>
  </si>
  <si>
    <t xml:space="preserve">MUM-1-O-19</t>
  </si>
  <si>
    <t xml:space="preserve">MUM-1-O-20</t>
  </si>
  <si>
    <t xml:space="preserve">MUM-1-P-01</t>
  </si>
  <si>
    <t xml:space="preserve">PDU-P1</t>
  </si>
  <si>
    <t xml:space="preserve">CRAH-P-01</t>
  </si>
  <si>
    <t xml:space="preserve">MUM-1-P-02</t>
  </si>
  <si>
    <t xml:space="preserve">MUM-1-P-03</t>
  </si>
  <si>
    <t xml:space="preserve">MUM-1-P-04</t>
  </si>
  <si>
    <t xml:space="preserve">MUM-1-P-05</t>
  </si>
  <si>
    <t xml:space="preserve">MUM-1-P-06</t>
  </si>
  <si>
    <t xml:space="preserve">MUM-1-P-07</t>
  </si>
  <si>
    <t xml:space="preserve">MUM-1-P-08</t>
  </si>
  <si>
    <t xml:space="preserve">MUM-1-P-09</t>
  </si>
  <si>
    <t xml:space="preserve">MUM-1-P-10</t>
  </si>
  <si>
    <t xml:space="preserve">MUM-1-P-11</t>
  </si>
  <si>
    <t xml:space="preserve">PDU-P2</t>
  </si>
  <si>
    <t xml:space="preserve">CRAH-P-02</t>
  </si>
  <si>
    <t xml:space="preserve">MUM-1-P-12</t>
  </si>
  <si>
    <t xml:space="preserve">MUM-1-P-13</t>
  </si>
  <si>
    <t xml:space="preserve">MUM-1-P-14</t>
  </si>
  <si>
    <t xml:space="preserve">MUM-1-P-15</t>
  </si>
  <si>
    <t xml:space="preserve">MUM-1-P-16</t>
  </si>
  <si>
    <t xml:space="preserve">MUM-1-P-17</t>
  </si>
  <si>
    <t xml:space="preserve">MUM-1-P-18</t>
  </si>
  <si>
    <t xml:space="preserve">MUM-1-P-19</t>
  </si>
  <si>
    <t xml:space="preserve">MUM-1-P-20</t>
  </si>
  <si>
    <t xml:space="preserve">MUM-1-Q-01</t>
  </si>
  <si>
    <t xml:space="preserve">PDU-Q1</t>
  </si>
  <si>
    <t xml:space="preserve">CRAH-Q-01</t>
  </si>
  <si>
    <t xml:space="preserve">MUM-1-Q-02</t>
  </si>
  <si>
    <t xml:space="preserve">MUM-1-Q-03</t>
  </si>
  <si>
    <t xml:space="preserve">MUM-1-Q-04</t>
  </si>
  <si>
    <t xml:space="preserve">MUM-1-Q-05</t>
  </si>
  <si>
    <t xml:space="preserve">MUM-1-Q-06</t>
  </si>
  <si>
    <t xml:space="preserve">MUM-1-Q-07</t>
  </si>
  <si>
    <t xml:space="preserve">MUM-1-Q-08</t>
  </si>
  <si>
    <t xml:space="preserve">MUM-1-Q-09</t>
  </si>
  <si>
    <t xml:space="preserve">MUM-1-Q-10</t>
  </si>
  <si>
    <t xml:space="preserve">MUM-1-Q-11</t>
  </si>
  <si>
    <t xml:space="preserve">PDU-Q2</t>
  </si>
  <si>
    <t xml:space="preserve">CRAH-Q-02</t>
  </si>
  <si>
    <t xml:space="preserve">MUM-1-Q-12</t>
  </si>
  <si>
    <t xml:space="preserve">MUM-1-Q-13</t>
  </si>
  <si>
    <t xml:space="preserve">MUM-1-Q-14</t>
  </si>
  <si>
    <t xml:space="preserve">MUM-1-Q-15</t>
  </si>
  <si>
    <t xml:space="preserve">MUM-1-Q-16</t>
  </si>
  <si>
    <t xml:space="preserve">MUM-1-Q-17</t>
  </si>
  <si>
    <t xml:space="preserve">MUM-1-Q-18</t>
  </si>
  <si>
    <t xml:space="preserve">MUM-1-Q-19</t>
  </si>
  <si>
    <t xml:space="preserve">MUM-1-Q-20</t>
  </si>
  <si>
    <t xml:space="preserve">MUM-1-R-01</t>
  </si>
  <si>
    <t xml:space="preserve">PDU-R1</t>
  </si>
  <si>
    <t xml:space="preserve">CRAH-R-01</t>
  </si>
  <si>
    <t xml:space="preserve">MUM-1-R-02</t>
  </si>
  <si>
    <t xml:space="preserve">MUM-1-R-03</t>
  </si>
  <si>
    <t xml:space="preserve">MUM-1-R-04</t>
  </si>
  <si>
    <t xml:space="preserve">MUM-1-R-05</t>
  </si>
  <si>
    <t xml:space="preserve">MUM-1-R-06</t>
  </si>
  <si>
    <t xml:space="preserve">MUM-1-R-07</t>
  </si>
  <si>
    <t xml:space="preserve">MUM-1-R-08</t>
  </si>
  <si>
    <t xml:space="preserve">MUM-1-R-09</t>
  </si>
  <si>
    <t xml:space="preserve">MUM-1-R-10</t>
  </si>
  <si>
    <t xml:space="preserve">MUM-1-R-11</t>
  </si>
  <si>
    <t xml:space="preserve">PDU-R2</t>
  </si>
  <si>
    <t xml:space="preserve">CRAH-R-02</t>
  </si>
  <si>
    <t xml:space="preserve">MUM-1-R-12</t>
  </si>
  <si>
    <t xml:space="preserve">MUM-1-R-13</t>
  </si>
  <si>
    <t xml:space="preserve">MUM-1-R-14</t>
  </si>
  <si>
    <t xml:space="preserve">MUM-1-R-15</t>
  </si>
  <si>
    <t xml:space="preserve">MUM-1-R-16</t>
  </si>
  <si>
    <t xml:space="preserve">MUM-1-R-17</t>
  </si>
  <si>
    <t xml:space="preserve">MUM-1-R-18</t>
  </si>
  <si>
    <t xml:space="preserve">MUM-1-R-19</t>
  </si>
  <si>
    <t xml:space="preserve">MUM-1-R-20</t>
  </si>
  <si>
    <t xml:space="preserve">MUM-1-S-01</t>
  </si>
  <si>
    <t xml:space="preserve">PDU-S1</t>
  </si>
  <si>
    <t xml:space="preserve">CRAH-S-01</t>
  </si>
  <si>
    <t xml:space="preserve">MUM-1-S-02</t>
  </si>
  <si>
    <t xml:space="preserve">MUM-1-S-03</t>
  </si>
  <si>
    <t xml:space="preserve">MUM-1-S-04</t>
  </si>
  <si>
    <t xml:space="preserve">MUM-1-S-05</t>
  </si>
  <si>
    <t xml:space="preserve">MUM-1-S-06</t>
  </si>
  <si>
    <t xml:space="preserve">MUM-1-S-07</t>
  </si>
  <si>
    <t xml:space="preserve">MUM-1-S-08</t>
  </si>
  <si>
    <t xml:space="preserve">MUM-1-S-09</t>
  </si>
  <si>
    <t xml:space="preserve">MUM-1-S-10</t>
  </si>
  <si>
    <t xml:space="preserve">MUM-1-S-11</t>
  </si>
  <si>
    <t xml:space="preserve">PDU-S2</t>
  </si>
  <si>
    <t xml:space="preserve">CRAH-S-02</t>
  </si>
  <si>
    <t xml:space="preserve">MUM-1-S-12</t>
  </si>
  <si>
    <t xml:space="preserve">MUM-1-S-13</t>
  </si>
  <si>
    <t xml:space="preserve">MUM-1-S-14</t>
  </si>
  <si>
    <t xml:space="preserve">MUM-1-S-15</t>
  </si>
  <si>
    <t xml:space="preserve">MUM-1-S-16</t>
  </si>
  <si>
    <t xml:space="preserve">MUM-1-S-17</t>
  </si>
  <si>
    <t xml:space="preserve">MUM-1-S-18</t>
  </si>
  <si>
    <t xml:space="preserve">MUM-1-S-19</t>
  </si>
  <si>
    <t xml:space="preserve">MUM-1-S-20</t>
  </si>
  <si>
    <t xml:space="preserve">MUM-1-T-01</t>
  </si>
  <si>
    <t xml:space="preserve">PDU-T1</t>
  </si>
  <si>
    <t xml:space="preserve">CRAH-T-01</t>
  </si>
  <si>
    <t xml:space="preserve">MUM-1-T-02</t>
  </si>
  <si>
    <t xml:space="preserve">MUM-1-T-03</t>
  </si>
  <si>
    <t xml:space="preserve">MUM-1-T-04</t>
  </si>
  <si>
    <t xml:space="preserve">MUM-1-T-05</t>
  </si>
  <si>
    <t xml:space="preserve">MUM-1-T-06</t>
  </si>
  <si>
    <t xml:space="preserve">MUM-1-T-07</t>
  </si>
  <si>
    <t xml:space="preserve">MUM-1-T-08</t>
  </si>
  <si>
    <t xml:space="preserve">MUM-1-T-09</t>
  </si>
  <si>
    <t xml:space="preserve">MUM-1-T-10</t>
  </si>
  <si>
    <t xml:space="preserve">MUM-1-T-11</t>
  </si>
  <si>
    <t xml:space="preserve">PDU-T2</t>
  </si>
  <si>
    <t xml:space="preserve">CRAH-T-02</t>
  </si>
  <si>
    <t xml:space="preserve">MUM-1-T-12</t>
  </si>
  <si>
    <t xml:space="preserve">MUM-1-T-13</t>
  </si>
  <si>
    <t xml:space="preserve">MUM-1-T-14</t>
  </si>
  <si>
    <t xml:space="preserve">MUM-1-T-15</t>
  </si>
  <si>
    <t xml:space="preserve">MUM-1-T-16</t>
  </si>
  <si>
    <t xml:space="preserve">MUM-1-T-17</t>
  </si>
  <si>
    <t xml:space="preserve">MUM-1-T-18</t>
  </si>
  <si>
    <t xml:space="preserve">MUM-1-T-19</t>
  </si>
  <si>
    <t xml:space="preserve">MUM-1-T-20</t>
  </si>
  <si>
    <t xml:space="preserve">MUM-1-U-01</t>
  </si>
  <si>
    <t xml:space="preserve">PDU-U1</t>
  </si>
  <si>
    <t xml:space="preserve">CRAH-U-01</t>
  </si>
  <si>
    <t xml:space="preserve">MUM-1-U-02</t>
  </si>
  <si>
    <t xml:space="preserve">MUM-1-U-03</t>
  </si>
  <si>
    <t xml:space="preserve">MUM-1-U-04</t>
  </si>
  <si>
    <t xml:space="preserve">MUM-1-U-05</t>
  </si>
  <si>
    <t xml:space="preserve">MUM-1-U-06</t>
  </si>
  <si>
    <t xml:space="preserve">MUM-1-U-07</t>
  </si>
  <si>
    <t xml:space="preserve">MUM-1-U-08</t>
  </si>
  <si>
    <t xml:space="preserve">MUM-1-U-09</t>
  </si>
  <si>
    <t xml:space="preserve">MUM-1-U-10</t>
  </si>
  <si>
    <t xml:space="preserve">MUM-1-U-11</t>
  </si>
  <si>
    <t xml:space="preserve">PDU-U2</t>
  </si>
  <si>
    <t xml:space="preserve">CRAH-U-02</t>
  </si>
  <si>
    <t xml:space="preserve">MUM-1-U-12</t>
  </si>
  <si>
    <t xml:space="preserve">MUM-1-U-13</t>
  </si>
  <si>
    <t xml:space="preserve">MUM-1-U-14</t>
  </si>
  <si>
    <t xml:space="preserve">MUM-1-U-15</t>
  </si>
  <si>
    <t xml:space="preserve">MUM-1-U-16</t>
  </si>
  <si>
    <t xml:space="preserve">MUM-1-U-17</t>
  </si>
  <si>
    <t xml:space="preserve">MUM-1-U-18</t>
  </si>
  <si>
    <t xml:space="preserve">MUM-1-U-19</t>
  </si>
  <si>
    <t xml:space="preserve">MUM-1-U-20</t>
  </si>
  <si>
    <t xml:space="preserve">MUM-1-V-01</t>
  </si>
  <si>
    <t xml:space="preserve">PDU-V1</t>
  </si>
  <si>
    <t xml:space="preserve">CRAH-V-01</t>
  </si>
  <si>
    <t xml:space="preserve">MUM-1-V-02</t>
  </si>
  <si>
    <t xml:space="preserve">MUM-1-V-03</t>
  </si>
  <si>
    <t xml:space="preserve">MUM-1-V-04</t>
  </si>
  <si>
    <t xml:space="preserve">MUM-1-V-05</t>
  </si>
  <si>
    <t xml:space="preserve">MUM-1-V-06</t>
  </si>
  <si>
    <t xml:space="preserve">MUM-1-V-07</t>
  </si>
  <si>
    <t xml:space="preserve">MUM-1-V-08</t>
  </si>
  <si>
    <t xml:space="preserve">MUM-1-V-09</t>
  </si>
  <si>
    <t xml:space="preserve">MUM-1-V-10</t>
  </si>
  <si>
    <t xml:space="preserve">MUM-1-V-11</t>
  </si>
  <si>
    <t xml:space="preserve">PDU-V2</t>
  </si>
  <si>
    <t xml:space="preserve">CRAH-V-02</t>
  </si>
  <si>
    <t xml:space="preserve">MUM-1-V-12</t>
  </si>
  <si>
    <t xml:space="preserve">MUM-1-V-13</t>
  </si>
  <si>
    <t xml:space="preserve">MUM-1-V-14</t>
  </si>
  <si>
    <t xml:space="preserve">MUM-1-V-15</t>
  </si>
  <si>
    <t xml:space="preserve">MUM-1-V-16</t>
  </si>
  <si>
    <t xml:space="preserve">MUM-1-V-17</t>
  </si>
  <si>
    <t xml:space="preserve">MUM-1-V-18</t>
  </si>
  <si>
    <t xml:space="preserve">MUM-1-V-19</t>
  </si>
  <si>
    <t xml:space="preserve">MUM-1-V-20</t>
  </si>
  <si>
    <t xml:space="preserve">MUM-1-W-01</t>
  </si>
  <si>
    <t xml:space="preserve">PDU-W1</t>
  </si>
  <si>
    <t xml:space="preserve">CRAH-W-01</t>
  </si>
  <si>
    <t xml:space="preserve">MUM-1-W-02</t>
  </si>
  <si>
    <t xml:space="preserve">MUM-1-W-03</t>
  </si>
  <si>
    <t xml:space="preserve">MUM-1-W-04</t>
  </si>
  <si>
    <t xml:space="preserve">MUM-1-W-05</t>
  </si>
  <si>
    <t xml:space="preserve">MUM-1-W-06</t>
  </si>
  <si>
    <t xml:space="preserve">MUM-1-W-07</t>
  </si>
  <si>
    <t xml:space="preserve">MUM-1-W-08</t>
  </si>
  <si>
    <t xml:space="preserve">MUM-1-W-09</t>
  </si>
  <si>
    <t xml:space="preserve">MUM-1-W-10</t>
  </si>
  <si>
    <t xml:space="preserve">MUM-1-W-11</t>
  </si>
  <si>
    <t xml:space="preserve">PDU-W2</t>
  </si>
  <si>
    <t xml:space="preserve">CRAH-W-02</t>
  </si>
  <si>
    <t xml:space="preserve">MUM-1-W-12</t>
  </si>
  <si>
    <t xml:space="preserve">MUM-1-W-13</t>
  </si>
  <si>
    <t xml:space="preserve">MUM-1-W-14</t>
  </si>
  <si>
    <t xml:space="preserve">MUM-1-W-15</t>
  </si>
  <si>
    <t xml:space="preserve">MUM-1-W-16</t>
  </si>
  <si>
    <t xml:space="preserve">MUM-1-W-17</t>
  </si>
  <si>
    <t xml:space="preserve">MUM-1-W-18</t>
  </si>
  <si>
    <t xml:space="preserve">MUM-1-W-19</t>
  </si>
  <si>
    <t xml:space="preserve">MUM-1-W-20</t>
  </si>
  <si>
    <t xml:space="preserve">MUM-1-X-01</t>
  </si>
  <si>
    <t xml:space="preserve">PDU-X1</t>
  </si>
  <si>
    <t xml:space="preserve">CRAH-X-01</t>
  </si>
  <si>
    <t xml:space="preserve">MUM-1-X-02</t>
  </si>
  <si>
    <t xml:space="preserve">MUM-1-X-03</t>
  </si>
  <si>
    <t xml:space="preserve">MUM-1-X-04</t>
  </si>
  <si>
    <t xml:space="preserve">MUM-1-X-05</t>
  </si>
  <si>
    <t xml:space="preserve">MUM-1-X-06</t>
  </si>
  <si>
    <t xml:space="preserve">MUM-1-X-07</t>
  </si>
  <si>
    <t xml:space="preserve">MUM-1-X-08</t>
  </si>
  <si>
    <t xml:space="preserve">MUM-1-X-09</t>
  </si>
  <si>
    <t xml:space="preserve">MUM-1-X-10</t>
  </si>
  <si>
    <t xml:space="preserve">MUM-1-X-11</t>
  </si>
  <si>
    <t xml:space="preserve">PDU-X2</t>
  </si>
  <si>
    <t xml:space="preserve">CRAH-X-02</t>
  </si>
  <si>
    <t xml:space="preserve">MUM-1-X-12</t>
  </si>
  <si>
    <t xml:space="preserve">MUM-1-X-13</t>
  </si>
  <si>
    <t xml:space="preserve">MUM-1-X-14</t>
  </si>
  <si>
    <t xml:space="preserve">MUM-1-X-15</t>
  </si>
  <si>
    <t xml:space="preserve">MUM-1-X-16</t>
  </si>
  <si>
    <t xml:space="preserve">MUM-1-X-17</t>
  </si>
  <si>
    <t xml:space="preserve">MUM-1-X-18</t>
  </si>
  <si>
    <t xml:space="preserve">MUM-1-X-19</t>
  </si>
  <si>
    <t xml:space="preserve">MUM-1-X-20</t>
  </si>
  <si>
    <t xml:space="preserve">480 racks. x/y/z in metres on the facility floor plan. y = 0 is the raised floor.</t>
  </si>
  <si>
    <t xml:space="preserve">Rack pitch 0.6 m along a row, row pitch 2.4 m, hall grid 2x2 at 20 m and 22 m offsets.</t>
  </si>
  <si>
    <t xml:space="preserve">MUM-1-C-13 is permanently blocked - this is what makes Row C space-limited.</t>
  </si>
  <si>
    <t xml:space="preserve">component_id</t>
  </si>
  <si>
    <t xml:space="preserve">component_type</t>
  </si>
  <si>
    <t xml:space="preserve">label</t>
  </si>
  <si>
    <t xml:space="preserve">chain</t>
  </si>
  <si>
    <t xml:space="preserve">capacity</t>
  </si>
  <si>
    <t xml:space="preserve">unit</t>
  </si>
  <si>
    <t xml:space="preserve">derate_factor</t>
  </si>
  <si>
    <t xml:space="preserve">derated_capacity</t>
  </si>
  <si>
    <t xml:space="preserve">current_load</t>
  </si>
  <si>
    <t xml:space="preserve">redundancy</t>
  </si>
  <si>
    <t xml:space="preserve">redundant_peers</t>
  </si>
  <si>
    <t xml:space="preserve">replacement_cost_inr_lakh</t>
  </si>
  <si>
    <t xml:space="preserve">lead_time_weeks</t>
  </si>
  <si>
    <t xml:space="preserve">UTIL-FEED-A</t>
  </si>
  <si>
    <t xml:space="preserve">utility_feed</t>
  </si>
  <si>
    <t xml:space="preserve">MSEDCL Feed A 33kV</t>
  </si>
  <si>
    <t xml:space="preserve">electrical</t>
  </si>
  <si>
    <t xml:space="preserve">kW</t>
  </si>
  <si>
    <t xml:space="preserve">2N</t>
  </si>
  <si>
    <t xml:space="preserve">UTIL-FEED-B</t>
  </si>
  <si>
    <t xml:space="preserve">Primary utility intake</t>
  </si>
  <si>
    <t xml:space="preserve">MSEDCL Feed B 33kV</t>
  </si>
  <si>
    <t xml:space="preserve">Secondary utility intake</t>
  </si>
  <si>
    <t xml:space="preserve">TX-1</t>
  </si>
  <si>
    <t xml:space="preserve">transformer</t>
  </si>
  <si>
    <t xml:space="preserve">Transformer TX-1 33/11kV</t>
  </si>
  <si>
    <t xml:space="preserve">kVA</t>
  </si>
  <si>
    <t xml:space="preserve">TX-2</t>
  </si>
  <si>
    <t xml:space="preserve">Transformer TX-2 33/11kV</t>
  </si>
  <si>
    <t xml:space="preserve">GEN-1</t>
  </si>
  <si>
    <t xml:space="preserve">generator</t>
  </si>
  <si>
    <t xml:space="preserve">Generator GEN-1</t>
  </si>
  <si>
    <t xml:space="preserve">N+1</t>
  </si>
  <si>
    <t xml:space="preserve">GEN-2</t>
  </si>
  <si>
    <t xml:space="preserve">Diesel standby. 48h fuel autonomy at present backed load.</t>
  </si>
  <si>
    <t xml:space="preserve">Generator GEN-2</t>
  </si>
  <si>
    <t xml:space="preserve">Diesel standby</t>
  </si>
  <si>
    <t xml:space="preserve">SWGR-A</t>
  </si>
  <si>
    <t xml:space="preserve">switchgear</t>
  </si>
  <si>
    <t xml:space="preserve">LV Switchgear A</t>
  </si>
  <si>
    <t xml:space="preserve">SWGR-B</t>
  </si>
  <si>
    <t xml:space="preserve">LV Switchgear B</t>
  </si>
  <si>
    <t xml:space="preserve">UPS-1</t>
  </si>
  <si>
    <t xml:space="preserve">ups</t>
  </si>
  <si>
    <t xml:space="preserve">UPS 1 3000 kVA</t>
  </si>
  <si>
    <t xml:space="preserve">UPS-2</t>
  </si>
  <si>
    <t xml:space="preserve">Serves Halls 1 and 2. N+1 pair.</t>
  </si>
  <si>
    <t xml:space="preserve">UPS 2 3000 kVA</t>
  </si>
  <si>
    <t xml:space="preserve">UPS-3</t>
  </si>
  <si>
    <t xml:space="preserve">UPS 3 2500 kVA</t>
  </si>
  <si>
    <t xml:space="preserve">UPS-4</t>
  </si>
  <si>
    <t xml:space="preserve">Serves Hall 3. N+1 pair.</t>
  </si>
  <si>
    <t xml:space="preserve">UPS 4 2500 kVA</t>
  </si>
  <si>
    <t xml:space="preserve">UPS-5</t>
  </si>
  <si>
    <t xml:space="preserve">UPS 5 3500 kVA</t>
  </si>
  <si>
    <t xml:space="preserve">UPS-6</t>
  </si>
  <si>
    <t xml:space="preserve">Serves Hall 4. N+1 pair.</t>
  </si>
  <si>
    <t xml:space="preserve">UPS 6 3500 kVA</t>
  </si>
  <si>
    <t xml:space="preserve">RPP-1</t>
  </si>
  <si>
    <t xml:space="preserve">rpp</t>
  </si>
  <si>
    <t xml:space="preserve">Remote Power Panel 1</t>
  </si>
  <si>
    <t xml:space="preserve">Hall 1 distribution</t>
  </si>
  <si>
    <t xml:space="preserve">BUSWAY-B1</t>
  </si>
  <si>
    <t xml:space="preserve">busway</t>
  </si>
  <si>
    <t xml:space="preserve">Busway B1</t>
  </si>
  <si>
    <t xml:space="preserve">Hall 1 overhead busway</t>
  </si>
  <si>
    <t xml:space="preserve">pdu</t>
  </si>
  <si>
    <t xml:space="preserve">PDU A1</t>
  </si>
  <si>
    <t xml:space="preserve">Feeds racks A-01-10</t>
  </si>
  <si>
    <t xml:space="preserve">PDU A2</t>
  </si>
  <si>
    <t xml:space="preserve">Feeds racks A-11-20</t>
  </si>
  <si>
    <t xml:space="preserve">PDU B1</t>
  </si>
  <si>
    <t xml:space="preserve">Feeds racks B-01-10</t>
  </si>
  <si>
    <t xml:space="preserve">PDU B2</t>
  </si>
  <si>
    <t xml:space="preserve">Feeds racks B-11-20</t>
  </si>
  <si>
    <t xml:space="preserve">PDU C1</t>
  </si>
  <si>
    <t xml:space="preserve">Feeds racks C-01-10</t>
  </si>
  <si>
    <t xml:space="preserve">PDU C2</t>
  </si>
  <si>
    <t xml:space="preserve">Feeds racks C-11-20</t>
  </si>
  <si>
    <t xml:space="preserve">PDU D1</t>
  </si>
  <si>
    <t xml:space="preserve">Feeds racks D-01-10</t>
  </si>
  <si>
    <t xml:space="preserve">PDU D2</t>
  </si>
  <si>
    <t xml:space="preserve">Feeds racks D-11-20</t>
  </si>
  <si>
    <t xml:space="preserve">PDU E1</t>
  </si>
  <si>
    <t xml:space="preserve">Feeds racks E-01-10</t>
  </si>
  <si>
    <t xml:space="preserve">PDU E2</t>
  </si>
  <si>
    <t xml:space="preserve">Feeds racks E-11-20</t>
  </si>
  <si>
    <t xml:space="preserve">PDU F1</t>
  </si>
  <si>
    <t xml:space="preserve">Feeds racks F-01-10</t>
  </si>
  <si>
    <t xml:space="preserve">PDU F2</t>
  </si>
  <si>
    <t xml:space="preserve">Feeds racks F-11-20</t>
  </si>
  <si>
    <t xml:space="preserve">RPP-2</t>
  </si>
  <si>
    <t xml:space="preserve">Remote Power Panel 2</t>
  </si>
  <si>
    <t xml:space="preserve">Hall 2 distribution</t>
  </si>
  <si>
    <t xml:space="preserve">BUSWAY-B2</t>
  </si>
  <si>
    <t xml:space="preserve">Busway B2</t>
  </si>
  <si>
    <t xml:space="preserve">Hall 2 overhead busway</t>
  </si>
  <si>
    <t xml:space="preserve">PDU G1</t>
  </si>
  <si>
    <t xml:space="preserve">Feeds racks G-01-10</t>
  </si>
  <si>
    <t xml:space="preserve">PDU G2</t>
  </si>
  <si>
    <t xml:space="preserve">Feeds racks G-11-20</t>
  </si>
  <si>
    <t xml:space="preserve">PDU H1</t>
  </si>
  <si>
    <t xml:space="preserve">Feeds racks H-01-10</t>
  </si>
  <si>
    <t xml:space="preserve">PDU H2</t>
  </si>
  <si>
    <t xml:space="preserve">Feeds racks H-11-20</t>
  </si>
  <si>
    <t xml:space="preserve">PDU I1</t>
  </si>
  <si>
    <t xml:space="preserve">Feeds racks I-01-10</t>
  </si>
  <si>
    <t xml:space="preserve">PDU I2</t>
  </si>
  <si>
    <t xml:space="preserve">Feeds racks I-11-20</t>
  </si>
  <si>
    <t xml:space="preserve">PDU J1</t>
  </si>
  <si>
    <t xml:space="preserve">Feeds racks J-01-10</t>
  </si>
  <si>
    <t xml:space="preserve">PDU J2</t>
  </si>
  <si>
    <t xml:space="preserve">Feeds racks J-11-20</t>
  </si>
  <si>
    <t xml:space="preserve">PDU K1</t>
  </si>
  <si>
    <t xml:space="preserve">Feeds racks K-01-10</t>
  </si>
  <si>
    <t xml:space="preserve">PDU K2</t>
  </si>
  <si>
    <t xml:space="preserve">Feeds racks K-11-20</t>
  </si>
  <si>
    <t xml:space="preserve">PDU L1</t>
  </si>
  <si>
    <t xml:space="preserve">Feeds racks L-01-10</t>
  </si>
  <si>
    <t xml:space="preserve">PDU L2</t>
  </si>
  <si>
    <t xml:space="preserve">Feeds racks L-11-20</t>
  </si>
  <si>
    <t xml:space="preserve">RPP-3</t>
  </si>
  <si>
    <t xml:space="preserve">Remote Power Panel 3</t>
  </si>
  <si>
    <t xml:space="preserve">Hall 3 distribution</t>
  </si>
  <si>
    <t xml:space="preserve">BUSWAY-B3</t>
  </si>
  <si>
    <t xml:space="preserve">Busway B3</t>
  </si>
  <si>
    <t xml:space="preserve">Hall 3 overhead busway</t>
  </si>
  <si>
    <t xml:space="preserve">PDU M1</t>
  </si>
  <si>
    <t xml:space="preserve">Feeds racks M-01-10</t>
  </si>
  <si>
    <t xml:space="preserve">PDU M2</t>
  </si>
  <si>
    <t xml:space="preserve">Feeds racks M-11-20</t>
  </si>
  <si>
    <t xml:space="preserve">PDU N1</t>
  </si>
  <si>
    <t xml:space="preserve">Feeds racks N-01-10</t>
  </si>
  <si>
    <t xml:space="preserve">PDU N2</t>
  </si>
  <si>
    <t xml:space="preserve">Feeds racks N-11-20</t>
  </si>
  <si>
    <t xml:space="preserve">PDU O1</t>
  </si>
  <si>
    <t xml:space="preserve">Feeds racks O-01-10</t>
  </si>
  <si>
    <t xml:space="preserve">PDU O2</t>
  </si>
  <si>
    <t xml:space="preserve">Feeds racks O-11-20</t>
  </si>
  <si>
    <t xml:space="preserve">PDU P1</t>
  </si>
  <si>
    <t xml:space="preserve">Feeds racks P-01-10</t>
  </si>
  <si>
    <t xml:space="preserve">PDU P2</t>
  </si>
  <si>
    <t xml:space="preserve">Feeds racks P-11-20</t>
  </si>
  <si>
    <t xml:space="preserve">PDU Q1</t>
  </si>
  <si>
    <t xml:space="preserve">Feeds racks Q-01-10</t>
  </si>
  <si>
    <t xml:space="preserve">PDU Q2</t>
  </si>
  <si>
    <t xml:space="preserve">Feeds racks Q-11-20</t>
  </si>
  <si>
    <t xml:space="preserve">PDU R1</t>
  </si>
  <si>
    <t xml:space="preserve">Feeds racks R-01-10</t>
  </si>
  <si>
    <t xml:space="preserve">PDU R2</t>
  </si>
  <si>
    <t xml:space="preserve">Feeds racks R-11-20</t>
  </si>
  <si>
    <t xml:space="preserve">RPP-4</t>
  </si>
  <si>
    <t xml:space="preserve">Remote Power Panel 4</t>
  </si>
  <si>
    <t xml:space="preserve">Hall 4 distribution</t>
  </si>
  <si>
    <t xml:space="preserve">BUSWAY-B4</t>
  </si>
  <si>
    <t xml:space="preserve">Busway B4</t>
  </si>
  <si>
    <t xml:space="preserve">Hall 4 overhead busway</t>
  </si>
  <si>
    <t xml:space="preserve">PDU S1</t>
  </si>
  <si>
    <t xml:space="preserve">Feeds racks S-01-10</t>
  </si>
  <si>
    <t xml:space="preserve">PDU S2</t>
  </si>
  <si>
    <t xml:space="preserve">Feeds racks S-11-20</t>
  </si>
  <si>
    <t xml:space="preserve">PDU T1</t>
  </si>
  <si>
    <t xml:space="preserve">Feeds racks T-01-10</t>
  </si>
  <si>
    <t xml:space="preserve">PDU T2</t>
  </si>
  <si>
    <t xml:space="preserve">Feeds racks T-11-20</t>
  </si>
  <si>
    <t xml:space="preserve">PDU U1</t>
  </si>
  <si>
    <t xml:space="preserve">Feeds racks U-01-10</t>
  </si>
  <si>
    <t xml:space="preserve">PDU U2</t>
  </si>
  <si>
    <t xml:space="preserve">Feeds racks U-11-20</t>
  </si>
  <si>
    <t xml:space="preserve">PDU V1</t>
  </si>
  <si>
    <t xml:space="preserve">Feeds racks V-01-10</t>
  </si>
  <si>
    <t xml:space="preserve">PDU V2</t>
  </si>
  <si>
    <t xml:space="preserve">Feeds racks V-11-20</t>
  </si>
  <si>
    <t xml:space="preserve">PDU W1</t>
  </si>
  <si>
    <t xml:space="preserve">Feeds racks W-01-10</t>
  </si>
  <si>
    <t xml:space="preserve">PDU W2</t>
  </si>
  <si>
    <t xml:space="preserve">Feeds racks W-11-20</t>
  </si>
  <si>
    <t xml:space="preserve">PDU X1</t>
  </si>
  <si>
    <t xml:space="preserve">Feeds racks X-01-10</t>
  </si>
  <si>
    <t xml:space="preserve">PDU X2</t>
  </si>
  <si>
    <t xml:space="preserve">Feeds racks X-11-20</t>
  </si>
  <si>
    <t xml:space="preserve">CT-1</t>
  </si>
  <si>
    <t xml:space="preserve">cooling_tower</t>
  </si>
  <si>
    <t xml:space="preserve">Cooling Tower CT-1</t>
  </si>
  <si>
    <t xml:space="preserve">thermal</t>
  </si>
  <si>
    <t xml:space="preserve">TR</t>
  </si>
  <si>
    <t xml:space="preserve">CT-2</t>
  </si>
  <si>
    <t xml:space="preserve">Cooling Tower CT-2</t>
  </si>
  <si>
    <t xml:space="preserve">CHILLER-1</t>
  </si>
  <si>
    <t xml:space="preserve">chiller</t>
  </si>
  <si>
    <t xml:space="preserve">Chiller CH-1</t>
  </si>
  <si>
    <t xml:space="preserve">CHILLER-2</t>
  </si>
  <si>
    <t xml:space="preserve">Chiller CH-2</t>
  </si>
  <si>
    <t xml:space="preserve">CHW-LOOP-1</t>
  </si>
  <si>
    <t xml:space="preserve">chw_loop</t>
  </si>
  <si>
    <t xml:space="preserve">Chilled Water 1</t>
  </si>
  <si>
    <t xml:space="preserve">LPM</t>
  </si>
  <si>
    <t xml:space="preserve">Supply 12C, return 18C, delta-T 6K</t>
  </si>
  <si>
    <t xml:space="preserve">CHW-LOOP-2</t>
  </si>
  <si>
    <t xml:space="preserve">Chilled Water 2</t>
  </si>
  <si>
    <t xml:space="preserve">crah</t>
  </si>
  <si>
    <t xml:space="preserve">CRAH A-01</t>
  </si>
  <si>
    <t xml:space="preserve">Serves Row A</t>
  </si>
  <si>
    <t xml:space="preserve">CRAH A-02</t>
  </si>
  <si>
    <t xml:space="preserve">CRAH B-01</t>
  </si>
  <si>
    <t xml:space="preserve">Serves Row B</t>
  </si>
  <si>
    <t xml:space="preserve">CRAH B-02</t>
  </si>
  <si>
    <t xml:space="preserve">CRAH C-01</t>
  </si>
  <si>
    <t xml:space="preserve">Serves Row C</t>
  </si>
  <si>
    <t xml:space="preserve">CRAH C-02</t>
  </si>
  <si>
    <t xml:space="preserve">CRAH D-01</t>
  </si>
  <si>
    <t xml:space="preserve">Serves Row D</t>
  </si>
  <si>
    <t xml:space="preserve">CRAH D-02</t>
  </si>
  <si>
    <t xml:space="preserve">CRAH E-01</t>
  </si>
  <si>
    <t xml:space="preserve">Serves Row E</t>
  </si>
  <si>
    <t xml:space="preserve">CRAH E-02</t>
  </si>
  <si>
    <t xml:space="preserve">CRAH F-01</t>
  </si>
  <si>
    <t xml:space="preserve">Serves Row F</t>
  </si>
  <si>
    <t xml:space="preserve">CRAH F-02</t>
  </si>
  <si>
    <t xml:space="preserve">CRAH G-01</t>
  </si>
  <si>
    <t xml:space="preserve">Serves Row G</t>
  </si>
  <si>
    <t xml:space="preserve">CRAH G-02</t>
  </si>
  <si>
    <t xml:space="preserve">CRAH H-01</t>
  </si>
  <si>
    <t xml:space="preserve">Serves Row H</t>
  </si>
  <si>
    <t xml:space="preserve">CRAH H-02</t>
  </si>
  <si>
    <t xml:space="preserve">CRAH I-01</t>
  </si>
  <si>
    <t xml:space="preserve">Serves Row I</t>
  </si>
  <si>
    <t xml:space="preserve">CRAH I-02</t>
  </si>
  <si>
    <t xml:space="preserve">CRAH J-01</t>
  </si>
  <si>
    <t xml:space="preserve">Serves Row J</t>
  </si>
  <si>
    <t xml:space="preserve">CRAH J-02</t>
  </si>
  <si>
    <t xml:space="preserve">CRAH K-01</t>
  </si>
  <si>
    <t xml:space="preserve">Serves Row K</t>
  </si>
  <si>
    <t xml:space="preserve">CRAH K-02</t>
  </si>
  <si>
    <t xml:space="preserve">CRAH L-01</t>
  </si>
  <si>
    <t xml:space="preserve">Serves Row L</t>
  </si>
  <si>
    <t xml:space="preserve">CRAH L-02</t>
  </si>
  <si>
    <t xml:space="preserve">CRAH M-01</t>
  </si>
  <si>
    <t xml:space="preserve">Serves Row M</t>
  </si>
  <si>
    <t xml:space="preserve">CRAH M-02</t>
  </si>
  <si>
    <t xml:space="preserve">CRAH N-01</t>
  </si>
  <si>
    <t xml:space="preserve">Serves Row N</t>
  </si>
  <si>
    <t xml:space="preserve">CRAH N-02</t>
  </si>
  <si>
    <t xml:space="preserve">CRAH O-01</t>
  </si>
  <si>
    <t xml:space="preserve">Serves Row O</t>
  </si>
  <si>
    <t xml:space="preserve">CRAH O-02</t>
  </si>
  <si>
    <t xml:space="preserve">CRAH P-01</t>
  </si>
  <si>
    <t xml:space="preserve">Serves Row P</t>
  </si>
  <si>
    <t xml:space="preserve">CRAH P-02</t>
  </si>
  <si>
    <t xml:space="preserve">CRAH Q-01</t>
  </si>
  <si>
    <t xml:space="preserve">Serves Row Q</t>
  </si>
  <si>
    <t xml:space="preserve">CRAH Q-02</t>
  </si>
  <si>
    <t xml:space="preserve">CRAH R-01</t>
  </si>
  <si>
    <t xml:space="preserve">Serves Row R</t>
  </si>
  <si>
    <t xml:space="preserve">CRAH R-02</t>
  </si>
  <si>
    <t xml:space="preserve">CRAH S-01</t>
  </si>
  <si>
    <t xml:space="preserve">Serves Row S</t>
  </si>
  <si>
    <t xml:space="preserve">CRAH S-02</t>
  </si>
  <si>
    <t xml:space="preserve">CRAH T-01</t>
  </si>
  <si>
    <t xml:space="preserve">Serves Row T</t>
  </si>
  <si>
    <t xml:space="preserve">CRAH T-02</t>
  </si>
  <si>
    <t xml:space="preserve">CRAH U-01</t>
  </si>
  <si>
    <t xml:space="preserve">Serves Row U</t>
  </si>
  <si>
    <t xml:space="preserve">CRAH U-02</t>
  </si>
  <si>
    <t xml:space="preserve">CRAH V-01</t>
  </si>
  <si>
    <t xml:space="preserve">Serves Row V</t>
  </si>
  <si>
    <t xml:space="preserve">CRAH V-02</t>
  </si>
  <si>
    <t xml:space="preserve">CRAH W-01</t>
  </si>
  <si>
    <t xml:space="preserve">Serves Row W</t>
  </si>
  <si>
    <t xml:space="preserve">CRAH W-02</t>
  </si>
  <si>
    <t xml:space="preserve">CRAH X-01</t>
  </si>
  <si>
    <t xml:space="preserve">Serves Row X</t>
  </si>
  <si>
    <t xml:space="preserve">CRAH X-02</t>
  </si>
  <si>
    <t xml:space="preserve">ROW-A</t>
  </si>
  <si>
    <t xml:space="preserve">rack_row</t>
  </si>
  <si>
    <t xml:space="preserve">Row A</t>
  </si>
  <si>
    <t xml:space="preserve">load</t>
  </si>
  <si>
    <t xml:space="preserve">ROW-B</t>
  </si>
  <si>
    <t xml:space="preserve">Row B</t>
  </si>
  <si>
    <t xml:space="preserve">ROW-C</t>
  </si>
  <si>
    <t xml:space="preserve">Row C</t>
  </si>
  <si>
    <t xml:space="preserve">ROW-D</t>
  </si>
  <si>
    <t xml:space="preserve">Row D</t>
  </si>
  <si>
    <t xml:space="preserve">ROW-E</t>
  </si>
  <si>
    <t xml:space="preserve">Row E</t>
  </si>
  <si>
    <t xml:space="preserve">ROW-F</t>
  </si>
  <si>
    <t xml:space="preserve">Row F</t>
  </si>
  <si>
    <t xml:space="preserve">ROW-G</t>
  </si>
  <si>
    <t xml:space="preserve">Row G</t>
  </si>
  <si>
    <t xml:space="preserve">ROW-H</t>
  </si>
  <si>
    <t xml:space="preserve">Row H</t>
  </si>
  <si>
    <t xml:space="preserve">ROW-I</t>
  </si>
  <si>
    <t xml:space="preserve">Row I</t>
  </si>
  <si>
    <t xml:space="preserve">ROW-J</t>
  </si>
  <si>
    <t xml:space="preserve">Row J</t>
  </si>
  <si>
    <t xml:space="preserve">ROW-K</t>
  </si>
  <si>
    <t xml:space="preserve">Row K</t>
  </si>
  <si>
    <t xml:space="preserve">ROW-L</t>
  </si>
  <si>
    <t xml:space="preserve">Row L</t>
  </si>
  <si>
    <t xml:space="preserve">ROW-M</t>
  </si>
  <si>
    <t xml:space="preserve">Row M</t>
  </si>
  <si>
    <t xml:space="preserve">ROW-N</t>
  </si>
  <si>
    <t xml:space="preserve">Row N</t>
  </si>
  <si>
    <t xml:space="preserve">ROW-O</t>
  </si>
  <si>
    <t xml:space="preserve">Row O</t>
  </si>
  <si>
    <t xml:space="preserve">ROW-P</t>
  </si>
  <si>
    <t xml:space="preserve">Row P</t>
  </si>
  <si>
    <t xml:space="preserve">ROW-Q</t>
  </si>
  <si>
    <t xml:space="preserve">Row Q</t>
  </si>
  <si>
    <t xml:space="preserve">ROW-R</t>
  </si>
  <si>
    <t xml:space="preserve">Row R</t>
  </si>
  <si>
    <t xml:space="preserve">ROW-S</t>
  </si>
  <si>
    <t xml:space="preserve">Row S</t>
  </si>
  <si>
    <t xml:space="preserve">ROW-T</t>
  </si>
  <si>
    <t xml:space="preserve">Row T</t>
  </si>
  <si>
    <t xml:space="preserve">ROW-U</t>
  </si>
  <si>
    <t xml:space="preserve">Row U</t>
  </si>
  <si>
    <t xml:space="preserve">ROW-V</t>
  </si>
  <si>
    <t xml:space="preserve">Row V</t>
  </si>
  <si>
    <t xml:space="preserve">ROW-W</t>
  </si>
  <si>
    <t xml:space="preserve">Row W</t>
  </si>
  <si>
    <t xml:space="preserve">ROW-X</t>
  </si>
  <si>
    <t xml:space="preserve">Row X</t>
  </si>
  <si>
    <t xml:space="preserve">zone</t>
  </si>
  <si>
    <t xml:space="preserve">plant room</t>
  </si>
  <si>
    <t xml:space="preserve">outdoor yard</t>
  </si>
  <si>
    <t xml:space="preserve">overhead</t>
  </si>
  <si>
    <t xml:space="preserve">Runs the length of the hall</t>
  </si>
  <si>
    <t xml:space="preserve">row end</t>
  </si>
  <si>
    <t xml:space="preserve">West end of Row A</t>
  </si>
  <si>
    <t xml:space="preserve">East end of Row A</t>
  </si>
  <si>
    <t xml:space="preserve">West CRAH, Row A</t>
  </si>
  <si>
    <t xml:space="preserve">East CRAH, Row A</t>
  </si>
  <si>
    <t xml:space="preserve">West end of Row B</t>
  </si>
  <si>
    <t xml:space="preserve">East end of Row B</t>
  </si>
  <si>
    <t xml:space="preserve">West CRAH, Row B</t>
  </si>
  <si>
    <t xml:space="preserve">East CRAH, Row B</t>
  </si>
  <si>
    <t xml:space="preserve">West end of Row C</t>
  </si>
  <si>
    <t xml:space="preserve">East end of Row C</t>
  </si>
  <si>
    <t xml:space="preserve">West CRAH, Row C</t>
  </si>
  <si>
    <t xml:space="preserve">East CRAH, Row C</t>
  </si>
  <si>
    <t xml:space="preserve">West end of Row D</t>
  </si>
  <si>
    <t xml:space="preserve">East end of Row D</t>
  </si>
  <si>
    <t xml:space="preserve">West CRAH, Row D</t>
  </si>
  <si>
    <t xml:space="preserve">East CRAH, Row D</t>
  </si>
  <si>
    <t xml:space="preserve">West end of Row E</t>
  </si>
  <si>
    <t xml:space="preserve">East end of Row E</t>
  </si>
  <si>
    <t xml:space="preserve">West CRAH, Row E</t>
  </si>
  <si>
    <t xml:space="preserve">East CRAH, Row E</t>
  </si>
  <si>
    <t xml:space="preserve">West end of Row F</t>
  </si>
  <si>
    <t xml:space="preserve">East end of Row F</t>
  </si>
  <si>
    <t xml:space="preserve">West CRAH, Row F</t>
  </si>
  <si>
    <t xml:space="preserve">East CRAH, Row F</t>
  </si>
  <si>
    <t xml:space="preserve">West end of Row G</t>
  </si>
  <si>
    <t xml:space="preserve">East end of Row G</t>
  </si>
  <si>
    <t xml:space="preserve">West CRAH, Row G</t>
  </si>
  <si>
    <t xml:space="preserve">East CRAH, Row G</t>
  </si>
  <si>
    <t xml:space="preserve">West end of Row H</t>
  </si>
  <si>
    <t xml:space="preserve">East end of Row H</t>
  </si>
  <si>
    <t xml:space="preserve">West CRAH, Row H</t>
  </si>
  <si>
    <t xml:space="preserve">East CRAH, Row H</t>
  </si>
  <si>
    <t xml:space="preserve">West end of Row I</t>
  </si>
  <si>
    <t xml:space="preserve">East end of Row I</t>
  </si>
  <si>
    <t xml:space="preserve">West CRAH, Row I</t>
  </si>
  <si>
    <t xml:space="preserve">East CRAH, Row I</t>
  </si>
  <si>
    <t xml:space="preserve">West end of Row J</t>
  </si>
  <si>
    <t xml:space="preserve">East end of Row J</t>
  </si>
  <si>
    <t xml:space="preserve">West CRAH, Row J</t>
  </si>
  <si>
    <t xml:space="preserve">East CRAH, Row J</t>
  </si>
  <si>
    <t xml:space="preserve">West end of Row K</t>
  </si>
  <si>
    <t xml:space="preserve">East end of Row K</t>
  </si>
  <si>
    <t xml:space="preserve">West CRAH, Row K</t>
  </si>
  <si>
    <t xml:space="preserve">East CRAH, Row K</t>
  </si>
  <si>
    <t xml:space="preserve">West end of Row L</t>
  </si>
  <si>
    <t xml:space="preserve">East end of Row L</t>
  </si>
  <si>
    <t xml:space="preserve">West CRAH, Row L</t>
  </si>
  <si>
    <t xml:space="preserve">East CRAH, Row L</t>
  </si>
  <si>
    <t xml:space="preserve">West end of Row M</t>
  </si>
  <si>
    <t xml:space="preserve">East end of Row M</t>
  </si>
  <si>
    <t xml:space="preserve">West CRAH, Row M</t>
  </si>
  <si>
    <t xml:space="preserve">East CRAH, Row M</t>
  </si>
  <si>
    <t xml:space="preserve">West end of Row N</t>
  </si>
  <si>
    <t xml:space="preserve">East end of Row N</t>
  </si>
  <si>
    <t xml:space="preserve">West CRAH, Row N</t>
  </si>
  <si>
    <t xml:space="preserve">East CRAH, Row N</t>
  </si>
  <si>
    <t xml:space="preserve">West end of Row O</t>
  </si>
  <si>
    <t xml:space="preserve">East end of Row O</t>
  </si>
  <si>
    <t xml:space="preserve">West CRAH, Row O</t>
  </si>
  <si>
    <t xml:space="preserve">East CRAH, Row O</t>
  </si>
  <si>
    <t xml:space="preserve">West end of Row P</t>
  </si>
  <si>
    <t xml:space="preserve">East end of Row P</t>
  </si>
  <si>
    <t xml:space="preserve">West CRAH, Row P</t>
  </si>
  <si>
    <t xml:space="preserve">East CRAH, Row P</t>
  </si>
  <si>
    <t xml:space="preserve">West end of Row Q</t>
  </si>
  <si>
    <t xml:space="preserve">East end of Row Q</t>
  </si>
  <si>
    <t xml:space="preserve">West CRAH, Row Q</t>
  </si>
  <si>
    <t xml:space="preserve">East CRAH, Row Q</t>
  </si>
  <si>
    <t xml:space="preserve">West end of Row R</t>
  </si>
  <si>
    <t xml:space="preserve">East end of Row R</t>
  </si>
  <si>
    <t xml:space="preserve">West CRAH, Row R</t>
  </si>
  <si>
    <t xml:space="preserve">East CRAH, Row R</t>
  </si>
  <si>
    <t xml:space="preserve">West end of Row S</t>
  </si>
  <si>
    <t xml:space="preserve">East end of Row S</t>
  </si>
  <si>
    <t xml:space="preserve">West CRAH, Row S</t>
  </si>
  <si>
    <t xml:space="preserve">East CRAH, Row S</t>
  </si>
  <si>
    <t xml:space="preserve">West end of Row T</t>
  </si>
  <si>
    <t xml:space="preserve">East end of Row T</t>
  </si>
  <si>
    <t xml:space="preserve">West CRAH, Row T</t>
  </si>
  <si>
    <t xml:space="preserve">East CRAH, Row T</t>
  </si>
  <si>
    <t xml:space="preserve">West end of Row U</t>
  </si>
  <si>
    <t xml:space="preserve">East end of Row U</t>
  </si>
  <si>
    <t xml:space="preserve">West CRAH, Row U</t>
  </si>
  <si>
    <t xml:space="preserve">East CRAH, Row U</t>
  </si>
  <si>
    <t xml:space="preserve">West end of Row V</t>
  </si>
  <si>
    <t xml:space="preserve">East end of Row V</t>
  </si>
  <si>
    <t xml:space="preserve">West CRAH, Row V</t>
  </si>
  <si>
    <t xml:space="preserve">East CRAH, Row V</t>
  </si>
  <si>
    <t xml:space="preserve">West end of Row W</t>
  </si>
  <si>
    <t xml:space="preserve">East end of Row W</t>
  </si>
  <si>
    <t xml:space="preserve">West CRAH, Row W</t>
  </si>
  <si>
    <t xml:space="preserve">East CRAH, Row W</t>
  </si>
  <si>
    <t xml:space="preserve">West end of Row X</t>
  </si>
  <si>
    <t xml:space="preserve">East end of Row X</t>
  </si>
  <si>
    <t xml:space="preserve">West CRAH, Row X</t>
  </si>
  <si>
    <t xml:space="preserve">East CRAH, Row X</t>
  </si>
  <si>
    <t xml:space="preserve">hall floor</t>
  </si>
  <si>
    <t xml:space="preserve">Row A centroid</t>
  </si>
  <si>
    <t xml:space="preserve">Row B centroid</t>
  </si>
  <si>
    <t xml:space="preserve">Row C centroid</t>
  </si>
  <si>
    <t xml:space="preserve">Row D centroid</t>
  </si>
  <si>
    <t xml:space="preserve">Row E centroid</t>
  </si>
  <si>
    <t xml:space="preserve">Row F centroid</t>
  </si>
  <si>
    <t xml:space="preserve">Row G centroid</t>
  </si>
  <si>
    <t xml:space="preserve">Row H centroid</t>
  </si>
  <si>
    <t xml:space="preserve">Row I centroid</t>
  </si>
  <si>
    <t xml:space="preserve">Row J centroid</t>
  </si>
  <si>
    <t xml:space="preserve">Row K centroid</t>
  </si>
  <si>
    <t xml:space="preserve">Row L centroid</t>
  </si>
  <si>
    <t xml:space="preserve">Row M centroid</t>
  </si>
  <si>
    <t xml:space="preserve">Row N centroid</t>
  </si>
  <si>
    <t xml:space="preserve">Row O centroid</t>
  </si>
  <si>
    <t xml:space="preserve">Row P centroid</t>
  </si>
  <si>
    <t xml:space="preserve">Row Q centroid</t>
  </si>
  <si>
    <t xml:space="preserve">Row R centroid</t>
  </si>
  <si>
    <t xml:space="preserve">Row S centroid</t>
  </si>
  <si>
    <t xml:space="preserve">Row T centroid</t>
  </si>
  <si>
    <t xml:space="preserve">Row U centroid</t>
  </si>
  <si>
    <t xml:space="preserve">Row V centroid</t>
  </si>
  <si>
    <t xml:space="preserve">Row W centroid</t>
  </si>
  <si>
    <t xml:space="preserve">Row X centroid</t>
  </si>
  <si>
    <t xml:space="preserve">Join to 04_components on component_id. Separated so the component table stays readable.</t>
  </si>
  <si>
    <t xml:space="preserve">Zones: hall floor, row end, overhead, plant room, outdoor yard.</t>
  </si>
  <si>
    <t xml:space="preserve">Facility footprint spans roughly x -16..46, z -16..40.</t>
  </si>
  <si>
    <t xml:space="preserve">source_component_id</t>
  </si>
  <si>
    <t xml:space="preserve">target_component_id</t>
  </si>
  <si>
    <t xml:space="preserve">Directed edges. Electrical chain runs source -&gt; target toward the load.</t>
  </si>
  <si>
    <t xml:space="preserve">Thermal chain runs load -&gt; CRAH -&gt; loop -&gt; chiller -&gt; tower.</t>
  </si>
  <si>
    <t xml:space="preserve">The cascade engine walks these edges to accumulate load at every node.</t>
  </si>
  <si>
    <t xml:space="preserve">description</t>
  </si>
  <si>
    <t xml:space="preserve">new_capacity</t>
  </si>
  <si>
    <t xml:space="preserve">cost_inr_lakh</t>
  </si>
  <si>
    <t xml:space="preserve">blocks_what</t>
  </si>
  <si>
    <t xml:space="preserve">Replace with 800 kW PDU</t>
  </si>
  <si>
    <t xml:space="preserve">Row G at 60 kW per rack</t>
  </si>
  <si>
    <t xml:space="preserve">Upgrade busway to 2,500 kW</t>
  </si>
  <si>
    <t xml:space="preserve">Replace with 600 kW high-density CRAH</t>
  </si>
  <si>
    <t xml:space="preserve">Add third 3,000 kVA module to restore N+1</t>
  </si>
  <si>
    <t xml:space="preserve">Total: Rs 250 lakh (Rs 2.50 crore). Critical path: 16 weeks.</t>
  </si>
  <si>
    <t xml:space="preserve">hop_distance</t>
  </si>
  <si>
    <t xml:space="preserve">old_load</t>
  </si>
  <si>
    <t xml:space="preserve">new_load</t>
  </si>
  <si>
    <t xml:space="preserve">old_utilisation_pct</t>
  </si>
  <si>
    <t xml:space="preserve">new_utilisation_pct</t>
  </si>
  <si>
    <t xml:space="preserve">exceeded</t>
  </si>
  <si>
    <t xml:space="preserve">tight</t>
  </si>
  <si>
    <t xml:space="preserve">redundancy_lost</t>
  </si>
  <si>
    <t xml:space="preserve">ok</t>
  </si>
  <si>
    <t xml:space="preserve">Scenario: MUM-1 Row G, 20 racks from 10 kW to 60 kW (+1,000 kW).</t>
  </si>
  <si>
    <t xml:space="preserve">Status: exceeded = over derated capacity. redundancy_lost = within capacity but N+1 gone.</t>
  </si>
  <si>
    <t xml:space="preserve">Animate the ripple in hop_distance order, roughly 120ms per ring.</t>
  </si>
  <si>
    <t xml:space="preserve">metric</t>
  </si>
  <si>
    <t xml:space="preserve">before</t>
  </si>
  <si>
    <t xml:space="preserve">after</t>
  </si>
  <si>
    <t xml:space="preserve">delta</t>
  </si>
  <si>
    <t xml:space="preserve">Chilled water flow</t>
  </si>
  <si>
    <t xml:space="preserve">Annual energy</t>
  </si>
  <si>
    <t xml:space="preserve">GWh</t>
  </si>
  <si>
    <t xml:space="preserve">Annual water</t>
  </si>
  <si>
    <t xml:space="preserve">litres</t>
  </si>
  <si>
    <t xml:space="preserve">PUE</t>
  </si>
  <si>
    <t xml:space="preserve">ratio</t>
  </si>
  <si>
    <t xml:space="preserve">Generator runtime at full backed load</t>
  </si>
  <si>
    <t xml:space="preserve">hours</t>
  </si>
  <si>
    <t xml:space="preserve">Energy delta assumes 47% average utilisation of the added load.</t>
  </si>
  <si>
    <t xml:space="preserve">Water delta applies the facility WUE of 1.80 L/kWh to the added consumption.</t>
  </si>
  <si>
    <t xml:space="preserve">contracted_kw</t>
  </si>
  <si>
    <t xml:space="preserve">workload_type</t>
  </si>
  <si>
    <t xml:space="preserve">contract_start</t>
  </si>
  <si>
    <t xml:space="preserve">Aarav Cloud Services</t>
  </si>
  <si>
    <t xml:space="preserve">Cloud / IaaS</t>
  </si>
  <si>
    <t xml:space="preserve">2020-04-01</t>
  </si>
  <si>
    <t xml:space="preserve">Bharat Financial Network</t>
  </si>
  <si>
    <t xml:space="preserve">BFSI core banking</t>
  </si>
  <si>
    <t xml:space="preserve">2019-11-15</t>
  </si>
  <si>
    <t xml:space="preserve">Sarvam AI Labs</t>
  </si>
  <si>
    <t xml:space="preserve">AI training</t>
  </si>
  <si>
    <t xml:space="preserve">2023-09-01</t>
  </si>
  <si>
    <t xml:space="preserve">Setu Payments</t>
  </si>
  <si>
    <t xml:space="preserve">Payments</t>
  </si>
  <si>
    <t xml:space="preserve">2021-02-10</t>
  </si>
  <si>
    <t xml:space="preserve">Nimbus Software</t>
  </si>
  <si>
    <t xml:space="preserve">SaaS</t>
  </si>
  <si>
    <t xml:space="preserve">2022-07-18</t>
  </si>
  <si>
    <t xml:space="preserve">TEN-06</t>
  </si>
  <si>
    <t xml:space="preserve">Indus Banking Corp</t>
  </si>
  <si>
    <t xml:space="preserve">BFSI</t>
  </si>
  <si>
    <t xml:space="preserve">2017-05-04</t>
  </si>
  <si>
    <t xml:space="preserve">TEN-07</t>
  </si>
  <si>
    <t xml:space="preserve">Drishti Media</t>
  </si>
  <si>
    <t xml:space="preserve">Media streaming</t>
  </si>
  <si>
    <t xml:space="preserve">2018-08-22</t>
  </si>
  <si>
    <t xml:space="preserve">TEN-08</t>
  </si>
  <si>
    <t xml:space="preserve">Nova Telecom</t>
  </si>
  <si>
    <t xml:space="preserve">Telecom core</t>
  </si>
  <si>
    <t xml:space="preserve">2016-09-30</t>
  </si>
  <si>
    <t xml:space="preserve">TEN-09</t>
  </si>
  <si>
    <t xml:space="preserve">Kaveri Pharma</t>
  </si>
  <si>
    <t xml:space="preserve">Enterprise IT</t>
  </si>
  <si>
    <t xml:space="preserve">2022-01-12</t>
  </si>
  <si>
    <t xml:space="preserve">TEN-10</t>
  </si>
  <si>
    <t xml:space="preserve">Vayu Logistics</t>
  </si>
  <si>
    <t xml:space="preserve">Logistics platform</t>
  </si>
  <si>
    <t xml:space="preserve">2022-06-08</t>
  </si>
  <si>
    <t xml:space="preserve">TEN-11</t>
  </si>
  <si>
    <t xml:space="preserve">Tarang Gaming</t>
  </si>
  <si>
    <t xml:space="preserve">Gaming / low latency</t>
  </si>
  <si>
    <t xml:space="preserve">2023-03-21</t>
  </si>
  <si>
    <t xml:space="preserve">TEN-12</t>
  </si>
  <si>
    <t xml:space="preserve">Quantum Analytics India</t>
  </si>
  <si>
    <t xml:space="preserve">AI inference</t>
  </si>
  <si>
    <t xml:space="preserve">2024-05-02</t>
  </si>
  <si>
    <t xml:space="preserve">TEN-13</t>
  </si>
  <si>
    <t xml:space="preserve">Pragati Insurance</t>
  </si>
  <si>
    <t xml:space="preserve">2024-08-14</t>
  </si>
  <si>
    <t xml:space="preserve">TEN-14</t>
  </si>
  <si>
    <t xml:space="preserve">Ananta Retail</t>
  </si>
  <si>
    <t xml:space="preserve">E-commerce</t>
  </si>
  <si>
    <t xml:space="preserve">2022-10-01</t>
  </si>
  <si>
    <t xml:space="preserve">TEN-15</t>
  </si>
  <si>
    <t xml:space="preserve">2023-01-09</t>
  </si>
  <si>
    <t xml:space="preserve">contract_id</t>
  </si>
  <si>
    <t xml:space="preserve">tenant_name</t>
  </si>
  <si>
    <t xml:space="preserve">sla_uptime_pct</t>
  </si>
  <si>
    <t xml:space="preserve">penalty_threshold_hours</t>
  </si>
  <si>
    <t xml:space="preserve">penalty_inr_lakh</t>
  </si>
  <si>
    <t xml:space="preserve">penalty_per_hour_inr_lakh</t>
  </si>
  <si>
    <t xml:space="preserve">notification_clause</t>
  </si>
  <si>
    <t xml:space="preserve">review_cycle</t>
  </si>
  <si>
    <t xml:space="preserve">CON-01</t>
  </si>
  <si>
    <t xml:space="preserve">Within 30 min of detection</t>
  </si>
  <si>
    <t xml:space="preserve">Half-yearly</t>
  </si>
  <si>
    <t xml:space="preserve">CON-02</t>
  </si>
  <si>
    <t xml:space="preserve">Quarterly</t>
  </si>
  <si>
    <t xml:space="preserve">CON-03</t>
  </si>
  <si>
    <t xml:space="preserve">CON-04</t>
  </si>
  <si>
    <t xml:space="preserve">CON-05</t>
  </si>
  <si>
    <t xml:space="preserve">CON-06</t>
  </si>
  <si>
    <t xml:space="preserve">CON-07</t>
  </si>
  <si>
    <t xml:space="preserve">CON-08</t>
  </si>
  <si>
    <t xml:space="preserve">CON-09</t>
  </si>
  <si>
    <t xml:space="preserve">CON-10</t>
  </si>
  <si>
    <t xml:space="preserve">CON-11</t>
  </si>
  <si>
    <t xml:space="preserve">CON-12</t>
  </si>
  <si>
    <t xml:space="preserve">CON-13</t>
  </si>
  <si>
    <t xml:space="preserve">CON-14</t>
  </si>
  <si>
    <t xml:space="preserve">CON-15</t>
  </si>
  <si>
    <t xml:space="preserve">penalty_inr_lakh is the amount triggered once an outage passes the threshold.</t>
  </si>
  <si>
    <t xml:space="preserve">Scene 2 and the incident blast radius both read from this sheet.</t>
  </si>
  <si>
    <t xml:space="preserve">incident_id</t>
  </si>
  <si>
    <t xml:space="preserve">severity</t>
  </si>
  <si>
    <t xml:space="preserve">detected_at</t>
  </si>
  <si>
    <t xml:space="preserve">resolved_at</t>
  </si>
  <si>
    <t xml:space="preserve">root_cause</t>
  </si>
  <si>
    <t xml:space="preserve">duration_min</t>
  </si>
  <si>
    <t xml:space="preserve">tenants_affected</t>
  </si>
  <si>
    <t xml:space="preserve">INC-2026-0318</t>
  </si>
  <si>
    <t xml:space="preserve">critical</t>
  </si>
  <si>
    <t xml:space="preserve">2026-03-18 04:12</t>
  </si>
  <si>
    <t xml:space="preserve">2026-03-18 10:35</t>
  </si>
  <si>
    <t xml:space="preserve">UPS battery string B cell degradation, thermal runaway risk</t>
  </si>
  <si>
    <t xml:space="preserve">Battery batch Q4-2023, vendor A - accelerated capacity fade</t>
  </si>
  <si>
    <t xml:space="preserve">REPLAY TARGET. Degradation signal present from 2026-03-17 22:40.</t>
  </si>
  <si>
    <t xml:space="preserve">INC-2025-1104</t>
  </si>
  <si>
    <t xml:space="preserve">HKG-EXT</t>
  </si>
  <si>
    <t xml:space="preserve">2025-11-04 02:50</t>
  </si>
  <si>
    <t xml:space="preserve">2025-11-04 07:10</t>
  </si>
  <si>
    <t xml:space="preserve">UPS battery bank degradation</t>
  </si>
  <si>
    <t xml:space="preserve">Battery batch Q4-2023, vendor A</t>
  </si>
  <si>
    <t xml:space="preserve">Same failure signature as INC-2026-0318. Pattern evidence.</t>
  </si>
  <si>
    <t xml:space="preserve">INC-2025-0812</t>
  </si>
  <si>
    <t xml:space="preserve">high</t>
  </si>
  <si>
    <t xml:space="preserve">2025-08-12 19:25</t>
  </si>
  <si>
    <t xml:space="preserve">2025-08-12 23:40</t>
  </si>
  <si>
    <t xml:space="preserve">UPS battery capacity below threshold</t>
  </si>
  <si>
    <t xml:space="preserve">Third occurrence of the same batch issue.</t>
  </si>
  <si>
    <t xml:space="preserve">INC-2026-0402</t>
  </si>
  <si>
    <t xml:space="preserve">2026-04-02 13:18</t>
  </si>
  <si>
    <t xml:space="preserve">2026-04-02 16:02</t>
  </si>
  <si>
    <t xml:space="preserve">CRAH valve actuator failure, Row K</t>
  </si>
  <si>
    <t xml:space="preserve">Actuator seized, no preventive replacement</t>
  </si>
  <si>
    <t xml:space="preserve">INC-2026-0215</t>
  </si>
  <si>
    <t xml:space="preserve">2026-02-15 08:40</t>
  </si>
  <si>
    <t xml:space="preserve">2026-02-15 15:20</t>
  </si>
  <si>
    <t xml:space="preserve">Chiller condenser fouling, capacity down 22%</t>
  </si>
  <si>
    <t xml:space="preserve">Cooling water quality, scale build-up</t>
  </si>
  <si>
    <t xml:space="preserve">INC-2026-0509</t>
  </si>
  <si>
    <t xml:space="preserve">medium</t>
  </si>
  <si>
    <t xml:space="preserve">2026-05-09 11:05</t>
  </si>
  <si>
    <t xml:space="preserve">2026-05-09 12:50</t>
  </si>
  <si>
    <t xml:space="preserve">Busway tap-off thermal anomaly</t>
  </si>
  <si>
    <t xml:space="preserve">Loose connection at tap-off box</t>
  </si>
  <si>
    <t xml:space="preserve">INC-2026-0620</t>
  </si>
  <si>
    <t xml:space="preserve">2026-06-20 06:30</t>
  </si>
  <si>
    <t xml:space="preserve">2026-06-20 09:15</t>
  </si>
  <si>
    <t xml:space="preserve">Generator failed to reach rated load on test</t>
  </si>
  <si>
    <t xml:space="preserve">Fuel filter restriction</t>
  </si>
  <si>
    <t xml:space="preserve">INC-2026-0127</t>
  </si>
  <si>
    <t xml:space="preserve">2026-01-27 16:12</t>
  </si>
  <si>
    <t xml:space="preserve">2026-01-27 18:45</t>
  </si>
  <si>
    <t xml:space="preserve">Cooling tower make-up water supply interruption</t>
  </si>
  <si>
    <t xml:space="preserve">Municipal supply disruption</t>
  </si>
  <si>
    <t xml:space="preserve">Water supply dependency - supports the Beat 6 argument.</t>
  </si>
  <si>
    <t xml:space="preserve">Three incidents share the vendor A Q4-2023 battery batch root cause.</t>
  </si>
  <si>
    <t xml:space="preserve">That repetition is what the Incident Intelligence agent surfaces as a pattern.</t>
  </si>
  <si>
    <t xml:space="preserve">timestamp</t>
  </si>
  <si>
    <t xml:space="preserve">subsystem</t>
  </si>
  <si>
    <t xml:space="preserve">string_voltage_v</t>
  </si>
  <si>
    <t xml:space="preserve">cell_temp_c</t>
  </si>
  <si>
    <t xml:space="preserve">internal_resistance_mohm</t>
  </si>
  <si>
    <t xml:space="preserve">state_of_health_pct</t>
  </si>
  <si>
    <t xml:space="preserve">flag</t>
  </si>
  <si>
    <t xml:space="preserve">2026-03-17 16:00</t>
  </si>
  <si>
    <t xml:space="preserve">battery_string_B</t>
  </si>
  <si>
    <t xml:space="preserve">nominal</t>
  </si>
  <si>
    <t xml:space="preserve">2026-03-17 16:20</t>
  </si>
  <si>
    <t xml:space="preserve">2026-03-17 16:40</t>
  </si>
  <si>
    <t xml:space="preserve">2026-03-17 17:00</t>
  </si>
  <si>
    <t xml:space="preserve">2026-03-17 17:20</t>
  </si>
  <si>
    <t xml:space="preserve">2026-03-17 17:40</t>
  </si>
  <si>
    <t xml:space="preserve">2026-03-17 18:00</t>
  </si>
  <si>
    <t xml:space="preserve">2026-03-17 18:20</t>
  </si>
  <si>
    <t xml:space="preserve">2026-03-17 18:40</t>
  </si>
  <si>
    <t xml:space="preserve">2026-03-17 19:00</t>
  </si>
  <si>
    <t xml:space="preserve">2026-03-17 19:20</t>
  </si>
  <si>
    <t xml:space="preserve">2026-03-17 19:40</t>
  </si>
  <si>
    <t xml:space="preserve">2026-03-17 20:00</t>
  </si>
  <si>
    <t xml:space="preserve">2026-03-17 20:20</t>
  </si>
  <si>
    <t xml:space="preserve">2026-03-17 20:40</t>
  </si>
  <si>
    <t xml:space="preserve">2026-03-17 21:00</t>
  </si>
  <si>
    <t xml:space="preserve">2026-03-17 21:20</t>
  </si>
  <si>
    <t xml:space="preserve">2026-03-17 21:40</t>
  </si>
  <si>
    <t xml:space="preserve">2026-03-17 22:00</t>
  </si>
  <si>
    <t xml:space="preserve">2026-03-17 22:20</t>
  </si>
  <si>
    <t xml:space="preserve">2026-03-17 22:40</t>
  </si>
  <si>
    <t xml:space="preserve">degrading</t>
  </si>
  <si>
    <t xml:space="preserve">FIRST DEVIATION - agent flags here</t>
  </si>
  <si>
    <t xml:space="preserve">2026-03-17 23:00</t>
  </si>
  <si>
    <t xml:space="preserve">2026-03-17 23:20</t>
  </si>
  <si>
    <t xml:space="preserve">2026-03-17 23:40</t>
  </si>
  <si>
    <t xml:space="preserve">2026-03-18 00:00</t>
  </si>
  <si>
    <t xml:space="preserve">2026-03-18 00:20</t>
  </si>
  <si>
    <t xml:space="preserve">2026-03-18 00:40</t>
  </si>
  <si>
    <t xml:space="preserve">2026-03-18 01:00</t>
  </si>
  <si>
    <t xml:space="preserve">2026-03-18 01:20</t>
  </si>
  <si>
    <t xml:space="preserve">2026-03-18 01:40</t>
  </si>
  <si>
    <t xml:space="preserve">2026-03-18 02:00</t>
  </si>
  <si>
    <t xml:space="preserve">2026-03-18 02:20</t>
  </si>
  <si>
    <t xml:space="preserve">2026-03-18 02:40</t>
  </si>
  <si>
    <t xml:space="preserve">2026-03-18 03:00</t>
  </si>
  <si>
    <t xml:space="preserve">2026-03-18 03:20</t>
  </si>
  <si>
    <t xml:space="preserve">2026-03-18 03:40</t>
  </si>
  <si>
    <t xml:space="preserve">2026-03-18 04:00</t>
  </si>
  <si>
    <t xml:space="preserve">Agent flags the deviation at 2026-03-17 22:40.</t>
  </si>
  <si>
    <t xml:space="preserve">Operator threshold alarm fires at 2026-03-18 04:12 - 5 hours 32 minutes later.</t>
  </si>
  <si>
    <t xml:space="preserve">Scheduled battery swap at the earlier point: Rs 4 lakh. Emergency response: Rs 18 lakh.</t>
  </si>
  <si>
    <t xml:space="preserve">month</t>
  </si>
  <si>
    <t xml:space="preserve">total_kwh</t>
  </si>
  <si>
    <t xml:space="preserve">renewable_kwh</t>
  </si>
  <si>
    <t xml:space="preserve">grid_kwh</t>
  </si>
  <si>
    <t xml:space="preserve">measured_pue</t>
  </si>
  <si>
    <t xml:space="preserve">grid_carbon_kg_per_kwh</t>
  </si>
  <si>
    <t xml:space="preserve">emissions_tco2</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</si>
  <si>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</si>
  <si>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</si>
  <si>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</si>
  <si>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</si>
  <si>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</si>
  <si>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</si>
  <si>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</si>
  <si>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</si>
  <si>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</si>
  <si>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Grid carbon intensity 0.71 kgCO2/kWh is the Indian national grid average.</t>
  </si>
  <si>
    <t xml:space="preserve">Renewable share comes from each facility's PPA and on-site generation.</t>
  </si>
  <si>
    <t xml:space="preserve">total_litres</t>
  </si>
  <si>
    <t xml:space="preserve">measured_wue_l_per_kwh</t>
  </si>
  <si>
    <t xml:space="preserve">treated_litres</t>
  </si>
  <si>
    <t xml:space="preserve">freshwater_litres</t>
  </si>
  <si>
    <t xml:space="preserve">source</t>
  </si>
  <si>
    <t xml:space="preserve">local_water_stress</t>
  </si>
  <si>
    <t xml:space="preserve">stress_index</t>
  </si>
  <si>
    <t xml:space="preserve">peak_demand_lpm</t>
  </si>
  <si>
    <t xml:space="preserve">Municipal + treated recycle</t>
  </si>
  <si>
    <t xml:space="preserve">High</t>
  </si>
  <si>
    <t xml:space="preserve">Extremely high</t>
  </si>
  <si>
    <t xml:space="preserve">Karnataka's Sustainable Data Centre Policy 2026-31 requires plant-wise PUE and WUE.</t>
  </si>
  <si>
    <t xml:space="preserve">Chennai and NCR sit in extremely high baseline water stress zones.</t>
  </si>
  <si>
    <t xml:space="preserve">Peak demand matters more than the annual average - that is the reporting gap.</t>
  </si>
  <si>
    <t xml:space="preserve">utility</t>
  </si>
  <si>
    <t xml:space="preserve">voltage_kv</t>
  </si>
  <si>
    <t xml:space="preserve">sanctioned_load_kw</t>
  </si>
  <si>
    <t xml:space="preserve">current_draw_kw</t>
  </si>
  <si>
    <t xml:space="preserve">feed_count</t>
  </si>
  <si>
    <t xml:space="preserve">connection_status</t>
  </si>
  <si>
    <t xml:space="preserve">queue_position</t>
  </si>
  <si>
    <t xml:space="preserve">MSEDCL</t>
  </si>
  <si>
    <t xml:space="preserve">Connected</t>
  </si>
  <si>
    <t xml:space="preserve">Dual 33kV feed, 2N</t>
  </si>
  <si>
    <t xml:space="preserve">Capacity nearly exhausted</t>
  </si>
  <si>
    <t xml:space="preserve">TANGEDCO</t>
  </si>
  <si>
    <t xml:space="preserve">Cyclone exposure on feed B</t>
  </si>
  <si>
    <t xml:space="preserve">TSSPDCL</t>
  </si>
  <si>
    <t xml:space="preserve">Headroom for phase 2</t>
  </si>
  <si>
    <t xml:space="preserve">NPCL</t>
  </si>
  <si>
    <t xml:space="preserve">GRID CONSTRAINED. Expansion request in queue.</t>
  </si>
  <si>
    <t xml:space="preserve">BESCOM</t>
  </si>
  <si>
    <t xml:space="preserve">In queue</t>
  </si>
  <si>
    <t xml:space="preserve">Interconnection queue position 31. Estimated energisation Q1 2028.</t>
  </si>
  <si>
    <t xml:space="preserve">Indian interconnection queues currently run five to seven years in major markets.</t>
  </si>
  <si>
    <t xml:space="preserve">jurisdiction</t>
  </si>
  <si>
    <t xml:space="preserve">policy</t>
  </si>
  <si>
    <t xml:space="preserve">effective_from</t>
  </si>
  <si>
    <t xml:space="preserve">reporting_obligation</t>
  </si>
  <si>
    <t xml:space="preserve">incentives</t>
  </si>
  <si>
    <t xml:space="preserve">detail</t>
  </si>
  <si>
    <t xml:space="preserve">applies_to</t>
  </si>
  <si>
    <t xml:space="preserve">Sustainable Data Centre Policy 2026-31</t>
  </si>
  <si>
    <t xml:space="preserve">2026-10-01</t>
  </si>
  <si>
    <t xml:space="preserve">Plant-wise PUE and WUE reporting mandatory</t>
  </si>
  <si>
    <t xml:space="preserve">Capital subsidy, power tariff rebate</t>
  </si>
  <si>
    <t xml:space="preserve">Incentives linked to energy and water efficiency; support tied to treated water use</t>
  </si>
  <si>
    <t xml:space="preserve">Active</t>
  </si>
  <si>
    <t xml:space="preserve">Data Centre Policy</t>
  </si>
  <si>
    <t xml:space="preserve">2023-04-01</t>
  </si>
  <si>
    <t xml:space="preserve">Annual energy reporting</t>
  </si>
  <si>
    <t xml:space="preserve">Stamp duty waiver, electricity duty exemption</t>
  </si>
  <si>
    <t xml:space="preserve">Industrial tariff applies; no plant-wise water mandate yet</t>
  </si>
  <si>
    <t xml:space="preserve">MUM-1, MUM-2</t>
  </si>
  <si>
    <t xml:space="preserve">Data Centre Policy 2021</t>
  </si>
  <si>
    <t xml:space="preserve">2021-02-01</t>
  </si>
  <si>
    <t xml:space="preserve">Water impact assessment at approval</t>
  </si>
  <si>
    <t xml:space="preserve">Land cost subsidy, power subsidy</t>
  </si>
  <si>
    <t xml:space="preserve">Chennai requires water impact assessment before construction approval</t>
  </si>
  <si>
    <t xml:space="preserve">ICT Policy - Data Centre</t>
  </si>
  <si>
    <t xml:space="preserve">2022-07-01</t>
  </si>
  <si>
    <t xml:space="preserve">Energy reporting on request</t>
  </si>
  <si>
    <t xml:space="preserve">Power tariff concession, dual grid support</t>
  </si>
  <si>
    <t xml:space="preserve">Favourable renewable wheeling charges</t>
  </si>
  <si>
    <t xml:space="preserve">2021-01-01</t>
  </si>
  <si>
    <t xml:space="preserve">Capital subsidy, land rebate, stamp duty waiver</t>
  </si>
  <si>
    <t xml:space="preserve">Among the most generous capital incentives in India</t>
  </si>
  <si>
    <t xml:space="preserve">National</t>
  </si>
  <si>
    <t xml:space="preserve">SEBI BRSR</t>
  </si>
  <si>
    <t xml:space="preserve">ESG disclosure for top 1000 listed entities</t>
  </si>
  <si>
    <t xml:space="preserve">None - compliance obligation</t>
  </si>
  <si>
    <t xml:space="preserve">Energy and water intensity disclosure required</t>
  </si>
  <si>
    <t xml:space="preserve">All</t>
  </si>
  <si>
    <t xml:space="preserve">European Union</t>
  </si>
  <si>
    <t xml:space="preserve">Energy Efficiency Directive</t>
  </si>
  <si>
    <t xml:space="preserve">2024-09-15</t>
  </si>
  <si>
    <t xml:space="preserve">Annual PUE, WUE, ERF and REF disclosure for facilities over 500 kW</t>
  </si>
  <si>
    <t xml:space="preserve">Applies to EU operations; sets the direction Indian policy is following</t>
  </si>
  <si>
    <t xml:space="preserve">Reference</t>
  </si>
  <si>
    <t xml:space="preserve">scene</t>
  </si>
  <si>
    <t xml:space="preserve">where</t>
  </si>
  <si>
    <t xml:space="preserve">action</t>
  </si>
  <si>
    <t xml:space="preserve">what the system returns</t>
  </si>
  <si>
    <t xml:space="preserve">source sheets</t>
  </si>
  <si>
    <t xml:space="preserve">the line to say</t>
  </si>
  <si>
    <t xml:space="preserve">Scene 1</t>
  </si>
  <si>
    <t xml:space="preserve">Stranded capacity</t>
  </si>
  <si>
    <t xml:space="preserve">One click on 'Stranded capacity'</t>
  </si>
  <si>
    <t xml:space="preserve">640 kW structural stranded. Row K 380 kW cooling-limited, Row C 190 kW space-limited, Rows P and Q 70 kW combined.</t>
  </si>
  <si>
    <t xml:space="preserve">03_rows</t>
  </si>
  <si>
    <t xml:space="preserve">Rs 49 lakh annual carrying cost. Rs 6.4 crore of revenue it cannot earn.</t>
  </si>
  <si>
    <t xml:space="preserve">Scene 2</t>
  </si>
  <si>
    <t xml:space="preserve">Can we take this customer</t>
  </si>
  <si>
    <t xml:space="preserve">MUM-1 Hall 4</t>
  </si>
  <si>
    <t xml:space="preserve">Type: Can we take 2MW at 60kW density?</t>
  </si>
  <si>
    <t xml:space="preserve">Space 34 racks, power 22 racks (1,320 kW), cooling 14 racks (840 kW). Cooling binds.</t>
  </si>
  <si>
    <t xml:space="preserve">Answer: 840 kW deployable today. Quote it in the call, not next Thursday.</t>
  </si>
  <si>
    <t xml:space="preserve">Scene 3</t>
  </si>
  <si>
    <t xml:space="preserve">Cascade impact</t>
  </si>
  <si>
    <t xml:space="preserve">MUM-1 Row G</t>
  </si>
  <si>
    <t xml:space="preserve">Drag density slider 10 kW -&gt; 60 kW</t>
  </si>
  <si>
    <t xml:space="preserve">5 components exceeded across 3 systems. UPS-1/UPS-2 pair loses N+1. +4.12 GWh/year, +7.41 million litres/year, PUE 1.58 -&gt; 1.71.</t>
  </si>
  <si>
    <t xml:space="preserve">07_cascade_result, 08_secondary_effects</t>
  </si>
  <si>
    <t xml:space="preserve">Rs 2.50 crore of upgrades, 16-week critical path. Fourteen seconds versus two weeks.</t>
  </si>
  <si>
    <t xml:space="preserve">Scene 4</t>
  </si>
  <si>
    <t xml:space="preserve">Retrospective replay</t>
  </si>
  <si>
    <t xml:space="preserve">MUM-1 UPS-1</t>
  </si>
  <si>
    <t xml:space="preserve">Open incident INC-2026-0318</t>
  </si>
  <si>
    <t xml:space="preserve">Operator detected 04:12. Agent flags degradation 22:40 previous evening. 5 hours 32 minutes earlier.</t>
  </si>
  <si>
    <t xml:space="preserve">11_incidents, 12_telemetry_replay</t>
  </si>
  <si>
    <t xml:space="preserve">Rs 4 lakh scheduled swap versus Rs 18 lakh emergency. Data was already in the building.</t>
  </si>
  <si>
    <t xml:space="preserve">maintenance_id</t>
  </si>
  <si>
    <t xml:space="preserve">service_date</t>
  </si>
  <si>
    <t xml:space="preserve">next_due</t>
  </si>
  <si>
    <t xml:space="preserve">service_type</t>
  </si>
  <si>
    <t xml:space="preserve">performed_by</t>
  </si>
  <si>
    <t xml:space="preserve">findings</t>
  </si>
  <si>
    <t xml:space="preserve">outcome</t>
  </si>
  <si>
    <t xml:space="preserve">MNT-0073</t>
  </si>
  <si>
    <t xml:space="preserve">2026-07-02</t>
  </si>
  <si>
    <t xml:space="preserve">2026-12-29</t>
  </si>
  <si>
    <t xml:space="preserve">Filter replacement</t>
  </si>
  <si>
    <t xml:space="preserve">In-house FM team</t>
  </si>
  <si>
    <t xml:space="preserve">No defects found</t>
  </si>
  <si>
    <t xml:space="preserve">Passed</t>
  </si>
  <si>
    <t xml:space="preserve">MNT-0037</t>
  </si>
  <si>
    <t xml:space="preserve">2026-06-30</t>
  </si>
  <si>
    <t xml:space="preserve">2026-12-27</t>
  </si>
  <si>
    <t xml:space="preserve">Preventive service</t>
  </si>
  <si>
    <t xml:space="preserve">Vendor B Facilities</t>
  </si>
  <si>
    <t xml:space="preserve">Cleaned and tested</t>
  </si>
  <si>
    <t xml:space="preserve">MNT-0021</t>
  </si>
  <si>
    <t xml:space="preserve">2026-06-28</t>
  </si>
  <si>
    <t xml:space="preserve">2026-12-25</t>
  </si>
  <si>
    <t xml:space="preserve">Firmware update</t>
  </si>
  <si>
    <t xml:space="preserve">MNT-0067</t>
  </si>
  <si>
    <t xml:space="preserve">Thermographic survey</t>
  </si>
  <si>
    <t xml:space="preserve">Vendor A Services</t>
  </si>
  <si>
    <t xml:space="preserve">MNT-0069</t>
  </si>
  <si>
    <t xml:space="preserve">Visual inspection</t>
  </si>
  <si>
    <t xml:space="preserve">Valve actuator stiff on travel. Replacement advised within 6 months.</t>
  </si>
  <si>
    <t xml:space="preserve">Advisory raised</t>
  </si>
  <si>
    <t xml:space="preserve">MNT-0005</t>
  </si>
  <si>
    <t xml:space="preserve">2026-06-27</t>
  </si>
  <si>
    <t xml:space="preserve">2026-12-24</t>
  </si>
  <si>
    <t xml:space="preserve">Minor adjustment made</t>
  </si>
  <si>
    <t xml:space="preserve">MNT-0013</t>
  </si>
  <si>
    <t xml:space="preserve">2026-06-25</t>
  </si>
  <si>
    <t xml:space="preserve">2026-12-22</t>
  </si>
  <si>
    <t xml:space="preserve">MNT-0007</t>
  </si>
  <si>
    <t xml:space="preserve">2026-06-24</t>
  </si>
  <si>
    <t xml:space="preserve">2026-12-21</t>
  </si>
  <si>
    <t xml:space="preserve">Within tolerance</t>
  </si>
  <si>
    <t xml:space="preserve">MNT-0035</t>
  </si>
  <si>
    <t xml:space="preserve">2026-06-23</t>
  </si>
  <si>
    <t xml:space="preserve">2026-12-20</t>
  </si>
  <si>
    <t xml:space="preserve">MNT-0057</t>
  </si>
  <si>
    <t xml:space="preserve">2026-06-21</t>
  </si>
  <si>
    <t xml:space="preserve">2026-12-18</t>
  </si>
  <si>
    <t xml:space="preserve">MNT-0063</t>
  </si>
  <si>
    <t xml:space="preserve">2026-06-17</t>
  </si>
  <si>
    <t xml:space="preserve">2026-12-14</t>
  </si>
  <si>
    <t xml:space="preserve">MNT-0049</t>
  </si>
  <si>
    <t xml:space="preserve">2026-06-15</t>
  </si>
  <si>
    <t xml:space="preserve">2026-12-12</t>
  </si>
  <si>
    <t xml:space="preserve">Calibration</t>
  </si>
  <si>
    <t xml:space="preserve">MNT-0033</t>
  </si>
  <si>
    <t xml:space="preserve">2026-06-14</t>
  </si>
  <si>
    <t xml:space="preserve">2026-12-11</t>
  </si>
  <si>
    <t xml:space="preserve">MNT-0011</t>
  </si>
  <si>
    <t xml:space="preserve">2026-06-10</t>
  </si>
  <si>
    <t xml:space="preserve">2026-12-07</t>
  </si>
  <si>
    <t xml:space="preserve">MNT-0027</t>
  </si>
  <si>
    <t xml:space="preserve">2026-06-05</t>
  </si>
  <si>
    <t xml:space="preserve">2026-12-02</t>
  </si>
  <si>
    <t xml:space="preserve">Load bank test</t>
  </si>
  <si>
    <t xml:space="preserve">MNT-0047</t>
  </si>
  <si>
    <t xml:space="preserve">MNT-0059</t>
  </si>
  <si>
    <t xml:space="preserve">MNT-0031</t>
  </si>
  <si>
    <t xml:space="preserve">2026-06-04</t>
  </si>
  <si>
    <t xml:space="preserve">2026-12-01</t>
  </si>
  <si>
    <t xml:space="preserve">MNT-0017</t>
  </si>
  <si>
    <t xml:space="preserve">2026-06-02</t>
  </si>
  <si>
    <t xml:space="preserve">2026-11-29</t>
  </si>
  <si>
    <t xml:space="preserve">MNT-0051</t>
  </si>
  <si>
    <t xml:space="preserve">MNT-0001</t>
  </si>
  <si>
    <t xml:space="preserve">2026-06-01</t>
  </si>
  <si>
    <t xml:space="preserve">2026-11-28</t>
  </si>
  <si>
    <t xml:space="preserve">Battery string B: 3 cells showing elevated internal resistance. Batch Q4-2023 vendor A. Monitor.</t>
  </si>
  <si>
    <t xml:space="preserve">MNT-0019</t>
  </si>
  <si>
    <t xml:space="preserve">2026-05-30</t>
  </si>
  <si>
    <t xml:space="preserve">2026-11-26</t>
  </si>
  <si>
    <t xml:space="preserve">MNT-0029</t>
  </si>
  <si>
    <t xml:space="preserve">2026-05-29</t>
  </si>
  <si>
    <t xml:space="preserve">2026-11-25</t>
  </si>
  <si>
    <t xml:space="preserve">MNT-0015</t>
  </si>
  <si>
    <t xml:space="preserve">2026-05-25</t>
  </si>
  <si>
    <t xml:space="preserve">2026-11-21</t>
  </si>
  <si>
    <t xml:space="preserve">MNT-0003</t>
  </si>
  <si>
    <t xml:space="preserve">2026-05-23</t>
  </si>
  <si>
    <t xml:space="preserve">2026-11-19</t>
  </si>
  <si>
    <t xml:space="preserve">MNT-0071</t>
  </si>
  <si>
    <t xml:space="preserve">2026-05-20</t>
  </si>
  <si>
    <t xml:space="preserve">2026-11-16</t>
  </si>
  <si>
    <t xml:space="preserve">MNT-0039</t>
  </si>
  <si>
    <t xml:space="preserve">2026-05-19</t>
  </si>
  <si>
    <t xml:space="preserve">2026-11-15</t>
  </si>
  <si>
    <t xml:space="preserve">MNT-0055</t>
  </si>
  <si>
    <t xml:space="preserve">MNT-0009</t>
  </si>
  <si>
    <t xml:space="preserve">2026-05-18</t>
  </si>
  <si>
    <t xml:space="preserve">2026-11-14</t>
  </si>
  <si>
    <t xml:space="preserve">MNT-0045</t>
  </si>
  <si>
    <t xml:space="preserve">2026-05-16</t>
  </si>
  <si>
    <t xml:space="preserve">2026-11-12</t>
  </si>
  <si>
    <t xml:space="preserve">MNT-0025</t>
  </si>
  <si>
    <t xml:space="preserve">2026-05-13</t>
  </si>
  <si>
    <t xml:space="preserve">2026-11-09</t>
  </si>
  <si>
    <t xml:space="preserve">MNT-0053</t>
  </si>
  <si>
    <t xml:space="preserve">2026-05-09</t>
  </si>
  <si>
    <t xml:space="preserve">2026-11-05</t>
  </si>
  <si>
    <t xml:space="preserve">MNT-0075</t>
  </si>
  <si>
    <t xml:space="preserve">2026-05-08</t>
  </si>
  <si>
    <t xml:space="preserve">2026-11-04</t>
  </si>
  <si>
    <t xml:space="preserve">MNT-0065</t>
  </si>
  <si>
    <t xml:space="preserve">2026-05-06</t>
  </si>
  <si>
    <t xml:space="preserve">2026-11-02</t>
  </si>
  <si>
    <t xml:space="preserve">MNT-0041</t>
  </si>
  <si>
    <t xml:space="preserve">2026-05-05</t>
  </si>
  <si>
    <t xml:space="preserve">2026-11-01</t>
  </si>
  <si>
    <t xml:space="preserve">MNT-0043</t>
  </si>
  <si>
    <t xml:space="preserve">MNT-0061</t>
  </si>
  <si>
    <t xml:space="preserve">2026-05-04</t>
  </si>
  <si>
    <t xml:space="preserve">2026-10-31</t>
  </si>
  <si>
    <t xml:space="preserve">MNT-0023</t>
  </si>
  <si>
    <t xml:space="preserve">2026-05-03</t>
  </si>
  <si>
    <t xml:space="preserve">2026-10-30</t>
  </si>
  <si>
    <t xml:space="preserve">MNT-0012</t>
  </si>
  <si>
    <t xml:space="preserve">2026-04-13</t>
  </si>
  <si>
    <t xml:space="preserve">2026-10-10</t>
  </si>
  <si>
    <t xml:space="preserve">MNT-0064</t>
  </si>
  <si>
    <t xml:space="preserve">2026-04-11</t>
  </si>
  <si>
    <t xml:space="preserve">2026-10-08</t>
  </si>
  <si>
    <t xml:space="preserve">MNT-0036</t>
  </si>
  <si>
    <t xml:space="preserve">2026-04-01</t>
  </si>
  <si>
    <t xml:space="preserve">2026-09-28</t>
  </si>
  <si>
    <t xml:space="preserve">MNT-0046</t>
  </si>
  <si>
    <t xml:space="preserve">MNT-0068</t>
  </si>
  <si>
    <t xml:space="preserve">MNT-0010</t>
  </si>
  <si>
    <t xml:space="preserve">2026-03-30</t>
  </si>
  <si>
    <t xml:space="preserve">2026-09-26</t>
  </si>
  <si>
    <t xml:space="preserve">MNT-0026</t>
  </si>
  <si>
    <t xml:space="preserve">MNT-0052</t>
  </si>
  <si>
    <t xml:space="preserve">MNT-0034</t>
  </si>
  <si>
    <t xml:space="preserve">2026-03-28</t>
  </si>
  <si>
    <t xml:space="preserve">2026-09-24</t>
  </si>
  <si>
    <t xml:space="preserve">MNT-0056</t>
  </si>
  <si>
    <t xml:space="preserve">2026-03-26</t>
  </si>
  <si>
    <t xml:space="preserve">2026-09-22</t>
  </si>
  <si>
    <t xml:space="preserve">MNT-0062</t>
  </si>
  <si>
    <t xml:space="preserve">2026-03-20</t>
  </si>
  <si>
    <t xml:space="preserve">2026-09-16</t>
  </si>
  <si>
    <t xml:space="preserve">MNT-0058</t>
  </si>
  <si>
    <t xml:space="preserve">2026-03-14</t>
  </si>
  <si>
    <t xml:space="preserve">2026-09-10</t>
  </si>
  <si>
    <t xml:space="preserve">MNT-0076</t>
  </si>
  <si>
    <t xml:space="preserve">MNT-0002</t>
  </si>
  <si>
    <t xml:space="preserve">2026-03-08</t>
  </si>
  <si>
    <t xml:space="preserve">2026-09-04</t>
  </si>
  <si>
    <t xml:space="preserve">MNT-0020</t>
  </si>
  <si>
    <t xml:space="preserve">2026-03-06</t>
  </si>
  <si>
    <t xml:space="preserve">2026-09-02</t>
  </si>
  <si>
    <t xml:space="preserve">MNT-0074</t>
  </si>
  <si>
    <t xml:space="preserve">MNT-0072</t>
  </si>
  <si>
    <t xml:space="preserve">2026-02-26</t>
  </si>
  <si>
    <t xml:space="preserve">2026-08-25</t>
  </si>
  <si>
    <t xml:space="preserve">MNT-0048</t>
  </si>
  <si>
    <t xml:space="preserve">2026-02-22</t>
  </si>
  <si>
    <t xml:space="preserve">2026-08-21</t>
  </si>
  <si>
    <t xml:space="preserve">MNT-0066</t>
  </si>
  <si>
    <t xml:space="preserve">2026-02-20</t>
  </si>
  <si>
    <t xml:space="preserve">2026-08-19</t>
  </si>
  <si>
    <t xml:space="preserve">MNT-0060</t>
  </si>
  <si>
    <t xml:space="preserve">2026-02-16</t>
  </si>
  <si>
    <t xml:space="preserve">2026-08-15</t>
  </si>
  <si>
    <t xml:space="preserve">MNT-0042</t>
  </si>
  <si>
    <t xml:space="preserve">2026-02-10</t>
  </si>
  <si>
    <t xml:space="preserve">2026-08-09</t>
  </si>
  <si>
    <t xml:space="preserve">MNT-0018</t>
  </si>
  <si>
    <t xml:space="preserve">2026-02-02</t>
  </si>
  <si>
    <t xml:space="preserve">2026-08-01</t>
  </si>
  <si>
    <t xml:space="preserve">MNT-0050</t>
  </si>
  <si>
    <t xml:space="preserve">2026-01-31</t>
  </si>
  <si>
    <t xml:space="preserve">2026-07-30</t>
  </si>
  <si>
    <t xml:space="preserve">MNT-0022</t>
  </si>
  <si>
    <t xml:space="preserve">2026-01-29</t>
  </si>
  <si>
    <t xml:space="preserve">2026-07-28</t>
  </si>
  <si>
    <t xml:space="preserve">MNT-0032</t>
  </si>
  <si>
    <t xml:space="preserve">2026-01-25</t>
  </si>
  <si>
    <t xml:space="preserve">2026-07-24</t>
  </si>
  <si>
    <t xml:space="preserve">MNT-0008</t>
  </si>
  <si>
    <t xml:space="preserve">2026-01-21</t>
  </si>
  <si>
    <t xml:space="preserve">2026-07-20</t>
  </si>
  <si>
    <t xml:space="preserve">MNT-0040</t>
  </si>
  <si>
    <t xml:space="preserve">2026-01-17</t>
  </si>
  <si>
    <t xml:space="preserve">2026-07-16</t>
  </si>
  <si>
    <t xml:space="preserve">MNT-0038</t>
  </si>
  <si>
    <t xml:space="preserve">2026-01-09</t>
  </si>
  <si>
    <t xml:space="preserve">2026-07-08</t>
  </si>
  <si>
    <t xml:space="preserve">MNT-0004</t>
  </si>
  <si>
    <t xml:space="preserve">2026-01-07</t>
  </si>
  <si>
    <t xml:space="preserve">2026-07-06</t>
  </si>
  <si>
    <t xml:space="preserve">MNT-0028</t>
  </si>
  <si>
    <t xml:space="preserve">2026-01-03</t>
  </si>
  <si>
    <t xml:space="preserve">MNT-0016</t>
  </si>
  <si>
    <t xml:space="preserve">2025-12-30</t>
  </si>
  <si>
    <t xml:space="preserve">MNT-0006</t>
  </si>
  <si>
    <t xml:space="preserve">2025-12-22</t>
  </si>
  <si>
    <t xml:space="preserve">2026-06-20</t>
  </si>
  <si>
    <t xml:space="preserve">MNT-0024</t>
  </si>
  <si>
    <t xml:space="preserve">2025-12-20</t>
  </si>
  <si>
    <t xml:space="preserve">2026-06-18</t>
  </si>
  <si>
    <t xml:space="preserve">MNT-0030</t>
  </si>
  <si>
    <t xml:space="preserve">MNT-0070</t>
  </si>
  <si>
    <t xml:space="preserve">MNT-0014</t>
  </si>
  <si>
    <t xml:space="preserve">2025-12-18</t>
  </si>
  <si>
    <t xml:space="preserve">2026-06-16</t>
  </si>
  <si>
    <t xml:space="preserve">MNT-0044</t>
  </si>
  <si>
    <t xml:space="preserve">MNT-0054</t>
  </si>
  <si>
    <t xml:space="preserve">2025-12-16</t>
  </si>
  <si>
    <t xml:space="preserve">Scene 3 equipment click-through reads from here.</t>
  </si>
  <si>
    <t xml:space="preserve">UPS-1 and UPS-2 carry a standing battery advisory - this is the paper trail behind incident INC-2026-0318.</t>
  </si>
  <si>
    <t xml:space="preserve">alert_id</t>
  </si>
  <si>
    <t xml:space="preserve">category</t>
  </si>
  <si>
    <t xml:space="preserve">message</t>
  </si>
  <si>
    <t xml:space="preserve">raised_at</t>
  </si>
  <si>
    <t xml:space="preserve">owner_team</t>
  </si>
  <si>
    <t xml:space="preserve">ALM-4821</t>
  </si>
  <si>
    <t xml:space="preserve">Cooling</t>
  </si>
  <si>
    <t xml:space="preserve">Supply air temp 2.1C above setpoint</t>
  </si>
  <si>
    <t xml:space="preserve">2026-09-29 03:14</t>
  </si>
  <si>
    <t xml:space="preserve">open</t>
  </si>
  <si>
    <t xml:space="preserve">Row K thermal margin narrowing</t>
  </si>
  <si>
    <t xml:space="preserve">ALM-4819</t>
  </si>
  <si>
    <t xml:space="preserve">Power</t>
  </si>
  <si>
    <t xml:space="preserve">Battery string B resistance trending up</t>
  </si>
  <si>
    <t xml:space="preserve">2026-09-28 21:40</t>
  </si>
  <si>
    <t xml:space="preserve">acknowledged</t>
  </si>
  <si>
    <t xml:space="preserve">Electrical</t>
  </si>
  <si>
    <t xml:space="preserve">Matches INC-2026-0318 signature</t>
  </si>
  <si>
    <t xml:space="preserve">ALM-4817</t>
  </si>
  <si>
    <t xml:space="preserve">low</t>
  </si>
  <si>
    <t xml:space="preserve">Phase imbalance 4.2%</t>
  </si>
  <si>
    <t xml:space="preserve">2026-09-28 14:22</t>
  </si>
  <si>
    <t xml:space="preserve">ALM-4812</t>
  </si>
  <si>
    <t xml:space="preserve">Approach temperature degrading</t>
  </si>
  <si>
    <t xml:space="preserve">2026-09-27 09:05</t>
  </si>
  <si>
    <t xml:space="preserve">Condenser fouling suspected</t>
  </si>
  <si>
    <t xml:space="preserve">ALM-4808</t>
  </si>
  <si>
    <t xml:space="preserve">Circuit at 88% of rated capacity</t>
  </si>
  <si>
    <t xml:space="preserve">2026-09-26 16:48</t>
  </si>
  <si>
    <t xml:space="preserve">ALM-4805</t>
  </si>
  <si>
    <t xml:space="preserve">Water</t>
  </si>
  <si>
    <t xml:space="preserve">Make-up water flow below expected</t>
  </si>
  <si>
    <t xml:space="preserve">2026-09-26 06:30</t>
  </si>
  <si>
    <t xml:space="preserve">Municipal supply pressure low</t>
  </si>
  <si>
    <t xml:space="preserve">ALM-4801</t>
  </si>
  <si>
    <t xml:space="preserve">Differential pressure rising</t>
  </si>
  <si>
    <t xml:space="preserve">2026-09-25 11:15</t>
  </si>
  <si>
    <t xml:space="preserve">ALM-4796</t>
  </si>
  <si>
    <t xml:space="preserve">Fuel level 41% of tank capacity</t>
  </si>
  <si>
    <t xml:space="preserve">2026-09-24 08:00</t>
  </si>
  <si>
    <t xml:space="preserve">Below 48h autonomy threshold</t>
  </si>
  <si>
    <t xml:space="preserve">ALM-4792</t>
  </si>
  <si>
    <t xml:space="preserve">Sanctioned load 96.5% utilised</t>
  </si>
  <si>
    <t xml:space="preserve">2026-09-23 19:30</t>
  </si>
  <si>
    <t xml:space="preserve">escalated</t>
  </si>
  <si>
    <t xml:space="preserve">Leadership</t>
  </si>
  <si>
    <t xml:space="preserve">GRID CONSTRAINT - expansion blocked</t>
  </si>
  <si>
    <t xml:space="preserve">ALM-4788</t>
  </si>
  <si>
    <t xml:space="preserve">Filter differential pressure high</t>
  </si>
  <si>
    <t xml:space="preserve">2026-09-23 10:12</t>
  </si>
  <si>
    <t xml:space="preserve">ALM-4784</t>
  </si>
  <si>
    <t xml:space="preserve">Capacity</t>
  </si>
  <si>
    <t xml:space="preserve">Row at 100% rack occupancy, 10 kW/rack</t>
  </si>
  <si>
    <t xml:space="preserve">2026-09-22 15:40</t>
  </si>
  <si>
    <t xml:space="preserve">Capacity planning</t>
  </si>
  <si>
    <t xml:space="preserve">Densification candidate</t>
  </si>
  <si>
    <t xml:space="preserve">ALM-4780</t>
  </si>
  <si>
    <t xml:space="preserve">WUE 2.51 against 2.45 target</t>
  </si>
  <si>
    <t xml:space="preserve">2026-09-21 07:25</t>
  </si>
  <si>
    <t xml:space="preserve">Sustainability</t>
  </si>
  <si>
    <t xml:space="preserve">Reportable under state policy</t>
  </si>
  <si>
    <t xml:space="preserve">cohort</t>
  </si>
  <si>
    <t xml:space="preserve">p10</t>
  </si>
  <si>
    <t xml:space="preserve">p25</t>
  </si>
  <si>
    <t xml:space="preserve">p50_median</t>
  </si>
  <si>
    <t xml:space="preserve">p75</t>
  </si>
  <si>
    <t xml:space="preserve">p90</t>
  </si>
  <si>
    <t xml:space="preserve">direction</t>
  </si>
  <si>
    <t xml:space="preserve">basis</t>
  </si>
  <si>
    <t xml:space="preserve">India Tier III</t>
  </si>
  <si>
    <t xml:space="preserve">Lower is better</t>
  </si>
  <si>
    <t xml:space="preserve">Composite of published Indian operator disclosures and KPMG engagement data, 2024-2026</t>
  </si>
  <si>
    <t xml:space="preserve">India Tier IV</t>
  </si>
  <si>
    <t xml:space="preserve">WUE (L/kWh)</t>
  </si>
  <si>
    <t xml:space="preserve">Renewable share (%)</t>
  </si>
  <si>
    <t xml:space="preserve">India all tiers</t>
  </si>
  <si>
    <t xml:space="preserve">Higher is better</t>
  </si>
  <si>
    <t xml:space="preserve">MTTR (minutes)</t>
  </si>
  <si>
    <t xml:space="preserve">Rack density (kW)</t>
  </si>
  <si>
    <t xml:space="preserve">Context only</t>
  </si>
  <si>
    <t xml:space="preserve">Utilisation (%)</t>
  </si>
  <si>
    <t xml:space="preserve">Stranded capacity (%)</t>
  </si>
  <si>
    <t xml:space="preserve">MUM-1 PUE 1.58 sits between p25 and p50 for India Tier III - roughly 38th percentile.</t>
  </si>
  <si>
    <t xml:space="preserve">MUM-1 stranded capacity 640 kW on 10,000 kW design = 6.4%, near p25.</t>
  </si>
  <si>
    <t xml:space="preserve">This cohort data is the claim only KPMG can credibly make.</t>
  </si>
  <si>
    <t xml:space="preserve">it_load_kw</t>
  </si>
  <si>
    <t xml:space="preserve">facility_load_kw</t>
  </si>
  <si>
    <t xml:space="preserve">uptime_pct</t>
  </si>
  <si>
    <t xml:space="preserve">2024-10</t>
  </si>
  <si>
    <t xml:space="preserve">2024-11</t>
  </si>
  <si>
    <t xml:space="preserve">2024-12</t>
  </si>
  <si>
    <t xml:space="preserve">2025-01</t>
  </si>
  <si>
    <t xml:space="preserve">2025-02</t>
  </si>
  <si>
    <t xml:space="preserve">2025-03</t>
  </si>
  <si>
    <t xml:space="preserve">2025-04</t>
  </si>
  <si>
    <t xml:space="preserve">2025-05</t>
  </si>
  <si>
    <t xml:space="preserve">2025-06</t>
  </si>
  <si>
    <t xml:space="preserve">2025-07</t>
  </si>
  <si>
    <t xml:space="preserve">2025-08</t>
  </si>
  <si>
    <t xml:space="preserve">2025-09</t>
  </si>
  <si>
    <t xml:space="preserve">2025-10</t>
  </si>
  <si>
    <t xml:space="preserve">2025-11</t>
  </si>
  <si>
    <t xml:space="preserve">2025-12</t>
  </si>
  <si>
    <t xml:space="preserve">COOLING EFFICIENCY DRIFT</t>
  </si>
  <si>
    <t xml:space="preserve">24 months to September 2026.</t>
  </si>
  <si>
    <t xml:space="preserve">MUM-1 PUE drifts upward from month 19 - 0.013 per month of cooling efficiency loss.</t>
  </si>
  <si>
    <t xml:space="preserve">That drift is what the Predictive Risk agent should surface before it becomes a failure.</t>
  </si>
  <si>
    <t xml:space="preserve">Integrity checks - every planted demo number, recomputed from the data sheets</t>
  </si>
  <si>
    <t xml:space="preserve">check</t>
  </si>
  <si>
    <t xml:space="preserve">computed</t>
  </si>
  <si>
    <t xml:space="preserve">expected</t>
  </si>
  <si>
    <t xml:space="preserve">Scene 1  structural stranded (kW)</t>
  </si>
  <si>
    <t xml:space="preserve">Scene 1  planned headroom, Hall 4 (kW)</t>
  </si>
  <si>
    <t xml:space="preserve">Scene 1  MUM-1 used IT load (kW)</t>
  </si>
  <si>
    <t xml:space="preserve">Scene 2  Hall 4 free rack positions</t>
  </si>
  <si>
    <t xml:space="preserve">Scene 2  Hall 4 power headroom (kW)</t>
  </si>
  <si>
    <t xml:space="preserve">Scene 2  Hall 4 cooling headroom (kW)</t>
  </si>
  <si>
    <t xml:space="preserve">Scene 3  components exceeded</t>
  </si>
  <si>
    <t xml:space="preserve">Scene 3  components losing redundancy</t>
  </si>
  <si>
    <t xml:space="preserve">Scene 3  upgrade cost (Rs lakh)</t>
  </si>
  <si>
    <t xml:space="preserve">Scene 3  critical path (weeks)</t>
  </si>
  <si>
    <t xml:space="preserve">Portfolio design IT load (kW)</t>
  </si>
  <si>
    <t xml:space="preserve">Rack records written</t>
  </si>
  <si>
    <t xml:space="preserve">Rack load total matches row total (kW)</t>
  </si>
  <si>
    <t xml:space="preserve">Occupied racks match row occupancy</t>
  </si>
  <si>
    <t xml:space="preserve">Free rack positions in Hall 4</t>
  </si>
  <si>
    <t xml:space="preserve">Blocked positions (Row C fragmentation)</t>
  </si>
  <si>
    <t xml:space="preserve">Component positions written</t>
  </si>
  <si>
    <t xml:space="preserve">Every figure above is recomputed from the data sheets. All must read PASS before this workbook is used.</t>
  </si>
</sst>
</file>

<file path=xl/styles.xml><?xml version="1.0" encoding="utf-8"?>
<styleSheet xmlns="http://schemas.openxmlformats.org/spreadsheetml/2006/main">
  <numFmts count="3">
    <numFmt numFmtId="164" formatCode="General"/>
    <numFmt numFmtId="165" formatCode="#,##0.00"/>
    <numFmt numFmtId="166" formatCode="#,##0"/>
  </numFmts>
  <fonts count="10">
    <font>
      <sz val="11"/>
      <color theme="1"/>
      <name val="Calibri"/>
      <family val="2"/>
      <charset val="1"/>
    </font>
    <font>
      <sz val="10"/>
      <name val="Arial"/>
      <family val="0"/>
    </font>
    <font>
      <sz val="10"/>
      <name val="Arial"/>
      <family val="0"/>
    </font>
    <font>
      <sz val="10"/>
      <name val="Arial"/>
      <family val="0"/>
    </font>
    <font>
      <b val="true"/>
      <sz val="14"/>
      <color rgb="FF00338D"/>
      <name val="Arial"/>
      <family val="0"/>
      <charset val="1"/>
    </font>
    <font>
      <b val="true"/>
      <sz val="10"/>
      <name val="Arial"/>
      <family val="0"/>
      <charset val="1"/>
    </font>
    <font>
      <sz val="10"/>
      <name val="Arial"/>
      <family val="0"/>
      <charset val="1"/>
    </font>
    <font>
      <b val="true"/>
      <sz val="11"/>
      <color rgb="FF00338D"/>
      <name val="Arial"/>
      <family val="0"/>
      <charset val="1"/>
    </font>
    <font>
      <b val="true"/>
      <sz val="10"/>
      <color rgb="FFFFFFFF"/>
      <name val="Arial"/>
      <family val="0"/>
      <charset val="1"/>
    </font>
    <font>
      <i val="true"/>
      <sz val="9"/>
      <color rgb="FF6B7280"/>
      <name val="Arial"/>
      <family val="0"/>
      <charset val="1"/>
    </font>
  </fonts>
  <fills count="3">
    <fill>
      <patternFill patternType="none"/>
    </fill>
    <fill>
      <patternFill patternType="gray125"/>
    </fill>
    <fill>
      <patternFill patternType="solid">
        <fgColor rgb="FF00338D"/>
        <bgColor rgb="FF333399"/>
      </patternFill>
    </fill>
  </fills>
  <borders count="2">
    <border diagonalUp="false" diagonalDown="false">
      <left/>
      <right/>
      <top/>
      <bottom/>
      <diagonal/>
    </border>
    <border diagonalUp="false" diagonalDown="false">
      <left style="thin">
        <color rgb="FFD0D7E2"/>
      </left>
      <right style="thin">
        <color rgb="FFD0D7E2"/>
      </right>
      <top style="thin">
        <color rgb="FFD0D7E2"/>
      </top>
      <bottom style="thin">
        <color rgb="FFD0D7E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7E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0338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4"/>
  </cols>
  <sheetData>
    <row r="1" customFormat="false" ht="17.35" hidden="false" customHeight="false" outlineLevel="0" collapsed="false">
      <c r="A1" s="1" t="s">
        <v>0</v>
      </c>
      <c r="B1" s="1"/>
    </row>
    <row r="2" customFormat="false" ht="15" hidden="false" customHeight="false" outlineLevel="0" collapsed="false">
      <c r="A2" s="2"/>
      <c r="B2" s="3"/>
    </row>
    <row r="3" customFormat="false" ht="30" hidden="false" customHeight="true" outlineLevel="0" collapsed="false">
      <c r="A3" s="2" t="s">
        <v>1</v>
      </c>
      <c r="B3" s="3" t="s">
        <v>2</v>
      </c>
    </row>
    <row r="4" customFormat="false" ht="60" hidden="false" customHeight="true" outlineLevel="0" collapsed="false">
      <c r="A4" s="2" t="s">
        <v>3</v>
      </c>
      <c r="B4" s="3" t="s">
        <v>4</v>
      </c>
    </row>
    <row r="5" customFormat="false" ht="15" hidden="false" customHeight="false" outlineLevel="0" collapsed="false">
      <c r="A5" s="2"/>
      <c r="B5" s="3"/>
    </row>
    <row r="6" customFormat="false" ht="15" hidden="false" customHeight="false" outlineLevel="0" collapsed="false">
      <c r="A6" s="4" t="s">
        <v>5</v>
      </c>
      <c r="B6" s="4"/>
    </row>
    <row r="7" customFormat="false" ht="15" hidden="false" customHeight="false" outlineLevel="0" collapsed="false">
      <c r="A7" s="2" t="s">
        <v>6</v>
      </c>
      <c r="B7" s="3" t="s">
        <v>7</v>
      </c>
    </row>
    <row r="8" customFormat="false" ht="15" hidden="false" customHeight="false" outlineLevel="0" collapsed="false">
      <c r="A8" s="2" t="s">
        <v>8</v>
      </c>
      <c r="B8" s="3" t="s">
        <v>9</v>
      </c>
    </row>
    <row r="9" customFormat="false" ht="15" hidden="false" customHeight="false" outlineLevel="0" collapsed="false">
      <c r="A9" s="2" t="s">
        <v>10</v>
      </c>
      <c r="B9" s="3" t="s">
        <v>11</v>
      </c>
    </row>
    <row r="10" customFormat="false" ht="15" hidden="false" customHeight="false" outlineLevel="0" collapsed="false">
      <c r="A10" s="2" t="s">
        <v>12</v>
      </c>
      <c r="B10" s="3" t="s">
        <v>13</v>
      </c>
    </row>
    <row r="11" customFormat="false" ht="15" hidden="false" customHeight="false" outlineLevel="0" collapsed="false">
      <c r="A11" s="2"/>
      <c r="B11" s="3"/>
    </row>
    <row r="12" customFormat="false" ht="15" hidden="false" customHeight="false" outlineLevel="0" collapsed="false">
      <c r="A12" s="4" t="s">
        <v>14</v>
      </c>
      <c r="B12" s="4"/>
    </row>
    <row r="13" customFormat="false" ht="45" hidden="false" customHeight="true" outlineLevel="0" collapsed="false">
      <c r="A13" s="2" t="s">
        <v>15</v>
      </c>
      <c r="B13" s="3" t="s">
        <v>16</v>
      </c>
    </row>
    <row r="14" customFormat="false" ht="30" hidden="false" customHeight="true" outlineLevel="0" collapsed="false">
      <c r="A14" s="2" t="s">
        <v>17</v>
      </c>
      <c r="B14" s="3" t="s">
        <v>18</v>
      </c>
    </row>
    <row r="15" customFormat="false" ht="30" hidden="false" customHeight="true" outlineLevel="0" collapsed="false">
      <c r="A15" s="2" t="s">
        <v>19</v>
      </c>
      <c r="B15" s="3" t="s">
        <v>20</v>
      </c>
    </row>
    <row r="16" customFormat="false" ht="30" hidden="false" customHeight="true" outlineLevel="0" collapsed="false">
      <c r="A16" s="2" t="s">
        <v>21</v>
      </c>
      <c r="B16" s="3" t="s">
        <v>22</v>
      </c>
    </row>
    <row r="17" customFormat="false" ht="15" hidden="false" customHeight="false" outlineLevel="0" collapsed="false">
      <c r="A17" s="2"/>
      <c r="B17" s="3"/>
    </row>
    <row r="18" customFormat="false" ht="15" hidden="false" customHeight="false" outlineLevel="0" collapsed="false">
      <c r="A18" s="4" t="s">
        <v>23</v>
      </c>
      <c r="B18" s="4"/>
    </row>
    <row r="19" customFormat="false" ht="30" hidden="false" customHeight="true" outlineLevel="0" collapsed="false">
      <c r="A19" s="2" t="s">
        <v>24</v>
      </c>
      <c r="B19" s="3" t="s">
        <v>25</v>
      </c>
    </row>
    <row r="20" customFormat="false" ht="15" hidden="false" customHeight="false" outlineLevel="0" collapsed="false">
      <c r="A20" s="2" t="s">
        <v>26</v>
      </c>
      <c r="B20" s="3" t="s">
        <v>27</v>
      </c>
    </row>
    <row r="21" customFormat="false" ht="30" hidden="false" customHeight="true" outlineLevel="0" collapsed="false">
      <c r="A21" s="2" t="s">
        <v>28</v>
      </c>
      <c r="B21" s="3" t="s">
        <v>29</v>
      </c>
    </row>
    <row r="22" customFormat="false" ht="30" hidden="false" customHeight="true" outlineLevel="0" collapsed="false">
      <c r="A22" s="2" t="s">
        <v>30</v>
      </c>
      <c r="B22" s="3" t="s">
        <v>31</v>
      </c>
    </row>
  </sheetData>
  <mergeCells count="4">
    <mergeCell ref="A1:B1"/>
    <mergeCell ref="A6:B6"/>
    <mergeCell ref="A12:B12"/>
    <mergeCell ref="A18:B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3"/>
    <col collapsed="false" customWidth="true" hidden="false" outlineLevel="0" max="4" min="4" style="0" width="14"/>
    <col collapsed="false" customWidth="true" hidden="false" outlineLevel="0" max="6" min="5" style="0" width="9"/>
    <col collapsed="false" customWidth="true" hidden="false" outlineLevel="0" max="7" min="7" style="0" width="10"/>
    <col collapsed="false" customWidth="true" hidden="false" outlineLevel="0" max="8" min="8" style="0" width="13"/>
    <col collapsed="false" customWidth="true" hidden="false" outlineLevel="0" max="9" min="9" style="0" width="17"/>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7"/>
    <col collapsed="false" customWidth="true" hidden="false" outlineLevel="0" max="14" min="14" style="0" width="8"/>
    <col collapsed="false" customWidth="true" hidden="false" outlineLevel="0" max="15" min="15" style="0" width="7"/>
    <col collapsed="false" customWidth="true" hidden="false" outlineLevel="0" max="17" min="16" style="0" width="14"/>
    <col collapsed="false" customWidth="true" hidden="false" outlineLevel="0" max="18" min="18" style="0" width="13"/>
    <col collapsed="false" customWidth="true" hidden="false" outlineLevel="0" max="19" min="19" style="0" width="60"/>
  </cols>
  <sheetData>
    <row r="1" customFormat="false" ht="30" hidden="false" customHeight="true" outlineLevel="0" collapsed="false">
      <c r="A1" s="5" t="s">
        <v>32</v>
      </c>
      <c r="B1" s="5" t="s">
        <v>33</v>
      </c>
      <c r="C1" s="5" t="s">
        <v>34</v>
      </c>
      <c r="D1" s="5" t="s">
        <v>35</v>
      </c>
      <c r="E1" s="5" t="s">
        <v>36</v>
      </c>
      <c r="F1" s="5" t="s">
        <v>37</v>
      </c>
      <c r="G1" s="5" t="s">
        <v>38</v>
      </c>
      <c r="H1" s="5" t="s">
        <v>39</v>
      </c>
      <c r="I1" s="5" t="s">
        <v>40</v>
      </c>
      <c r="J1" s="5" t="s">
        <v>41</v>
      </c>
      <c r="K1" s="5" t="s">
        <v>42</v>
      </c>
      <c r="L1" s="5" t="s">
        <v>43</v>
      </c>
      <c r="M1" s="5" t="s">
        <v>44</v>
      </c>
      <c r="N1" s="5" t="s">
        <v>45</v>
      </c>
      <c r="O1" s="5" t="s">
        <v>46</v>
      </c>
      <c r="P1" s="5" t="s">
        <v>47</v>
      </c>
      <c r="Q1" s="5" t="s">
        <v>48</v>
      </c>
      <c r="R1" s="5" t="s">
        <v>49</v>
      </c>
      <c r="S1" s="5" t="s">
        <v>50</v>
      </c>
    </row>
    <row r="2" customFormat="false" ht="15" hidden="false" customHeight="false" outlineLevel="0" collapsed="false">
      <c r="A2" s="6" t="s">
        <v>51</v>
      </c>
      <c r="B2" s="6" t="s">
        <v>52</v>
      </c>
      <c r="C2" s="6" t="s">
        <v>53</v>
      </c>
      <c r="D2" s="6" t="s">
        <v>54</v>
      </c>
      <c r="E2" s="7" t="n">
        <v>19.033</v>
      </c>
      <c r="F2" s="7" t="n">
        <v>73.0297</v>
      </c>
      <c r="G2" s="6" t="s">
        <v>55</v>
      </c>
      <c r="H2" s="6" t="s">
        <v>56</v>
      </c>
      <c r="I2" s="6" t="s">
        <v>57</v>
      </c>
      <c r="J2" s="8" t="n">
        <v>10000</v>
      </c>
      <c r="K2" s="8" t="n">
        <v>6800</v>
      </c>
      <c r="L2" s="7" t="n">
        <v>68</v>
      </c>
      <c r="M2" s="6" t="n">
        <v>4</v>
      </c>
      <c r="N2" s="6" t="n">
        <v>480</v>
      </c>
      <c r="O2" s="7" t="n">
        <v>1.58</v>
      </c>
      <c r="P2" s="7" t="n">
        <v>1.8</v>
      </c>
      <c r="Q2" s="7" t="n">
        <v>8.5</v>
      </c>
      <c r="R2" s="6" t="n">
        <v>22</v>
      </c>
      <c r="S2" s="6" t="s">
        <v>58</v>
      </c>
    </row>
    <row r="3" customFormat="false" ht="15" hidden="false" customHeight="false" outlineLevel="0" collapsed="false">
      <c r="A3" s="6" t="s">
        <v>59</v>
      </c>
      <c r="B3" s="6" t="s">
        <v>60</v>
      </c>
      <c r="C3" s="6" t="s">
        <v>53</v>
      </c>
      <c r="D3" s="6" t="s">
        <v>54</v>
      </c>
      <c r="E3" s="7" t="n">
        <v>19.076</v>
      </c>
      <c r="F3" s="7" t="n">
        <v>73.0169</v>
      </c>
      <c r="G3" s="6" t="s">
        <v>55</v>
      </c>
      <c r="H3" s="6" t="s">
        <v>61</v>
      </c>
      <c r="I3" s="6" t="s">
        <v>57</v>
      </c>
      <c r="J3" s="8" t="n">
        <v>6000</v>
      </c>
      <c r="K3" s="8" t="n">
        <v>4950</v>
      </c>
      <c r="L3" s="7" t="n">
        <v>82.5</v>
      </c>
      <c r="M3" s="6" t="n">
        <v>3</v>
      </c>
      <c r="N3" s="6" t="n">
        <v>360</v>
      </c>
      <c r="O3" s="7" t="n">
        <v>1.74</v>
      </c>
      <c r="P3" s="7" t="n">
        <v>2.1</v>
      </c>
      <c r="Q3" s="7" t="n">
        <v>8.5</v>
      </c>
      <c r="R3" s="6" t="n">
        <v>14</v>
      </c>
      <c r="S3" s="6" t="s">
        <v>62</v>
      </c>
    </row>
    <row r="4" customFormat="false" ht="15" hidden="false" customHeight="false" outlineLevel="0" collapsed="false">
      <c r="A4" s="6" t="s">
        <v>63</v>
      </c>
      <c r="B4" s="6" t="s">
        <v>64</v>
      </c>
      <c r="C4" s="6" t="s">
        <v>65</v>
      </c>
      <c r="D4" s="6" t="s">
        <v>66</v>
      </c>
      <c r="E4" s="7" t="n">
        <v>12.9896</v>
      </c>
      <c r="F4" s="7" t="n">
        <v>80.2473</v>
      </c>
      <c r="G4" s="6" t="s">
        <v>55</v>
      </c>
      <c r="H4" s="6" t="s">
        <v>67</v>
      </c>
      <c r="I4" s="6" t="s">
        <v>57</v>
      </c>
      <c r="J4" s="8" t="n">
        <v>8000</v>
      </c>
      <c r="K4" s="8" t="n">
        <v>5440</v>
      </c>
      <c r="L4" s="7" t="n">
        <v>68</v>
      </c>
      <c r="M4" s="6" t="n">
        <v>3</v>
      </c>
      <c r="N4" s="6" t="n">
        <v>360</v>
      </c>
      <c r="O4" s="7" t="n">
        <v>1.62</v>
      </c>
      <c r="P4" s="7" t="n">
        <v>2.45</v>
      </c>
      <c r="Q4" s="7" t="n">
        <v>7.9</v>
      </c>
      <c r="R4" s="6" t="n">
        <v>31</v>
      </c>
      <c r="S4" s="6" t="s">
        <v>68</v>
      </c>
    </row>
    <row r="5" customFormat="false" ht="15" hidden="false" customHeight="false" outlineLevel="0" collapsed="false">
      <c r="A5" s="6" t="s">
        <v>69</v>
      </c>
      <c r="B5" s="6" t="s">
        <v>70</v>
      </c>
      <c r="C5" s="6" t="s">
        <v>71</v>
      </c>
      <c r="D5" s="6" t="s">
        <v>72</v>
      </c>
      <c r="E5" s="7" t="n">
        <v>17.4401</v>
      </c>
      <c r="F5" s="7" t="n">
        <v>78.3489</v>
      </c>
      <c r="G5" s="6" t="s">
        <v>55</v>
      </c>
      <c r="H5" s="6" t="s">
        <v>73</v>
      </c>
      <c r="I5" s="6" t="s">
        <v>57</v>
      </c>
      <c r="J5" s="8" t="n">
        <v>14000</v>
      </c>
      <c r="K5" s="8" t="n">
        <v>7700</v>
      </c>
      <c r="L5" s="7" t="n">
        <v>55</v>
      </c>
      <c r="M5" s="6" t="n">
        <v>4</v>
      </c>
      <c r="N5" s="6" t="n">
        <v>480</v>
      </c>
      <c r="O5" s="7" t="n">
        <v>1.34</v>
      </c>
      <c r="P5" s="7" t="n">
        <v>0.95</v>
      </c>
      <c r="Q5" s="7" t="n">
        <v>7.2</v>
      </c>
      <c r="R5" s="6" t="n">
        <v>68</v>
      </c>
      <c r="S5" s="6" t="s">
        <v>74</v>
      </c>
    </row>
    <row r="6" customFormat="false" ht="15" hidden="false" customHeight="false" outlineLevel="0" collapsed="false">
      <c r="A6" s="6" t="s">
        <v>75</v>
      </c>
      <c r="B6" s="6" t="s">
        <v>76</v>
      </c>
      <c r="C6" s="6" t="s">
        <v>77</v>
      </c>
      <c r="D6" s="6" t="s">
        <v>78</v>
      </c>
      <c r="E6" s="7" t="n">
        <v>28.5355</v>
      </c>
      <c r="F6" s="7" t="n">
        <v>77.391</v>
      </c>
      <c r="G6" s="6" t="s">
        <v>55</v>
      </c>
      <c r="H6" s="6" t="s">
        <v>79</v>
      </c>
      <c r="I6" s="6" t="s">
        <v>57</v>
      </c>
      <c r="J6" s="8" t="n">
        <v>9000</v>
      </c>
      <c r="K6" s="8" t="n">
        <v>7470</v>
      </c>
      <c r="L6" s="7" t="n">
        <v>83</v>
      </c>
      <c r="M6" s="6" t="n">
        <v>3</v>
      </c>
      <c r="N6" s="6" t="n">
        <v>360</v>
      </c>
      <c r="O6" s="7" t="n">
        <v>1.68</v>
      </c>
      <c r="P6" s="7" t="n">
        <v>1.95</v>
      </c>
      <c r="Q6" s="7" t="n">
        <v>8.15</v>
      </c>
      <c r="R6" s="6" t="n">
        <v>19</v>
      </c>
      <c r="S6" s="6" t="s">
        <v>80</v>
      </c>
    </row>
    <row r="7" customFormat="false" ht="15" hidden="false" customHeight="false" outlineLevel="0" collapsed="false">
      <c r="A7" s="6" t="s">
        <v>81</v>
      </c>
      <c r="B7" s="6" t="s">
        <v>82</v>
      </c>
      <c r="C7" s="6" t="s">
        <v>83</v>
      </c>
      <c r="D7" s="6" t="s">
        <v>84</v>
      </c>
      <c r="E7" s="7" t="n">
        <v>12.8452</v>
      </c>
      <c r="F7" s="7" t="n">
        <v>77.6602</v>
      </c>
      <c r="G7" s="6" t="s">
        <v>85</v>
      </c>
      <c r="H7" s="6" t="s">
        <v>86</v>
      </c>
      <c r="I7" s="6" t="s">
        <v>87</v>
      </c>
      <c r="J7" s="8" t="n">
        <v>20000</v>
      </c>
      <c r="K7" s="6" t="n">
        <v>0</v>
      </c>
      <c r="L7" s="7" t="n">
        <v>0</v>
      </c>
      <c r="M7" s="6" t="n">
        <v>5</v>
      </c>
      <c r="N7" s="6" t="n">
        <v>600</v>
      </c>
      <c r="O7" s="7" t="n">
        <v>1.25</v>
      </c>
      <c r="P7" s="7" t="n">
        <v>0.4</v>
      </c>
      <c r="Q7" s="7" t="n">
        <v>7.45</v>
      </c>
      <c r="R7" s="6" t="n">
        <v>85</v>
      </c>
      <c r="S7" s="6"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9"/>
    <col collapsed="false" customWidth="true" hidden="false" outlineLevel="0" max="5" min="4" style="0" width="11"/>
    <col collapsed="false" customWidth="true" hidden="false" outlineLevel="0" max="6" min="6" style="0" width="17"/>
    <col collapsed="false" customWidth="true" hidden="false" outlineLevel="0" max="7" min="7" style="0" width="19"/>
    <col collapsed="false" customWidth="true" hidden="false" outlineLevel="0" max="8" min="8" style="0" width="10"/>
    <col collapsed="false" customWidth="true" hidden="false" outlineLevel="0" max="9" min="9" style="0" width="15"/>
    <col collapsed="false" customWidth="true" hidden="false" outlineLevel="0" max="10" min="10" style="0" width="26"/>
    <col collapsed="false" customWidth="true" hidden="false" outlineLevel="0" max="11" min="11" style="0" width="24"/>
  </cols>
  <sheetData>
    <row r="1" customFormat="false" ht="30" hidden="false" customHeight="true" outlineLevel="0" collapsed="false">
      <c r="A1" s="5" t="s">
        <v>89</v>
      </c>
      <c r="B1" s="5" t="s">
        <v>32</v>
      </c>
      <c r="C1" s="5" t="s">
        <v>33</v>
      </c>
      <c r="D1" s="5" t="s">
        <v>90</v>
      </c>
      <c r="E1" s="5" t="s">
        <v>91</v>
      </c>
      <c r="F1" s="5" t="s">
        <v>92</v>
      </c>
      <c r="G1" s="5" t="s">
        <v>93</v>
      </c>
      <c r="H1" s="5" t="s">
        <v>94</v>
      </c>
      <c r="I1" s="5" t="s">
        <v>95</v>
      </c>
      <c r="J1" s="5" t="s">
        <v>96</v>
      </c>
      <c r="K1" s="5" t="s">
        <v>97</v>
      </c>
    </row>
    <row r="2" customFormat="false" ht="15" hidden="false" customHeight="false" outlineLevel="0" collapsed="false">
      <c r="A2" s="6" t="s">
        <v>98</v>
      </c>
      <c r="B2" s="6" t="s">
        <v>51</v>
      </c>
      <c r="C2" s="6" t="s">
        <v>99</v>
      </c>
      <c r="D2" s="6" t="n">
        <v>6</v>
      </c>
      <c r="E2" s="6" t="n">
        <v>120</v>
      </c>
      <c r="F2" s="8" t="n">
        <v>2570</v>
      </c>
      <c r="G2" s="8" t="n">
        <v>2600</v>
      </c>
      <c r="H2" s="6" t="n">
        <v>943</v>
      </c>
      <c r="I2" s="6" t="n">
        <v>20</v>
      </c>
      <c r="J2" s="6" t="s">
        <v>100</v>
      </c>
      <c r="K2" s="6" t="s">
        <v>101</v>
      </c>
    </row>
    <row r="3" customFormat="false" ht="15" hidden="false" customHeight="false" outlineLevel="0" collapsed="false">
      <c r="A3" s="6" t="s">
        <v>102</v>
      </c>
      <c r="B3" s="6" t="s">
        <v>51</v>
      </c>
      <c r="C3" s="6" t="s">
        <v>103</v>
      </c>
      <c r="D3" s="6" t="n">
        <v>6</v>
      </c>
      <c r="E3" s="6" t="n">
        <v>120</v>
      </c>
      <c r="F3" s="8" t="n">
        <v>2600</v>
      </c>
      <c r="G3" s="8" t="n">
        <v>2300</v>
      </c>
      <c r="H3" s="6" t="n">
        <v>976</v>
      </c>
      <c r="I3" s="6" t="n">
        <v>20</v>
      </c>
      <c r="J3" s="6" t="s">
        <v>100</v>
      </c>
      <c r="K3" s="6" t="s">
        <v>101</v>
      </c>
    </row>
    <row r="4" customFormat="false" ht="15" hidden="false" customHeight="false" outlineLevel="0" collapsed="false">
      <c r="A4" s="6" t="s">
        <v>104</v>
      </c>
      <c r="B4" s="6" t="s">
        <v>51</v>
      </c>
      <c r="C4" s="6" t="s">
        <v>105</v>
      </c>
      <c r="D4" s="6" t="n">
        <v>6</v>
      </c>
      <c r="E4" s="6" t="n">
        <v>120</v>
      </c>
      <c r="F4" s="8" t="n">
        <v>2440</v>
      </c>
      <c r="G4" s="8" t="n">
        <v>2450</v>
      </c>
      <c r="H4" s="6" t="n">
        <v>801</v>
      </c>
      <c r="I4" s="6" t="n">
        <v>20</v>
      </c>
      <c r="J4" s="6" t="s">
        <v>100</v>
      </c>
      <c r="K4" s="6" t="s">
        <v>101</v>
      </c>
    </row>
    <row r="5" customFormat="false" ht="15" hidden="false" customHeight="false" outlineLevel="0" collapsed="false">
      <c r="A5" s="6" t="s">
        <v>106</v>
      </c>
      <c r="B5" s="6" t="s">
        <v>51</v>
      </c>
      <c r="C5" s="6" t="s">
        <v>107</v>
      </c>
      <c r="D5" s="6" t="n">
        <v>6</v>
      </c>
      <c r="E5" s="6" t="n">
        <v>120</v>
      </c>
      <c r="F5" s="8" t="n">
        <v>5400</v>
      </c>
      <c r="G5" s="8" t="n">
        <v>4920</v>
      </c>
      <c r="H5" s="8" t="n">
        <v>4080</v>
      </c>
      <c r="I5" s="6" t="n">
        <v>60</v>
      </c>
      <c r="J5" s="6" t="s">
        <v>108</v>
      </c>
      <c r="K5" s="6" t="s">
        <v>109</v>
      </c>
    </row>
    <row r="6" customFormat="false" ht="15" hidden="false" customHeight="false" outlineLevel="0" collapsed="false">
      <c r="A6" s="6" t="s">
        <v>110</v>
      </c>
      <c r="B6" s="6" t="s">
        <v>59</v>
      </c>
      <c r="C6" s="6" t="s">
        <v>99</v>
      </c>
      <c r="D6" s="6" t="n">
        <v>5</v>
      </c>
      <c r="E6" s="6" t="n">
        <v>100</v>
      </c>
      <c r="F6" s="8" t="n">
        <v>2160</v>
      </c>
      <c r="G6" s="8" t="n">
        <v>2040</v>
      </c>
      <c r="H6" s="8" t="n">
        <v>1400</v>
      </c>
      <c r="I6" s="6" t="n">
        <v>20</v>
      </c>
      <c r="J6" s="6" t="s">
        <v>100</v>
      </c>
      <c r="K6" s="6"/>
    </row>
    <row r="7" customFormat="false" ht="15" hidden="false" customHeight="false" outlineLevel="0" collapsed="false">
      <c r="A7" s="6" t="s">
        <v>111</v>
      </c>
      <c r="B7" s="6" t="s">
        <v>59</v>
      </c>
      <c r="C7" s="6" t="s">
        <v>103</v>
      </c>
      <c r="D7" s="6" t="n">
        <v>5</v>
      </c>
      <c r="E7" s="6" t="n">
        <v>100</v>
      </c>
      <c r="F7" s="8" t="n">
        <v>2160</v>
      </c>
      <c r="G7" s="8" t="n">
        <v>2040</v>
      </c>
      <c r="H7" s="8" t="n">
        <v>1400</v>
      </c>
      <c r="I7" s="6" t="n">
        <v>20</v>
      </c>
      <c r="J7" s="6" t="s">
        <v>100</v>
      </c>
      <c r="K7" s="6"/>
    </row>
    <row r="8" customFormat="false" ht="15" hidden="false" customHeight="false" outlineLevel="0" collapsed="false">
      <c r="A8" s="6" t="s">
        <v>112</v>
      </c>
      <c r="B8" s="6" t="s">
        <v>59</v>
      </c>
      <c r="C8" s="6" t="s">
        <v>105</v>
      </c>
      <c r="D8" s="6" t="n">
        <v>5</v>
      </c>
      <c r="E8" s="6" t="n">
        <v>100</v>
      </c>
      <c r="F8" s="8" t="n">
        <v>2160</v>
      </c>
      <c r="G8" s="8" t="n">
        <v>2040</v>
      </c>
      <c r="H8" s="8" t="n">
        <v>1400</v>
      </c>
      <c r="I8" s="6" t="n">
        <v>20</v>
      </c>
      <c r="J8" s="6" t="s">
        <v>100</v>
      </c>
      <c r="K8" s="6"/>
    </row>
    <row r="9" customFormat="false" ht="15" hidden="false" customHeight="false" outlineLevel="0" collapsed="false">
      <c r="A9" s="6" t="s">
        <v>113</v>
      </c>
      <c r="B9" s="6" t="s">
        <v>63</v>
      </c>
      <c r="C9" s="6" t="s">
        <v>99</v>
      </c>
      <c r="D9" s="6" t="n">
        <v>6</v>
      </c>
      <c r="E9" s="6" t="n">
        <v>120</v>
      </c>
      <c r="F9" s="8" t="n">
        <v>2880</v>
      </c>
      <c r="G9" s="8" t="n">
        <v>2720</v>
      </c>
      <c r="H9" s="8" t="n">
        <v>1866</v>
      </c>
      <c r="I9" s="6" t="n">
        <v>20</v>
      </c>
      <c r="J9" s="6" t="s">
        <v>100</v>
      </c>
      <c r="K9" s="6"/>
    </row>
    <row r="10" customFormat="false" ht="15" hidden="false" customHeight="false" outlineLevel="0" collapsed="false">
      <c r="A10" s="6" t="s">
        <v>114</v>
      </c>
      <c r="B10" s="6" t="s">
        <v>63</v>
      </c>
      <c r="C10" s="6" t="s">
        <v>103</v>
      </c>
      <c r="D10" s="6" t="n">
        <v>6</v>
      </c>
      <c r="E10" s="6" t="n">
        <v>120</v>
      </c>
      <c r="F10" s="8" t="n">
        <v>2880</v>
      </c>
      <c r="G10" s="8" t="n">
        <v>2720</v>
      </c>
      <c r="H10" s="8" t="n">
        <v>1866</v>
      </c>
      <c r="I10" s="6" t="n">
        <v>20</v>
      </c>
      <c r="J10" s="6" t="s">
        <v>100</v>
      </c>
      <c r="K10" s="6"/>
    </row>
    <row r="11" customFormat="false" ht="15" hidden="false" customHeight="false" outlineLevel="0" collapsed="false">
      <c r="A11" s="6" t="s">
        <v>115</v>
      </c>
      <c r="B11" s="6" t="s">
        <v>63</v>
      </c>
      <c r="C11" s="6" t="s">
        <v>105</v>
      </c>
      <c r="D11" s="6" t="n">
        <v>6</v>
      </c>
      <c r="E11" s="6" t="n">
        <v>120</v>
      </c>
      <c r="F11" s="8" t="n">
        <v>2880</v>
      </c>
      <c r="G11" s="8" t="n">
        <v>2720</v>
      </c>
      <c r="H11" s="8" t="n">
        <v>1866</v>
      </c>
      <c r="I11" s="6" t="n">
        <v>20</v>
      </c>
      <c r="J11" s="6" t="s">
        <v>100</v>
      </c>
      <c r="K11" s="6"/>
    </row>
    <row r="12" customFormat="false" ht="15" hidden="false" customHeight="false" outlineLevel="0" collapsed="false">
      <c r="A12" s="6" t="s">
        <v>116</v>
      </c>
      <c r="B12" s="6" t="s">
        <v>69</v>
      </c>
      <c r="C12" s="6" t="s">
        <v>99</v>
      </c>
      <c r="D12" s="6" t="n">
        <v>6</v>
      </c>
      <c r="E12" s="6" t="n">
        <v>120</v>
      </c>
      <c r="F12" s="8" t="n">
        <v>3780</v>
      </c>
      <c r="G12" s="8" t="n">
        <v>3570</v>
      </c>
      <c r="H12" s="8" t="n">
        <v>2450</v>
      </c>
      <c r="I12" s="6" t="n">
        <v>60</v>
      </c>
      <c r="J12" s="6" t="s">
        <v>100</v>
      </c>
      <c r="K12" s="6"/>
    </row>
    <row r="13" customFormat="false" ht="15" hidden="false" customHeight="false" outlineLevel="0" collapsed="false">
      <c r="A13" s="6" t="s">
        <v>117</v>
      </c>
      <c r="B13" s="6" t="s">
        <v>69</v>
      </c>
      <c r="C13" s="6" t="s">
        <v>103</v>
      </c>
      <c r="D13" s="6" t="n">
        <v>6</v>
      </c>
      <c r="E13" s="6" t="n">
        <v>120</v>
      </c>
      <c r="F13" s="8" t="n">
        <v>3780</v>
      </c>
      <c r="G13" s="8" t="n">
        <v>3570</v>
      </c>
      <c r="H13" s="8" t="n">
        <v>2450</v>
      </c>
      <c r="I13" s="6" t="n">
        <v>60</v>
      </c>
      <c r="J13" s="6" t="s">
        <v>100</v>
      </c>
      <c r="K13" s="6"/>
    </row>
    <row r="14" customFormat="false" ht="15" hidden="false" customHeight="false" outlineLevel="0" collapsed="false">
      <c r="A14" s="6" t="s">
        <v>118</v>
      </c>
      <c r="B14" s="6" t="s">
        <v>69</v>
      </c>
      <c r="C14" s="6" t="s">
        <v>105</v>
      </c>
      <c r="D14" s="6" t="n">
        <v>6</v>
      </c>
      <c r="E14" s="6" t="n">
        <v>120</v>
      </c>
      <c r="F14" s="8" t="n">
        <v>3780</v>
      </c>
      <c r="G14" s="8" t="n">
        <v>3570</v>
      </c>
      <c r="H14" s="8" t="n">
        <v>2450</v>
      </c>
      <c r="I14" s="6" t="n">
        <v>60</v>
      </c>
      <c r="J14" s="6" t="s">
        <v>100</v>
      </c>
      <c r="K14" s="6"/>
    </row>
    <row r="15" customFormat="false" ht="15" hidden="false" customHeight="false" outlineLevel="0" collapsed="false">
      <c r="A15" s="6" t="s">
        <v>119</v>
      </c>
      <c r="B15" s="6" t="s">
        <v>69</v>
      </c>
      <c r="C15" s="6" t="s">
        <v>107</v>
      </c>
      <c r="D15" s="6" t="n">
        <v>6</v>
      </c>
      <c r="E15" s="6" t="n">
        <v>120</v>
      </c>
      <c r="F15" s="8" t="n">
        <v>3780</v>
      </c>
      <c r="G15" s="8" t="n">
        <v>3570</v>
      </c>
      <c r="H15" s="8" t="n">
        <v>2450</v>
      </c>
      <c r="I15" s="6" t="n">
        <v>60</v>
      </c>
      <c r="J15" s="6" t="s">
        <v>100</v>
      </c>
      <c r="K15" s="6"/>
    </row>
    <row r="16" customFormat="false" ht="15" hidden="false" customHeight="false" outlineLevel="0" collapsed="false">
      <c r="A16" s="6" t="s">
        <v>120</v>
      </c>
      <c r="B16" s="6" t="s">
        <v>75</v>
      </c>
      <c r="C16" s="6" t="s">
        <v>99</v>
      </c>
      <c r="D16" s="6" t="n">
        <v>6</v>
      </c>
      <c r="E16" s="6" t="n">
        <v>120</v>
      </c>
      <c r="F16" s="8" t="n">
        <v>3240</v>
      </c>
      <c r="G16" s="8" t="n">
        <v>3060</v>
      </c>
      <c r="H16" s="8" t="n">
        <v>2100</v>
      </c>
      <c r="I16" s="6" t="n">
        <v>20</v>
      </c>
      <c r="J16" s="6" t="s">
        <v>100</v>
      </c>
      <c r="K16" s="6"/>
    </row>
    <row r="17" customFormat="false" ht="15" hidden="false" customHeight="false" outlineLevel="0" collapsed="false">
      <c r="A17" s="6" t="s">
        <v>121</v>
      </c>
      <c r="B17" s="6" t="s">
        <v>75</v>
      </c>
      <c r="C17" s="6" t="s">
        <v>103</v>
      </c>
      <c r="D17" s="6" t="n">
        <v>6</v>
      </c>
      <c r="E17" s="6" t="n">
        <v>120</v>
      </c>
      <c r="F17" s="8" t="n">
        <v>3240</v>
      </c>
      <c r="G17" s="8" t="n">
        <v>3060</v>
      </c>
      <c r="H17" s="8" t="n">
        <v>2100</v>
      </c>
      <c r="I17" s="6" t="n">
        <v>20</v>
      </c>
      <c r="J17" s="6" t="s">
        <v>100</v>
      </c>
      <c r="K17" s="6"/>
    </row>
    <row r="18" customFormat="false" ht="15" hidden="false" customHeight="false" outlineLevel="0" collapsed="false">
      <c r="A18" s="6" t="s">
        <v>122</v>
      </c>
      <c r="B18" s="6" t="s">
        <v>75</v>
      </c>
      <c r="C18" s="6" t="s">
        <v>105</v>
      </c>
      <c r="D18" s="6" t="n">
        <v>6</v>
      </c>
      <c r="E18" s="6" t="n">
        <v>120</v>
      </c>
      <c r="F18" s="8" t="n">
        <v>3240</v>
      </c>
      <c r="G18" s="8" t="n">
        <v>3060</v>
      </c>
      <c r="H18" s="8" t="n">
        <v>2100</v>
      </c>
      <c r="I18" s="6" t="n">
        <v>20</v>
      </c>
      <c r="J18" s="6" t="s">
        <v>100</v>
      </c>
      <c r="K18" s="6"/>
    </row>
    <row r="19" customFormat="false" ht="15" hidden="false" customHeight="false" outlineLevel="0" collapsed="false">
      <c r="A19" s="6" t="s">
        <v>123</v>
      </c>
      <c r="B19" s="6" t="s">
        <v>81</v>
      </c>
      <c r="C19" s="6" t="s">
        <v>99</v>
      </c>
      <c r="D19" s="6" t="n">
        <v>6</v>
      </c>
      <c r="E19" s="6" t="n">
        <v>120</v>
      </c>
      <c r="F19" s="8" t="n">
        <v>4320</v>
      </c>
      <c r="G19" s="8" t="n">
        <v>4080</v>
      </c>
      <c r="H19" s="8" t="n">
        <v>2800</v>
      </c>
      <c r="I19" s="6" t="n">
        <v>60</v>
      </c>
      <c r="J19" s="6" t="s">
        <v>100</v>
      </c>
      <c r="K19" s="6"/>
    </row>
    <row r="20" customFormat="false" ht="15" hidden="false" customHeight="false" outlineLevel="0" collapsed="false">
      <c r="A20" s="6" t="s">
        <v>124</v>
      </c>
      <c r="B20" s="6" t="s">
        <v>81</v>
      </c>
      <c r="C20" s="6" t="s">
        <v>103</v>
      </c>
      <c r="D20" s="6" t="n">
        <v>6</v>
      </c>
      <c r="E20" s="6" t="n">
        <v>120</v>
      </c>
      <c r="F20" s="8" t="n">
        <v>4320</v>
      </c>
      <c r="G20" s="8" t="n">
        <v>4080</v>
      </c>
      <c r="H20" s="8" t="n">
        <v>2800</v>
      </c>
      <c r="I20" s="6" t="n">
        <v>60</v>
      </c>
      <c r="J20" s="6" t="s">
        <v>100</v>
      </c>
      <c r="K20" s="6"/>
    </row>
    <row r="21" customFormat="false" ht="15" hidden="false" customHeight="false" outlineLevel="0" collapsed="false">
      <c r="A21" s="6" t="s">
        <v>125</v>
      </c>
      <c r="B21" s="6" t="s">
        <v>81</v>
      </c>
      <c r="C21" s="6" t="s">
        <v>105</v>
      </c>
      <c r="D21" s="6" t="n">
        <v>6</v>
      </c>
      <c r="E21" s="6" t="n">
        <v>120</v>
      </c>
      <c r="F21" s="8" t="n">
        <v>4320</v>
      </c>
      <c r="G21" s="8" t="n">
        <v>4080</v>
      </c>
      <c r="H21" s="8" t="n">
        <v>2800</v>
      </c>
      <c r="I21" s="6" t="n">
        <v>60</v>
      </c>
      <c r="J21" s="6" t="s">
        <v>100</v>
      </c>
      <c r="K21" s="6"/>
    </row>
    <row r="22" customFormat="false" ht="15" hidden="false" customHeight="false" outlineLevel="0" collapsed="false">
      <c r="A22" s="6" t="s">
        <v>126</v>
      </c>
      <c r="B22" s="6" t="s">
        <v>81</v>
      </c>
      <c r="C22" s="6" t="s">
        <v>107</v>
      </c>
      <c r="D22" s="6" t="n">
        <v>6</v>
      </c>
      <c r="E22" s="6" t="n">
        <v>120</v>
      </c>
      <c r="F22" s="8" t="n">
        <v>4320</v>
      </c>
      <c r="G22" s="8" t="n">
        <v>4080</v>
      </c>
      <c r="H22" s="8" t="n">
        <v>2800</v>
      </c>
      <c r="I22" s="6" t="n">
        <v>60</v>
      </c>
      <c r="J22" s="6" t="s">
        <v>100</v>
      </c>
      <c r="K22" s="6"/>
    </row>
    <row r="23" customFormat="false" ht="15" hidden="false" customHeight="false" outlineLevel="0" collapsed="false">
      <c r="A23" s="6" t="s">
        <v>127</v>
      </c>
      <c r="B23" s="6" t="s">
        <v>81</v>
      </c>
      <c r="C23" s="6" t="s">
        <v>128</v>
      </c>
      <c r="D23" s="6" t="n">
        <v>6</v>
      </c>
      <c r="E23" s="6" t="n">
        <v>120</v>
      </c>
      <c r="F23" s="8" t="n">
        <v>4320</v>
      </c>
      <c r="G23" s="8" t="n">
        <v>4080</v>
      </c>
      <c r="H23" s="8" t="n">
        <v>2800</v>
      </c>
      <c r="I23" s="6" t="n">
        <v>60</v>
      </c>
      <c r="J23" s="6" t="s">
        <v>100</v>
      </c>
      <c r="K23"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8"/>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7" min="7" style="0" width="11"/>
    <col collapsed="false" customWidth="true" hidden="false" outlineLevel="0" max="8" min="8" style="0" width="9"/>
    <col collapsed="false" customWidth="true" hidden="false" outlineLevel="0" max="9" min="9" style="0" width="15"/>
    <col collapsed="false" customWidth="true" hidden="false" outlineLevel="0" max="10" min="10" style="0" width="17"/>
    <col collapsed="false" customWidth="true" hidden="false" outlineLevel="0" max="12" min="11" style="0" width="14"/>
    <col collapsed="false" customWidth="true" hidden="false" outlineLevel="0" max="13" min="13" style="0" width="13"/>
    <col collapsed="false" customWidth="true" hidden="false" outlineLevel="0" max="14" min="14" style="0" width="12"/>
    <col collapsed="false" customWidth="true" hidden="false" outlineLevel="0" max="15" min="15" style="0" width="11"/>
    <col collapsed="false" customWidth="true" hidden="false" outlineLevel="0" max="16" min="16" style="0" width="16"/>
    <col collapsed="false" customWidth="true" hidden="false" outlineLevel="0" max="17" min="17" style="0" width="20"/>
    <col collapsed="false" customWidth="true" hidden="false" outlineLevel="0" max="18" min="18" style="0" width="14"/>
    <col collapsed="false" customWidth="true" hidden="false" outlineLevel="0" max="19" min="19" style="0" width="62"/>
  </cols>
  <sheetData>
    <row r="1" customFormat="false" ht="30" hidden="false" customHeight="true" outlineLevel="0" collapsed="false">
      <c r="A1" s="5" t="s">
        <v>32</v>
      </c>
      <c r="B1" s="5" t="s">
        <v>89</v>
      </c>
      <c r="C1" s="5" t="s">
        <v>129</v>
      </c>
      <c r="D1" s="5" t="s">
        <v>91</v>
      </c>
      <c r="E1" s="5" t="s">
        <v>130</v>
      </c>
      <c r="F1" s="5" t="s">
        <v>131</v>
      </c>
      <c r="G1" s="5" t="s">
        <v>132</v>
      </c>
      <c r="H1" s="5" t="s">
        <v>94</v>
      </c>
      <c r="I1" s="5" t="s">
        <v>92</v>
      </c>
      <c r="J1" s="5" t="s">
        <v>93</v>
      </c>
      <c r="K1" s="5" t="s">
        <v>95</v>
      </c>
      <c r="L1" s="5" t="s">
        <v>133</v>
      </c>
      <c r="M1" s="5" t="s">
        <v>134</v>
      </c>
      <c r="N1" s="5" t="s">
        <v>135</v>
      </c>
      <c r="O1" s="5" t="s">
        <v>136</v>
      </c>
      <c r="P1" s="5" t="s">
        <v>137</v>
      </c>
      <c r="Q1" s="5" t="s">
        <v>138</v>
      </c>
      <c r="R1" s="5" t="s">
        <v>139</v>
      </c>
      <c r="S1" s="5" t="s">
        <v>97</v>
      </c>
    </row>
    <row r="2" customFormat="false" ht="15" hidden="false" customHeight="false" outlineLevel="0" collapsed="false">
      <c r="A2" s="6" t="s">
        <v>51</v>
      </c>
      <c r="B2" s="6" t="s">
        <v>98</v>
      </c>
      <c r="C2" s="6" t="s">
        <v>140</v>
      </c>
      <c r="D2" s="6" t="n">
        <v>20</v>
      </c>
      <c r="E2" s="6" t="n">
        <v>20</v>
      </c>
      <c r="F2" s="6" t="n">
        <v>18</v>
      </c>
      <c r="G2" s="6" t="n">
        <v>2</v>
      </c>
      <c r="H2" s="6" t="n">
        <v>155</v>
      </c>
      <c r="I2" s="6" t="n">
        <v>400</v>
      </c>
      <c r="J2" s="6" t="n">
        <v>420</v>
      </c>
      <c r="K2" s="6" t="n">
        <v>20</v>
      </c>
      <c r="L2" s="6" t="n">
        <v>400</v>
      </c>
      <c r="M2" s="6" t="n">
        <v>400</v>
      </c>
      <c r="N2" s="6" t="n">
        <v>245</v>
      </c>
      <c r="O2" s="6" t="n">
        <v>0</v>
      </c>
      <c r="P2" s="6" t="s">
        <v>141</v>
      </c>
      <c r="Q2" s="6"/>
      <c r="R2" s="7" t="n">
        <v>5.1</v>
      </c>
      <c r="S2" s="6"/>
    </row>
    <row r="3" customFormat="false" ht="15" hidden="false" customHeight="false" outlineLevel="0" collapsed="false">
      <c r="A3" s="6" t="s">
        <v>51</v>
      </c>
      <c r="B3" s="6" t="s">
        <v>98</v>
      </c>
      <c r="C3" s="6" t="s">
        <v>142</v>
      </c>
      <c r="D3" s="6" t="n">
        <v>20</v>
      </c>
      <c r="E3" s="6" t="n">
        <v>20</v>
      </c>
      <c r="F3" s="6" t="n">
        <v>17</v>
      </c>
      <c r="G3" s="6" t="n">
        <v>3</v>
      </c>
      <c r="H3" s="6" t="n">
        <v>162</v>
      </c>
      <c r="I3" s="6" t="n">
        <v>400</v>
      </c>
      <c r="J3" s="6" t="n">
        <v>420</v>
      </c>
      <c r="K3" s="6" t="n">
        <v>20</v>
      </c>
      <c r="L3" s="6" t="n">
        <v>400</v>
      </c>
      <c r="M3" s="6" t="n">
        <v>400</v>
      </c>
      <c r="N3" s="6" t="n">
        <v>238</v>
      </c>
      <c r="O3" s="6" t="n">
        <v>0</v>
      </c>
      <c r="P3" s="6" t="s">
        <v>141</v>
      </c>
      <c r="Q3" s="6"/>
      <c r="R3" s="7" t="n">
        <v>5</v>
      </c>
      <c r="S3" s="6"/>
    </row>
    <row r="4" customFormat="false" ht="15" hidden="false" customHeight="false" outlineLevel="0" collapsed="false">
      <c r="A4" s="6" t="s">
        <v>51</v>
      </c>
      <c r="B4" s="6" t="s">
        <v>98</v>
      </c>
      <c r="C4" s="6" t="s">
        <v>143</v>
      </c>
      <c r="D4" s="6" t="n">
        <v>20</v>
      </c>
      <c r="E4" s="6" t="n">
        <v>19</v>
      </c>
      <c r="F4" s="6" t="n">
        <v>16</v>
      </c>
      <c r="G4" s="6" t="n">
        <v>3</v>
      </c>
      <c r="H4" s="6" t="n">
        <v>148</v>
      </c>
      <c r="I4" s="6" t="n">
        <v>570</v>
      </c>
      <c r="J4" s="6" t="n">
        <v>500</v>
      </c>
      <c r="K4" s="6" t="n">
        <v>20</v>
      </c>
      <c r="L4" s="6" t="n">
        <v>380</v>
      </c>
      <c r="M4" s="6" t="n">
        <v>380</v>
      </c>
      <c r="N4" s="6" t="n">
        <v>232</v>
      </c>
      <c r="O4" s="6" t="n">
        <v>190</v>
      </c>
      <c r="P4" s="6" t="s">
        <v>144</v>
      </c>
      <c r="Q4" s="6" t="s">
        <v>145</v>
      </c>
      <c r="R4" s="7" t="n">
        <v>5.3</v>
      </c>
      <c r="S4" s="6" t="s">
        <v>146</v>
      </c>
    </row>
    <row r="5" customFormat="false" ht="15" hidden="false" customHeight="false" outlineLevel="0" collapsed="false">
      <c r="A5" s="6" t="s">
        <v>51</v>
      </c>
      <c r="B5" s="6" t="s">
        <v>98</v>
      </c>
      <c r="C5" s="6" t="s">
        <v>147</v>
      </c>
      <c r="D5" s="6" t="n">
        <v>20</v>
      </c>
      <c r="E5" s="6" t="n">
        <v>20</v>
      </c>
      <c r="F5" s="6" t="n">
        <v>19</v>
      </c>
      <c r="G5" s="6" t="n">
        <v>1</v>
      </c>
      <c r="H5" s="6" t="n">
        <v>168</v>
      </c>
      <c r="I5" s="6" t="n">
        <v>400</v>
      </c>
      <c r="J5" s="6" t="n">
        <v>420</v>
      </c>
      <c r="K5" s="6" t="n">
        <v>20</v>
      </c>
      <c r="L5" s="6" t="n">
        <v>400</v>
      </c>
      <c r="M5" s="6" t="n">
        <v>400</v>
      </c>
      <c r="N5" s="6" t="n">
        <v>232</v>
      </c>
      <c r="O5" s="6" t="n">
        <v>0</v>
      </c>
      <c r="P5" s="6" t="s">
        <v>141</v>
      </c>
      <c r="Q5" s="6"/>
      <c r="R5" s="7" t="n">
        <v>5</v>
      </c>
      <c r="S5" s="6"/>
    </row>
    <row r="6" customFormat="false" ht="15" hidden="false" customHeight="false" outlineLevel="0" collapsed="false">
      <c r="A6" s="6" t="s">
        <v>51</v>
      </c>
      <c r="B6" s="6" t="s">
        <v>98</v>
      </c>
      <c r="C6" s="6" t="s">
        <v>148</v>
      </c>
      <c r="D6" s="6" t="n">
        <v>20</v>
      </c>
      <c r="E6" s="6" t="n">
        <v>20</v>
      </c>
      <c r="F6" s="6" t="n">
        <v>16</v>
      </c>
      <c r="G6" s="6" t="n">
        <v>4</v>
      </c>
      <c r="H6" s="6" t="n">
        <v>151</v>
      </c>
      <c r="I6" s="6" t="n">
        <v>400</v>
      </c>
      <c r="J6" s="6" t="n">
        <v>420</v>
      </c>
      <c r="K6" s="6" t="n">
        <v>20</v>
      </c>
      <c r="L6" s="6" t="n">
        <v>400</v>
      </c>
      <c r="M6" s="6" t="n">
        <v>400</v>
      </c>
      <c r="N6" s="6" t="n">
        <v>249</v>
      </c>
      <c r="O6" s="6" t="n">
        <v>0</v>
      </c>
      <c r="P6" s="6" t="s">
        <v>141</v>
      </c>
      <c r="Q6" s="6"/>
      <c r="R6" s="7" t="n">
        <v>5.1</v>
      </c>
      <c r="S6" s="6"/>
    </row>
    <row r="7" customFormat="false" ht="15" hidden="false" customHeight="false" outlineLevel="0" collapsed="false">
      <c r="A7" s="6" t="s">
        <v>51</v>
      </c>
      <c r="B7" s="6" t="s">
        <v>98</v>
      </c>
      <c r="C7" s="6" t="s">
        <v>149</v>
      </c>
      <c r="D7" s="6" t="n">
        <v>20</v>
      </c>
      <c r="E7" s="6" t="n">
        <v>20</v>
      </c>
      <c r="F7" s="6" t="n">
        <v>18</v>
      </c>
      <c r="G7" s="6" t="n">
        <v>2</v>
      </c>
      <c r="H7" s="6" t="n">
        <v>159</v>
      </c>
      <c r="I7" s="6" t="n">
        <v>400</v>
      </c>
      <c r="J7" s="6" t="n">
        <v>420</v>
      </c>
      <c r="K7" s="6" t="n">
        <v>20</v>
      </c>
      <c r="L7" s="6" t="n">
        <v>400</v>
      </c>
      <c r="M7" s="6" t="n">
        <v>400</v>
      </c>
      <c r="N7" s="6" t="n">
        <v>241</v>
      </c>
      <c r="O7" s="6" t="n">
        <v>0</v>
      </c>
      <c r="P7" s="6" t="s">
        <v>141</v>
      </c>
      <c r="Q7" s="6"/>
      <c r="R7" s="7" t="n">
        <v>5.1</v>
      </c>
      <c r="S7" s="6"/>
    </row>
    <row r="8" customFormat="false" ht="15" hidden="false" customHeight="false" outlineLevel="0" collapsed="false">
      <c r="A8" s="6" t="s">
        <v>51</v>
      </c>
      <c r="B8" s="6" t="s">
        <v>102</v>
      </c>
      <c r="C8" s="6" t="s">
        <v>150</v>
      </c>
      <c r="D8" s="6" t="n">
        <v>20</v>
      </c>
      <c r="E8" s="6" t="n">
        <v>20</v>
      </c>
      <c r="F8" s="6" t="n">
        <v>20</v>
      </c>
      <c r="G8" s="6" t="n">
        <v>0</v>
      </c>
      <c r="H8" s="6" t="n">
        <v>200</v>
      </c>
      <c r="I8" s="6" t="n">
        <v>400</v>
      </c>
      <c r="J8" s="6" t="n">
        <v>400</v>
      </c>
      <c r="K8" s="6" t="n">
        <v>20</v>
      </c>
      <c r="L8" s="6" t="n">
        <v>400</v>
      </c>
      <c r="M8" s="6" t="n">
        <v>400</v>
      </c>
      <c r="N8" s="6" t="n">
        <v>200</v>
      </c>
      <c r="O8" s="6" t="n">
        <v>0</v>
      </c>
      <c r="P8" s="6" t="s">
        <v>141</v>
      </c>
      <c r="Q8" s="6"/>
      <c r="R8" s="7" t="n">
        <v>4.8</v>
      </c>
      <c r="S8" s="6" t="s">
        <v>151</v>
      </c>
    </row>
    <row r="9" customFormat="false" ht="15" hidden="false" customHeight="false" outlineLevel="0" collapsed="false">
      <c r="A9" s="6" t="s">
        <v>51</v>
      </c>
      <c r="B9" s="6" t="s">
        <v>102</v>
      </c>
      <c r="C9" s="6" t="s">
        <v>152</v>
      </c>
      <c r="D9" s="6" t="n">
        <v>20</v>
      </c>
      <c r="E9" s="6" t="n">
        <v>20</v>
      </c>
      <c r="F9" s="6" t="n">
        <v>15</v>
      </c>
      <c r="G9" s="6" t="n">
        <v>5</v>
      </c>
      <c r="H9" s="6" t="n">
        <v>145</v>
      </c>
      <c r="I9" s="6" t="n">
        <v>400</v>
      </c>
      <c r="J9" s="6" t="n">
        <v>420</v>
      </c>
      <c r="K9" s="6" t="n">
        <v>20</v>
      </c>
      <c r="L9" s="6" t="n">
        <v>400</v>
      </c>
      <c r="M9" s="6" t="n">
        <v>400</v>
      </c>
      <c r="N9" s="6" t="n">
        <v>255</v>
      </c>
      <c r="O9" s="6" t="n">
        <v>0</v>
      </c>
      <c r="P9" s="6" t="s">
        <v>141</v>
      </c>
      <c r="Q9" s="6"/>
      <c r="R9" s="7" t="n">
        <v>5.1</v>
      </c>
      <c r="S9" s="6"/>
    </row>
    <row r="10" customFormat="false" ht="15" hidden="false" customHeight="false" outlineLevel="0" collapsed="false">
      <c r="A10" s="6" t="s">
        <v>51</v>
      </c>
      <c r="B10" s="6" t="s">
        <v>102</v>
      </c>
      <c r="C10" s="6" t="s">
        <v>153</v>
      </c>
      <c r="D10" s="6" t="n">
        <v>20</v>
      </c>
      <c r="E10" s="6" t="n">
        <v>20</v>
      </c>
      <c r="F10" s="6" t="n">
        <v>16</v>
      </c>
      <c r="G10" s="6" t="n">
        <v>4</v>
      </c>
      <c r="H10" s="6" t="n">
        <v>152</v>
      </c>
      <c r="I10" s="6" t="n">
        <v>400</v>
      </c>
      <c r="J10" s="6" t="n">
        <v>420</v>
      </c>
      <c r="K10" s="6" t="n">
        <v>20</v>
      </c>
      <c r="L10" s="6" t="n">
        <v>400</v>
      </c>
      <c r="M10" s="6" t="n">
        <v>400</v>
      </c>
      <c r="N10" s="6" t="n">
        <v>248</v>
      </c>
      <c r="O10" s="6" t="n">
        <v>0</v>
      </c>
      <c r="P10" s="6" t="s">
        <v>141</v>
      </c>
      <c r="Q10" s="6"/>
      <c r="R10" s="7" t="n">
        <v>5.1</v>
      </c>
      <c r="S10" s="6"/>
    </row>
    <row r="11" customFormat="false" ht="15" hidden="false" customHeight="false" outlineLevel="0" collapsed="false">
      <c r="A11" s="6" t="s">
        <v>51</v>
      </c>
      <c r="B11" s="6" t="s">
        <v>102</v>
      </c>
      <c r="C11" s="6" t="s">
        <v>154</v>
      </c>
      <c r="D11" s="6" t="n">
        <v>20</v>
      </c>
      <c r="E11" s="6" t="n">
        <v>20</v>
      </c>
      <c r="F11" s="6" t="n">
        <v>14</v>
      </c>
      <c r="G11" s="6" t="n">
        <v>6</v>
      </c>
      <c r="H11" s="6" t="n">
        <v>138</v>
      </c>
      <c r="I11" s="6" t="n">
        <v>400</v>
      </c>
      <c r="J11" s="6" t="n">
        <v>420</v>
      </c>
      <c r="K11" s="6" t="n">
        <v>20</v>
      </c>
      <c r="L11" s="6" t="n">
        <v>400</v>
      </c>
      <c r="M11" s="6" t="n">
        <v>400</v>
      </c>
      <c r="N11" s="6" t="n">
        <v>262</v>
      </c>
      <c r="O11" s="6" t="n">
        <v>0</v>
      </c>
      <c r="P11" s="6" t="s">
        <v>141</v>
      </c>
      <c r="Q11" s="6"/>
      <c r="R11" s="7" t="n">
        <v>5.2</v>
      </c>
      <c r="S11" s="6"/>
    </row>
    <row r="12" customFormat="false" ht="15" hidden="false" customHeight="false" outlineLevel="0" collapsed="false">
      <c r="A12" s="6" t="s">
        <v>51</v>
      </c>
      <c r="B12" s="6" t="s">
        <v>102</v>
      </c>
      <c r="C12" s="6" t="s">
        <v>155</v>
      </c>
      <c r="D12" s="6" t="n">
        <v>20</v>
      </c>
      <c r="E12" s="6" t="n">
        <v>20</v>
      </c>
      <c r="F12" s="6" t="n">
        <v>4</v>
      </c>
      <c r="G12" s="6" t="n">
        <v>16</v>
      </c>
      <c r="H12" s="6" t="n">
        <v>180</v>
      </c>
      <c r="I12" s="6" t="n">
        <v>600</v>
      </c>
      <c r="J12" s="6" t="n">
        <v>220</v>
      </c>
      <c r="K12" s="6" t="n">
        <v>20</v>
      </c>
      <c r="L12" s="6" t="n">
        <v>400</v>
      </c>
      <c r="M12" s="6" t="n">
        <v>220</v>
      </c>
      <c r="N12" s="6" t="n">
        <v>40</v>
      </c>
      <c r="O12" s="6" t="n">
        <v>380</v>
      </c>
      <c r="P12" s="6" t="s">
        <v>156</v>
      </c>
      <c r="Q12" s="6" t="s">
        <v>145</v>
      </c>
      <c r="R12" s="7" t="n">
        <v>4</v>
      </c>
      <c r="S12" s="6" t="s">
        <v>157</v>
      </c>
    </row>
    <row r="13" customFormat="false" ht="15" hidden="false" customHeight="false" outlineLevel="0" collapsed="false">
      <c r="A13" s="6" t="s">
        <v>51</v>
      </c>
      <c r="B13" s="6" t="s">
        <v>102</v>
      </c>
      <c r="C13" s="6" t="s">
        <v>158</v>
      </c>
      <c r="D13" s="6" t="n">
        <v>20</v>
      </c>
      <c r="E13" s="6" t="n">
        <v>20</v>
      </c>
      <c r="F13" s="6" t="n">
        <v>17</v>
      </c>
      <c r="G13" s="6" t="n">
        <v>3</v>
      </c>
      <c r="H13" s="6" t="n">
        <v>161</v>
      </c>
      <c r="I13" s="6" t="n">
        <v>400</v>
      </c>
      <c r="J13" s="6" t="n">
        <v>420</v>
      </c>
      <c r="K13" s="6" t="n">
        <v>20</v>
      </c>
      <c r="L13" s="6" t="n">
        <v>400</v>
      </c>
      <c r="M13" s="6" t="n">
        <v>400</v>
      </c>
      <c r="N13" s="6" t="n">
        <v>239</v>
      </c>
      <c r="O13" s="6" t="n">
        <v>0</v>
      </c>
      <c r="P13" s="6" t="s">
        <v>141</v>
      </c>
      <c r="Q13" s="6"/>
      <c r="R13" s="7" t="n">
        <v>5</v>
      </c>
      <c r="S13" s="6"/>
    </row>
    <row r="14" customFormat="false" ht="15" hidden="false" customHeight="false" outlineLevel="0" collapsed="false">
      <c r="A14" s="6" t="s">
        <v>51</v>
      </c>
      <c r="B14" s="6" t="s">
        <v>104</v>
      </c>
      <c r="C14" s="6" t="s">
        <v>159</v>
      </c>
      <c r="D14" s="6" t="n">
        <v>20</v>
      </c>
      <c r="E14" s="6" t="n">
        <v>20</v>
      </c>
      <c r="F14" s="6" t="n">
        <v>16</v>
      </c>
      <c r="G14" s="6" t="n">
        <v>4</v>
      </c>
      <c r="H14" s="6" t="n">
        <v>136</v>
      </c>
      <c r="I14" s="6" t="n">
        <v>400</v>
      </c>
      <c r="J14" s="6" t="n">
        <v>420</v>
      </c>
      <c r="K14" s="6" t="n">
        <v>20</v>
      </c>
      <c r="L14" s="6" t="n">
        <v>400</v>
      </c>
      <c r="M14" s="6" t="n">
        <v>400</v>
      </c>
      <c r="N14" s="6" t="n">
        <v>264</v>
      </c>
      <c r="O14" s="6" t="n">
        <v>0</v>
      </c>
      <c r="P14" s="6" t="s">
        <v>141</v>
      </c>
      <c r="Q14" s="6"/>
      <c r="R14" s="7" t="n">
        <v>5.2</v>
      </c>
      <c r="S14" s="6"/>
    </row>
    <row r="15" customFormat="false" ht="15" hidden="false" customHeight="false" outlineLevel="0" collapsed="false">
      <c r="A15" s="6" t="s">
        <v>51</v>
      </c>
      <c r="B15" s="6" t="s">
        <v>104</v>
      </c>
      <c r="C15" s="6" t="s">
        <v>160</v>
      </c>
      <c r="D15" s="6" t="n">
        <v>20</v>
      </c>
      <c r="E15" s="6" t="n">
        <v>20</v>
      </c>
      <c r="F15" s="6" t="n">
        <v>15</v>
      </c>
      <c r="G15" s="6" t="n">
        <v>5</v>
      </c>
      <c r="H15" s="6" t="n">
        <v>129</v>
      </c>
      <c r="I15" s="6" t="n">
        <v>400</v>
      </c>
      <c r="J15" s="6" t="n">
        <v>420</v>
      </c>
      <c r="K15" s="6" t="n">
        <v>20</v>
      </c>
      <c r="L15" s="6" t="n">
        <v>400</v>
      </c>
      <c r="M15" s="6" t="n">
        <v>400</v>
      </c>
      <c r="N15" s="6" t="n">
        <v>271</v>
      </c>
      <c r="O15" s="6" t="n">
        <v>0</v>
      </c>
      <c r="P15" s="6" t="s">
        <v>141</v>
      </c>
      <c r="Q15" s="6"/>
      <c r="R15" s="7" t="n">
        <v>5.2</v>
      </c>
      <c r="S15" s="6"/>
    </row>
    <row r="16" customFormat="false" ht="15" hidden="false" customHeight="false" outlineLevel="0" collapsed="false">
      <c r="A16" s="6" t="s">
        <v>51</v>
      </c>
      <c r="B16" s="6" t="s">
        <v>104</v>
      </c>
      <c r="C16" s="6" t="s">
        <v>161</v>
      </c>
      <c r="D16" s="6" t="n">
        <v>20</v>
      </c>
      <c r="E16" s="6" t="n">
        <v>20</v>
      </c>
      <c r="F16" s="6" t="n">
        <v>14</v>
      </c>
      <c r="G16" s="6" t="n">
        <v>6</v>
      </c>
      <c r="H16" s="6" t="n">
        <v>123</v>
      </c>
      <c r="I16" s="6" t="n">
        <v>400</v>
      </c>
      <c r="J16" s="6" t="n">
        <v>420</v>
      </c>
      <c r="K16" s="6" t="n">
        <v>20</v>
      </c>
      <c r="L16" s="6" t="n">
        <v>400</v>
      </c>
      <c r="M16" s="6" t="n">
        <v>400</v>
      </c>
      <c r="N16" s="6" t="n">
        <v>277</v>
      </c>
      <c r="O16" s="6" t="n">
        <v>0</v>
      </c>
      <c r="P16" s="6" t="s">
        <v>141</v>
      </c>
      <c r="Q16" s="6"/>
      <c r="R16" s="7" t="n">
        <v>5.3</v>
      </c>
      <c r="S16" s="6"/>
    </row>
    <row r="17" customFormat="false" ht="15" hidden="false" customHeight="false" outlineLevel="0" collapsed="false">
      <c r="A17" s="6" t="s">
        <v>51</v>
      </c>
      <c r="B17" s="6" t="s">
        <v>104</v>
      </c>
      <c r="C17" s="6" t="s">
        <v>162</v>
      </c>
      <c r="D17" s="6" t="n">
        <v>20</v>
      </c>
      <c r="E17" s="6" t="n">
        <v>20</v>
      </c>
      <c r="F17" s="6" t="n">
        <v>15</v>
      </c>
      <c r="G17" s="6" t="n">
        <v>5</v>
      </c>
      <c r="H17" s="6" t="n">
        <v>138</v>
      </c>
      <c r="I17" s="6" t="n">
        <v>420</v>
      </c>
      <c r="J17" s="6" t="n">
        <v>380</v>
      </c>
      <c r="K17" s="6" t="n">
        <v>20</v>
      </c>
      <c r="L17" s="6" t="n">
        <v>400</v>
      </c>
      <c r="M17" s="6" t="n">
        <v>380</v>
      </c>
      <c r="N17" s="6" t="n">
        <v>242</v>
      </c>
      <c r="O17" s="6" t="n">
        <v>40</v>
      </c>
      <c r="P17" s="6" t="s">
        <v>156</v>
      </c>
      <c r="Q17" s="6" t="s">
        <v>145</v>
      </c>
      <c r="R17" s="7" t="n">
        <v>5.1</v>
      </c>
      <c r="S17" s="6" t="s">
        <v>163</v>
      </c>
    </row>
    <row r="18" customFormat="false" ht="15" hidden="false" customHeight="false" outlineLevel="0" collapsed="false">
      <c r="A18" s="6" t="s">
        <v>51</v>
      </c>
      <c r="B18" s="6" t="s">
        <v>104</v>
      </c>
      <c r="C18" s="6" t="s">
        <v>164</v>
      </c>
      <c r="D18" s="6" t="n">
        <v>20</v>
      </c>
      <c r="E18" s="6" t="n">
        <v>20</v>
      </c>
      <c r="F18" s="6" t="n">
        <v>15</v>
      </c>
      <c r="G18" s="6" t="n">
        <v>5</v>
      </c>
      <c r="H18" s="6" t="n">
        <v>137</v>
      </c>
      <c r="I18" s="6" t="n">
        <v>420</v>
      </c>
      <c r="J18" s="6" t="n">
        <v>390</v>
      </c>
      <c r="K18" s="6" t="n">
        <v>20</v>
      </c>
      <c r="L18" s="6" t="n">
        <v>400</v>
      </c>
      <c r="M18" s="6" t="n">
        <v>390</v>
      </c>
      <c r="N18" s="6" t="n">
        <v>253</v>
      </c>
      <c r="O18" s="6" t="n">
        <v>30</v>
      </c>
      <c r="P18" s="6" t="s">
        <v>156</v>
      </c>
      <c r="Q18" s="6" t="s">
        <v>145</v>
      </c>
      <c r="R18" s="7" t="n">
        <v>5.1</v>
      </c>
      <c r="S18" s="6" t="s">
        <v>165</v>
      </c>
    </row>
    <row r="19" customFormat="false" ht="15" hidden="false" customHeight="false" outlineLevel="0" collapsed="false">
      <c r="A19" s="6" t="s">
        <v>51</v>
      </c>
      <c r="B19" s="6" t="s">
        <v>104</v>
      </c>
      <c r="C19" s="6" t="s">
        <v>166</v>
      </c>
      <c r="D19" s="6" t="n">
        <v>20</v>
      </c>
      <c r="E19" s="6" t="n">
        <v>20</v>
      </c>
      <c r="F19" s="6" t="n">
        <v>15</v>
      </c>
      <c r="G19" s="6" t="n">
        <v>5</v>
      </c>
      <c r="H19" s="6" t="n">
        <v>138</v>
      </c>
      <c r="I19" s="6" t="n">
        <v>400</v>
      </c>
      <c r="J19" s="6" t="n">
        <v>420</v>
      </c>
      <c r="K19" s="6" t="n">
        <v>20</v>
      </c>
      <c r="L19" s="6" t="n">
        <v>400</v>
      </c>
      <c r="M19" s="6" t="n">
        <v>400</v>
      </c>
      <c r="N19" s="6" t="n">
        <v>262</v>
      </c>
      <c r="O19" s="6" t="n">
        <v>0</v>
      </c>
      <c r="P19" s="6" t="s">
        <v>141</v>
      </c>
      <c r="Q19" s="6"/>
      <c r="R19" s="7" t="n">
        <v>5.2</v>
      </c>
      <c r="S19" s="6"/>
    </row>
    <row r="20" customFormat="false" ht="15" hidden="false" customHeight="false" outlineLevel="0" collapsed="false">
      <c r="A20" s="6" t="s">
        <v>51</v>
      </c>
      <c r="B20" s="6" t="s">
        <v>106</v>
      </c>
      <c r="C20" s="6" t="s">
        <v>167</v>
      </c>
      <c r="D20" s="6" t="n">
        <v>20</v>
      </c>
      <c r="E20" s="6" t="n">
        <v>20</v>
      </c>
      <c r="F20" s="6" t="n">
        <v>16</v>
      </c>
      <c r="G20" s="6" t="n">
        <v>4</v>
      </c>
      <c r="H20" s="6" t="n">
        <v>720</v>
      </c>
      <c r="I20" s="6" t="n">
        <v>900</v>
      </c>
      <c r="J20" s="6" t="n">
        <v>830</v>
      </c>
      <c r="K20" s="6" t="n">
        <v>60</v>
      </c>
      <c r="L20" s="8" t="n">
        <v>1200</v>
      </c>
      <c r="M20" s="6" t="n">
        <v>830</v>
      </c>
      <c r="N20" s="6" t="n">
        <v>110</v>
      </c>
      <c r="O20" s="6" t="n">
        <v>70</v>
      </c>
      <c r="P20" s="6" t="s">
        <v>156</v>
      </c>
      <c r="Q20" s="6" t="s">
        <v>168</v>
      </c>
      <c r="R20" s="7" t="n">
        <v>3.8</v>
      </c>
      <c r="S20" s="6" t="s">
        <v>169</v>
      </c>
    </row>
    <row r="21" customFormat="false" ht="15" hidden="false" customHeight="false" outlineLevel="0" collapsed="false">
      <c r="A21" s="6" t="s">
        <v>51</v>
      </c>
      <c r="B21" s="6" t="s">
        <v>106</v>
      </c>
      <c r="C21" s="6" t="s">
        <v>170</v>
      </c>
      <c r="D21" s="6" t="n">
        <v>20</v>
      </c>
      <c r="E21" s="6" t="n">
        <v>20</v>
      </c>
      <c r="F21" s="6" t="n">
        <v>14</v>
      </c>
      <c r="G21" s="6" t="n">
        <v>6</v>
      </c>
      <c r="H21" s="6" t="n">
        <v>660</v>
      </c>
      <c r="I21" s="6" t="n">
        <v>900</v>
      </c>
      <c r="J21" s="6" t="n">
        <v>810</v>
      </c>
      <c r="K21" s="6" t="n">
        <v>60</v>
      </c>
      <c r="L21" s="8" t="n">
        <v>1200</v>
      </c>
      <c r="M21" s="6" t="n">
        <v>810</v>
      </c>
      <c r="N21" s="6" t="n">
        <v>150</v>
      </c>
      <c r="O21" s="6" t="n">
        <v>90</v>
      </c>
      <c r="P21" s="6" t="s">
        <v>156</v>
      </c>
      <c r="Q21" s="6" t="s">
        <v>168</v>
      </c>
      <c r="R21" s="7" t="n">
        <v>4</v>
      </c>
      <c r="S21" s="6" t="s">
        <v>169</v>
      </c>
    </row>
    <row r="22" customFormat="false" ht="15" hidden="false" customHeight="false" outlineLevel="0" collapsed="false">
      <c r="A22" s="6" t="s">
        <v>51</v>
      </c>
      <c r="B22" s="6" t="s">
        <v>106</v>
      </c>
      <c r="C22" s="6" t="s">
        <v>171</v>
      </c>
      <c r="D22" s="6" t="n">
        <v>20</v>
      </c>
      <c r="E22" s="6" t="n">
        <v>20</v>
      </c>
      <c r="F22" s="6" t="n">
        <v>15</v>
      </c>
      <c r="G22" s="6" t="n">
        <v>5</v>
      </c>
      <c r="H22" s="6" t="n">
        <v>690</v>
      </c>
      <c r="I22" s="6" t="n">
        <v>900</v>
      </c>
      <c r="J22" s="6" t="n">
        <v>820</v>
      </c>
      <c r="K22" s="6" t="n">
        <v>60</v>
      </c>
      <c r="L22" s="8" t="n">
        <v>1200</v>
      </c>
      <c r="M22" s="6" t="n">
        <v>820</v>
      </c>
      <c r="N22" s="6" t="n">
        <v>130</v>
      </c>
      <c r="O22" s="6" t="n">
        <v>80</v>
      </c>
      <c r="P22" s="6" t="s">
        <v>156</v>
      </c>
      <c r="Q22" s="6" t="s">
        <v>168</v>
      </c>
      <c r="R22" s="7" t="n">
        <v>3.9</v>
      </c>
      <c r="S22" s="6" t="s">
        <v>169</v>
      </c>
    </row>
    <row r="23" customFormat="false" ht="15" hidden="false" customHeight="false" outlineLevel="0" collapsed="false">
      <c r="A23" s="6" t="s">
        <v>51</v>
      </c>
      <c r="B23" s="6" t="s">
        <v>106</v>
      </c>
      <c r="C23" s="6" t="s">
        <v>172</v>
      </c>
      <c r="D23" s="6" t="n">
        <v>20</v>
      </c>
      <c r="E23" s="6" t="n">
        <v>20</v>
      </c>
      <c r="F23" s="6" t="n">
        <v>13</v>
      </c>
      <c r="G23" s="6" t="n">
        <v>7</v>
      </c>
      <c r="H23" s="6" t="n">
        <v>630</v>
      </c>
      <c r="I23" s="6" t="n">
        <v>900</v>
      </c>
      <c r="J23" s="6" t="n">
        <v>800</v>
      </c>
      <c r="K23" s="6" t="n">
        <v>60</v>
      </c>
      <c r="L23" s="8" t="n">
        <v>1200</v>
      </c>
      <c r="M23" s="6" t="n">
        <v>800</v>
      </c>
      <c r="N23" s="6" t="n">
        <v>170</v>
      </c>
      <c r="O23" s="6" t="n">
        <v>100</v>
      </c>
      <c r="P23" s="6" t="s">
        <v>156</v>
      </c>
      <c r="Q23" s="6" t="s">
        <v>168</v>
      </c>
      <c r="R23" s="7" t="n">
        <v>4</v>
      </c>
      <c r="S23" s="6" t="s">
        <v>169</v>
      </c>
    </row>
    <row r="24" customFormat="false" ht="15" hidden="false" customHeight="false" outlineLevel="0" collapsed="false">
      <c r="A24" s="6" t="s">
        <v>51</v>
      </c>
      <c r="B24" s="6" t="s">
        <v>106</v>
      </c>
      <c r="C24" s="6" t="s">
        <v>173</v>
      </c>
      <c r="D24" s="6" t="n">
        <v>20</v>
      </c>
      <c r="E24" s="6" t="n">
        <v>20</v>
      </c>
      <c r="F24" s="6" t="n">
        <v>14</v>
      </c>
      <c r="G24" s="6" t="n">
        <v>6</v>
      </c>
      <c r="H24" s="6" t="n">
        <v>670</v>
      </c>
      <c r="I24" s="6" t="n">
        <v>900</v>
      </c>
      <c r="J24" s="6" t="n">
        <v>820</v>
      </c>
      <c r="K24" s="6" t="n">
        <v>60</v>
      </c>
      <c r="L24" s="8" t="n">
        <v>1200</v>
      </c>
      <c r="M24" s="6" t="n">
        <v>820</v>
      </c>
      <c r="N24" s="6" t="n">
        <v>150</v>
      </c>
      <c r="O24" s="6" t="n">
        <v>80</v>
      </c>
      <c r="P24" s="6" t="s">
        <v>156</v>
      </c>
      <c r="Q24" s="6" t="s">
        <v>168</v>
      </c>
      <c r="R24" s="7" t="n">
        <v>4</v>
      </c>
      <c r="S24" s="6" t="s">
        <v>169</v>
      </c>
    </row>
    <row r="25" customFormat="false" ht="15" hidden="false" customHeight="false" outlineLevel="0" collapsed="false">
      <c r="A25" s="6" t="s">
        <v>51</v>
      </c>
      <c r="B25" s="6" t="s">
        <v>106</v>
      </c>
      <c r="C25" s="6" t="s">
        <v>174</v>
      </c>
      <c r="D25" s="6" t="n">
        <v>20</v>
      </c>
      <c r="E25" s="6" t="n">
        <v>20</v>
      </c>
      <c r="F25" s="6" t="n">
        <v>14</v>
      </c>
      <c r="G25" s="6" t="n">
        <v>6</v>
      </c>
      <c r="H25" s="6" t="n">
        <v>710</v>
      </c>
      <c r="I25" s="6" t="n">
        <v>900</v>
      </c>
      <c r="J25" s="6" t="n">
        <v>840</v>
      </c>
      <c r="K25" s="6" t="n">
        <v>60</v>
      </c>
      <c r="L25" s="8" t="n">
        <v>1200</v>
      </c>
      <c r="M25" s="6" t="n">
        <v>840</v>
      </c>
      <c r="N25" s="6" t="n">
        <v>130</v>
      </c>
      <c r="O25" s="6" t="n">
        <v>60</v>
      </c>
      <c r="P25" s="6" t="s">
        <v>156</v>
      </c>
      <c r="Q25" s="6" t="s">
        <v>168</v>
      </c>
      <c r="R25" s="7" t="n">
        <v>3.9</v>
      </c>
      <c r="S25" s="6" t="s">
        <v>169</v>
      </c>
    </row>
    <row r="27" customFormat="false" ht="15" hidden="false" customHeight="false" outlineLevel="0" collapsed="false">
      <c r="A27" s="9" t="s">
        <v>175</v>
      </c>
    </row>
    <row r="28" customFormat="false" ht="15" hidden="false" customHeight="false" outlineLevel="0" collapsed="false">
      <c r="A28" s="9" t="s">
        <v>176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1"/>
    <col collapsed="false" customWidth="true" hidden="false" outlineLevel="0" max="3" min="3" style="0" width="12"/>
    <col collapsed="false" customWidth="true" hidden="false" outlineLevel="0" max="4" min="4" style="0" width="8"/>
    <col collapsed="false" customWidth="true" hidden="false" outlineLevel="0" max="5" min="5" style="0" width="15"/>
    <col collapsed="false" customWidth="true" hidden="false" outlineLevel="0" max="8" min="6" style="0" width="8"/>
    <col collapsed="false" customWidth="true" hidden="false" outlineLevel="0" max="10" min="9" style="0" width="9"/>
    <col collapsed="false" customWidth="true" hidden="false" outlineLevel="0" max="12" min="11" style="0" width="10"/>
    <col collapsed="false" customWidth="true" hidden="false" outlineLevel="0" max="13" min="13" style="0" width="13"/>
    <col collapsed="false" customWidth="true" hidden="false" outlineLevel="0" max="14" min="14" style="0" width="10"/>
    <col collapsed="false" customWidth="true" hidden="false" outlineLevel="0" max="16" min="15" style="0" width="11"/>
    <col collapsed="false" customWidth="true" hidden="false" outlineLevel="0" max="17" min="17" style="0" width="14"/>
    <col collapsed="false" customWidth="true" hidden="false" outlineLevel="0" max="18" min="18" style="0" width="16"/>
    <col collapsed="false" customWidth="true" hidden="false" outlineLevel="0" max="19" min="19" style="0" width="42"/>
  </cols>
  <sheetData>
    <row r="1" customFormat="false" ht="30" hidden="false" customHeight="true" outlineLevel="0" collapsed="false">
      <c r="A1" s="5" t="s">
        <v>177</v>
      </c>
      <c r="B1" s="5" t="s">
        <v>32</v>
      </c>
      <c r="C1" s="5" t="s">
        <v>89</v>
      </c>
      <c r="D1" s="5" t="s">
        <v>129</v>
      </c>
      <c r="E1" s="5" t="s">
        <v>178</v>
      </c>
      <c r="F1" s="5" t="s">
        <v>179</v>
      </c>
      <c r="G1" s="5" t="s">
        <v>180</v>
      </c>
      <c r="H1" s="5" t="s">
        <v>181</v>
      </c>
      <c r="I1" s="5" t="s">
        <v>182</v>
      </c>
      <c r="J1" s="5" t="s">
        <v>183</v>
      </c>
      <c r="K1" s="5" t="s">
        <v>184</v>
      </c>
      <c r="L1" s="5" t="s">
        <v>185</v>
      </c>
      <c r="M1" s="5" t="s">
        <v>186</v>
      </c>
      <c r="N1" s="5" t="s">
        <v>94</v>
      </c>
      <c r="O1" s="5" t="s">
        <v>40</v>
      </c>
      <c r="P1" s="5" t="s">
        <v>187</v>
      </c>
      <c r="Q1" s="5" t="s">
        <v>188</v>
      </c>
      <c r="R1" s="5" t="s">
        <v>189</v>
      </c>
      <c r="S1" s="5" t="s">
        <v>97</v>
      </c>
    </row>
    <row r="2" customFormat="false" ht="15" hidden="false" customHeight="false" outlineLevel="0" collapsed="false">
      <c r="A2" s="6" t="s">
        <v>190</v>
      </c>
      <c r="B2" s="6" t="s">
        <v>51</v>
      </c>
      <c r="C2" s="6" t="s">
        <v>98</v>
      </c>
      <c r="D2" s="6" t="s">
        <v>140</v>
      </c>
      <c r="E2" s="6" t="n">
        <v>1</v>
      </c>
      <c r="F2" s="7" t="n">
        <v>2</v>
      </c>
      <c r="G2" s="7" t="n">
        <v>0</v>
      </c>
      <c r="H2" s="7" t="n">
        <v>3</v>
      </c>
      <c r="I2" s="7" t="n">
        <v>0.6</v>
      </c>
      <c r="J2" s="7" t="n">
        <v>1.2</v>
      </c>
      <c r="K2" s="7" t="n">
        <v>2</v>
      </c>
      <c r="L2" s="6" t="n">
        <v>42</v>
      </c>
      <c r="M2" s="6" t="n">
        <v>20</v>
      </c>
      <c r="N2" s="7" t="n">
        <v>8.6</v>
      </c>
      <c r="O2" s="6" t="s">
        <v>191</v>
      </c>
      <c r="P2" s="6" t="s">
        <v>192</v>
      </c>
      <c r="Q2" s="6" t="s">
        <v>193</v>
      </c>
      <c r="R2" s="6" t="s">
        <v>194</v>
      </c>
      <c r="S2" s="6"/>
    </row>
    <row r="3" customFormat="false" ht="15" hidden="false" customHeight="false" outlineLevel="0" collapsed="false">
      <c r="A3" s="6" t="s">
        <v>195</v>
      </c>
      <c r="B3" s="6" t="s">
        <v>51</v>
      </c>
      <c r="C3" s="6" t="s">
        <v>98</v>
      </c>
      <c r="D3" s="6" t="s">
        <v>140</v>
      </c>
      <c r="E3" s="6" t="n">
        <v>2</v>
      </c>
      <c r="F3" s="7" t="n">
        <v>2.6</v>
      </c>
      <c r="G3" s="7" t="n">
        <v>0</v>
      </c>
      <c r="H3" s="7" t="n">
        <v>3</v>
      </c>
      <c r="I3" s="7" t="n">
        <v>0.6</v>
      </c>
      <c r="J3" s="7" t="n">
        <v>1.2</v>
      </c>
      <c r="K3" s="7" t="n">
        <v>2</v>
      </c>
      <c r="L3" s="6" t="n">
        <v>42</v>
      </c>
      <c r="M3" s="6" t="n">
        <v>20</v>
      </c>
      <c r="N3" s="7" t="n">
        <v>8.6</v>
      </c>
      <c r="O3" s="6" t="s">
        <v>191</v>
      </c>
      <c r="P3" s="6" t="s">
        <v>192</v>
      </c>
      <c r="Q3" s="6" t="s">
        <v>193</v>
      </c>
      <c r="R3" s="6" t="s">
        <v>194</v>
      </c>
      <c r="S3" s="6"/>
    </row>
    <row r="4" customFormat="false" ht="15" hidden="false" customHeight="false" outlineLevel="0" collapsed="false">
      <c r="A4" s="6" t="s">
        <v>196</v>
      </c>
      <c r="B4" s="6" t="s">
        <v>51</v>
      </c>
      <c r="C4" s="6" t="s">
        <v>98</v>
      </c>
      <c r="D4" s="6" t="s">
        <v>140</v>
      </c>
      <c r="E4" s="6" t="n">
        <v>3</v>
      </c>
      <c r="F4" s="7" t="n">
        <v>3.2</v>
      </c>
      <c r="G4" s="7" t="n">
        <v>0</v>
      </c>
      <c r="H4" s="7" t="n">
        <v>3</v>
      </c>
      <c r="I4" s="7" t="n">
        <v>0.6</v>
      </c>
      <c r="J4" s="7" t="n">
        <v>1.2</v>
      </c>
      <c r="K4" s="7" t="n">
        <v>2</v>
      </c>
      <c r="L4" s="6" t="n">
        <v>42</v>
      </c>
      <c r="M4" s="6" t="n">
        <v>20</v>
      </c>
      <c r="N4" s="7" t="n">
        <v>8.6</v>
      </c>
      <c r="O4" s="6" t="s">
        <v>191</v>
      </c>
      <c r="P4" s="6" t="s">
        <v>192</v>
      </c>
      <c r="Q4" s="6" t="s">
        <v>193</v>
      </c>
      <c r="R4" s="6" t="s">
        <v>194</v>
      </c>
      <c r="S4" s="6"/>
    </row>
    <row r="5" customFormat="false" ht="15" hidden="false" customHeight="false" outlineLevel="0" collapsed="false">
      <c r="A5" s="6" t="s">
        <v>197</v>
      </c>
      <c r="B5" s="6" t="s">
        <v>51</v>
      </c>
      <c r="C5" s="6" t="s">
        <v>98</v>
      </c>
      <c r="D5" s="6" t="s">
        <v>140</v>
      </c>
      <c r="E5" s="6" t="n">
        <v>4</v>
      </c>
      <c r="F5" s="7" t="n">
        <v>3.8</v>
      </c>
      <c r="G5" s="7" t="n">
        <v>0</v>
      </c>
      <c r="H5" s="7" t="n">
        <v>3</v>
      </c>
      <c r="I5" s="7" t="n">
        <v>0.6</v>
      </c>
      <c r="J5" s="7" t="n">
        <v>1.2</v>
      </c>
      <c r="K5" s="7" t="n">
        <v>2</v>
      </c>
      <c r="L5" s="6" t="n">
        <v>42</v>
      </c>
      <c r="M5" s="6" t="n">
        <v>20</v>
      </c>
      <c r="N5" s="7" t="n">
        <v>8.6</v>
      </c>
      <c r="O5" s="6" t="s">
        <v>191</v>
      </c>
      <c r="P5" s="6" t="s">
        <v>192</v>
      </c>
      <c r="Q5" s="6" t="s">
        <v>193</v>
      </c>
      <c r="R5" s="6" t="s">
        <v>194</v>
      </c>
      <c r="S5" s="6"/>
    </row>
    <row r="6" customFormat="false" ht="15" hidden="false" customHeight="false" outlineLevel="0" collapsed="false">
      <c r="A6" s="6" t="s">
        <v>198</v>
      </c>
      <c r="B6" s="6" t="s">
        <v>51</v>
      </c>
      <c r="C6" s="6" t="s">
        <v>98</v>
      </c>
      <c r="D6" s="6" t="s">
        <v>140</v>
      </c>
      <c r="E6" s="6" t="n">
        <v>5</v>
      </c>
      <c r="F6" s="7" t="n">
        <v>4.4</v>
      </c>
      <c r="G6" s="7" t="n">
        <v>0</v>
      </c>
      <c r="H6" s="7" t="n">
        <v>3</v>
      </c>
      <c r="I6" s="7" t="n">
        <v>0.6</v>
      </c>
      <c r="J6" s="7" t="n">
        <v>1.2</v>
      </c>
      <c r="K6" s="7" t="n">
        <v>2</v>
      </c>
      <c r="L6" s="6" t="n">
        <v>42</v>
      </c>
      <c r="M6" s="6" t="n">
        <v>20</v>
      </c>
      <c r="N6" s="7" t="n">
        <v>8.6</v>
      </c>
      <c r="O6" s="6" t="s">
        <v>191</v>
      </c>
      <c r="P6" s="6" t="s">
        <v>192</v>
      </c>
      <c r="Q6" s="6" t="s">
        <v>193</v>
      </c>
      <c r="R6" s="6" t="s">
        <v>194</v>
      </c>
      <c r="S6" s="6"/>
    </row>
    <row r="7" customFormat="false" ht="15" hidden="false" customHeight="false" outlineLevel="0" collapsed="false">
      <c r="A7" s="6" t="s">
        <v>199</v>
      </c>
      <c r="B7" s="6" t="s">
        <v>51</v>
      </c>
      <c r="C7" s="6" t="s">
        <v>98</v>
      </c>
      <c r="D7" s="6" t="s">
        <v>140</v>
      </c>
      <c r="E7" s="6" t="n">
        <v>6</v>
      </c>
      <c r="F7" s="7" t="n">
        <v>5</v>
      </c>
      <c r="G7" s="7" t="n">
        <v>0</v>
      </c>
      <c r="H7" s="7" t="n">
        <v>3</v>
      </c>
      <c r="I7" s="7" t="n">
        <v>0.6</v>
      </c>
      <c r="J7" s="7" t="n">
        <v>1.2</v>
      </c>
      <c r="K7" s="7" t="n">
        <v>2</v>
      </c>
      <c r="L7" s="6" t="n">
        <v>42</v>
      </c>
      <c r="M7" s="6" t="n">
        <v>20</v>
      </c>
      <c r="N7" s="7" t="n">
        <v>8.6</v>
      </c>
      <c r="O7" s="6" t="s">
        <v>191</v>
      </c>
      <c r="P7" s="6" t="s">
        <v>192</v>
      </c>
      <c r="Q7" s="6" t="s">
        <v>193</v>
      </c>
      <c r="R7" s="6" t="s">
        <v>194</v>
      </c>
      <c r="S7" s="6"/>
    </row>
    <row r="8" customFormat="false" ht="15" hidden="false" customHeight="false" outlineLevel="0" collapsed="false">
      <c r="A8" s="6" t="s">
        <v>200</v>
      </c>
      <c r="B8" s="6" t="s">
        <v>51</v>
      </c>
      <c r="C8" s="6" t="s">
        <v>98</v>
      </c>
      <c r="D8" s="6" t="s">
        <v>140</v>
      </c>
      <c r="E8" s="6" t="n">
        <v>7</v>
      </c>
      <c r="F8" s="7" t="n">
        <v>5.6</v>
      </c>
      <c r="G8" s="7" t="n">
        <v>0</v>
      </c>
      <c r="H8" s="7" t="n">
        <v>3</v>
      </c>
      <c r="I8" s="7" t="n">
        <v>0.6</v>
      </c>
      <c r="J8" s="7" t="n">
        <v>1.2</v>
      </c>
      <c r="K8" s="7" t="n">
        <v>2</v>
      </c>
      <c r="L8" s="6" t="n">
        <v>42</v>
      </c>
      <c r="M8" s="6" t="n">
        <v>20</v>
      </c>
      <c r="N8" s="7" t="n">
        <v>8.6</v>
      </c>
      <c r="O8" s="6" t="s">
        <v>191</v>
      </c>
      <c r="P8" s="6" t="s">
        <v>192</v>
      </c>
      <c r="Q8" s="6" t="s">
        <v>193</v>
      </c>
      <c r="R8" s="6" t="s">
        <v>194</v>
      </c>
      <c r="S8" s="6"/>
    </row>
    <row r="9" customFormat="false" ht="15" hidden="false" customHeight="false" outlineLevel="0" collapsed="false">
      <c r="A9" s="6" t="s">
        <v>201</v>
      </c>
      <c r="B9" s="6" t="s">
        <v>51</v>
      </c>
      <c r="C9" s="6" t="s">
        <v>98</v>
      </c>
      <c r="D9" s="6" t="s">
        <v>140</v>
      </c>
      <c r="E9" s="6" t="n">
        <v>8</v>
      </c>
      <c r="F9" s="7" t="n">
        <v>6.2</v>
      </c>
      <c r="G9" s="7" t="n">
        <v>0</v>
      </c>
      <c r="H9" s="7" t="n">
        <v>3</v>
      </c>
      <c r="I9" s="7" t="n">
        <v>0.6</v>
      </c>
      <c r="J9" s="7" t="n">
        <v>1.2</v>
      </c>
      <c r="K9" s="7" t="n">
        <v>2</v>
      </c>
      <c r="L9" s="6" t="n">
        <v>42</v>
      </c>
      <c r="M9" s="6" t="n">
        <v>20</v>
      </c>
      <c r="N9" s="7" t="n">
        <v>8.6</v>
      </c>
      <c r="O9" s="6" t="s">
        <v>191</v>
      </c>
      <c r="P9" s="6" t="s">
        <v>192</v>
      </c>
      <c r="Q9" s="6" t="s">
        <v>193</v>
      </c>
      <c r="R9" s="6" t="s">
        <v>194</v>
      </c>
      <c r="S9" s="6"/>
    </row>
    <row r="10" customFormat="false" ht="15" hidden="false" customHeight="false" outlineLevel="0" collapsed="false">
      <c r="A10" s="6" t="s">
        <v>202</v>
      </c>
      <c r="B10" s="6" t="s">
        <v>51</v>
      </c>
      <c r="C10" s="6" t="s">
        <v>98</v>
      </c>
      <c r="D10" s="6" t="s">
        <v>140</v>
      </c>
      <c r="E10" s="6" t="n">
        <v>9</v>
      </c>
      <c r="F10" s="7" t="n">
        <v>6.8</v>
      </c>
      <c r="G10" s="7" t="n">
        <v>0</v>
      </c>
      <c r="H10" s="7" t="n">
        <v>3</v>
      </c>
      <c r="I10" s="7" t="n">
        <v>0.6</v>
      </c>
      <c r="J10" s="7" t="n">
        <v>1.2</v>
      </c>
      <c r="K10" s="7" t="n">
        <v>2</v>
      </c>
      <c r="L10" s="6" t="n">
        <v>42</v>
      </c>
      <c r="M10" s="6" t="n">
        <v>20</v>
      </c>
      <c r="N10" s="7" t="n">
        <v>8.6</v>
      </c>
      <c r="O10" s="6" t="s">
        <v>191</v>
      </c>
      <c r="P10" s="6" t="s">
        <v>192</v>
      </c>
      <c r="Q10" s="6" t="s">
        <v>193</v>
      </c>
      <c r="R10" s="6" t="s">
        <v>194</v>
      </c>
      <c r="S10" s="6"/>
    </row>
    <row r="11" customFormat="false" ht="15" hidden="false" customHeight="false" outlineLevel="0" collapsed="false">
      <c r="A11" s="6" t="s">
        <v>203</v>
      </c>
      <c r="B11" s="6" t="s">
        <v>51</v>
      </c>
      <c r="C11" s="6" t="s">
        <v>98</v>
      </c>
      <c r="D11" s="6" t="s">
        <v>140</v>
      </c>
      <c r="E11" s="6" t="n">
        <v>10</v>
      </c>
      <c r="F11" s="7" t="n">
        <v>7.4</v>
      </c>
      <c r="G11" s="7" t="n">
        <v>0</v>
      </c>
      <c r="H11" s="7" t="n">
        <v>3</v>
      </c>
      <c r="I11" s="7" t="n">
        <v>0.6</v>
      </c>
      <c r="J11" s="7" t="n">
        <v>1.2</v>
      </c>
      <c r="K11" s="7" t="n">
        <v>2</v>
      </c>
      <c r="L11" s="6" t="n">
        <v>42</v>
      </c>
      <c r="M11" s="6" t="n">
        <v>20</v>
      </c>
      <c r="N11" s="7" t="n">
        <v>8.6</v>
      </c>
      <c r="O11" s="6" t="s">
        <v>191</v>
      </c>
      <c r="P11" s="6" t="s">
        <v>192</v>
      </c>
      <c r="Q11" s="6" t="s">
        <v>193</v>
      </c>
      <c r="R11" s="6" t="s">
        <v>194</v>
      </c>
      <c r="S11" s="6"/>
    </row>
    <row r="12" customFormat="false" ht="15" hidden="false" customHeight="false" outlineLevel="0" collapsed="false">
      <c r="A12" s="6" t="s">
        <v>204</v>
      </c>
      <c r="B12" s="6" t="s">
        <v>51</v>
      </c>
      <c r="C12" s="6" t="s">
        <v>98</v>
      </c>
      <c r="D12" s="6" t="s">
        <v>140</v>
      </c>
      <c r="E12" s="6" t="n">
        <v>11</v>
      </c>
      <c r="F12" s="7" t="n">
        <v>8</v>
      </c>
      <c r="G12" s="7" t="n">
        <v>0</v>
      </c>
      <c r="H12" s="7" t="n">
        <v>3</v>
      </c>
      <c r="I12" s="7" t="n">
        <v>0.6</v>
      </c>
      <c r="J12" s="7" t="n">
        <v>1.2</v>
      </c>
      <c r="K12" s="7" t="n">
        <v>2</v>
      </c>
      <c r="L12" s="6" t="n">
        <v>42</v>
      </c>
      <c r="M12" s="6" t="n">
        <v>20</v>
      </c>
      <c r="N12" s="7" t="n">
        <v>8.6</v>
      </c>
      <c r="O12" s="6" t="s">
        <v>191</v>
      </c>
      <c r="P12" s="6" t="s">
        <v>192</v>
      </c>
      <c r="Q12" s="6" t="s">
        <v>205</v>
      </c>
      <c r="R12" s="6" t="s">
        <v>206</v>
      </c>
      <c r="S12" s="6"/>
    </row>
    <row r="13" customFormat="false" ht="15" hidden="false" customHeight="false" outlineLevel="0" collapsed="false">
      <c r="A13" s="6" t="s">
        <v>207</v>
      </c>
      <c r="B13" s="6" t="s">
        <v>51</v>
      </c>
      <c r="C13" s="6" t="s">
        <v>98</v>
      </c>
      <c r="D13" s="6" t="s">
        <v>140</v>
      </c>
      <c r="E13" s="6" t="n">
        <v>12</v>
      </c>
      <c r="F13" s="7" t="n">
        <v>8.6</v>
      </c>
      <c r="G13" s="7" t="n">
        <v>0</v>
      </c>
      <c r="H13" s="7" t="n">
        <v>3</v>
      </c>
      <c r="I13" s="7" t="n">
        <v>0.6</v>
      </c>
      <c r="J13" s="7" t="n">
        <v>1.2</v>
      </c>
      <c r="K13" s="7" t="n">
        <v>2</v>
      </c>
      <c r="L13" s="6" t="n">
        <v>42</v>
      </c>
      <c r="M13" s="6" t="n">
        <v>20</v>
      </c>
      <c r="N13" s="7" t="n">
        <v>8.6</v>
      </c>
      <c r="O13" s="6" t="s">
        <v>191</v>
      </c>
      <c r="P13" s="6" t="s">
        <v>192</v>
      </c>
      <c r="Q13" s="6" t="s">
        <v>205</v>
      </c>
      <c r="R13" s="6" t="s">
        <v>206</v>
      </c>
      <c r="S13" s="6"/>
    </row>
    <row r="14" customFormat="false" ht="15" hidden="false" customHeight="false" outlineLevel="0" collapsed="false">
      <c r="A14" s="6" t="s">
        <v>208</v>
      </c>
      <c r="B14" s="6" t="s">
        <v>51</v>
      </c>
      <c r="C14" s="6" t="s">
        <v>98</v>
      </c>
      <c r="D14" s="6" t="s">
        <v>140</v>
      </c>
      <c r="E14" s="6" t="n">
        <v>13</v>
      </c>
      <c r="F14" s="7" t="n">
        <v>9.2</v>
      </c>
      <c r="G14" s="7" t="n">
        <v>0</v>
      </c>
      <c r="H14" s="7" t="n">
        <v>3</v>
      </c>
      <c r="I14" s="7" t="n">
        <v>0.6</v>
      </c>
      <c r="J14" s="7" t="n">
        <v>1.2</v>
      </c>
      <c r="K14" s="7" t="n">
        <v>2</v>
      </c>
      <c r="L14" s="6" t="n">
        <v>42</v>
      </c>
      <c r="M14" s="6" t="n">
        <v>20</v>
      </c>
      <c r="N14" s="7" t="n">
        <v>8.6</v>
      </c>
      <c r="O14" s="6" t="s">
        <v>191</v>
      </c>
      <c r="P14" s="6" t="s">
        <v>192</v>
      </c>
      <c r="Q14" s="6" t="s">
        <v>205</v>
      </c>
      <c r="R14" s="6" t="s">
        <v>206</v>
      </c>
      <c r="S14" s="6"/>
    </row>
    <row r="15" customFormat="false" ht="15" hidden="false" customHeight="false" outlineLevel="0" collapsed="false">
      <c r="A15" s="6" t="s">
        <v>209</v>
      </c>
      <c r="B15" s="6" t="s">
        <v>51</v>
      </c>
      <c r="C15" s="6" t="s">
        <v>98</v>
      </c>
      <c r="D15" s="6" t="s">
        <v>140</v>
      </c>
      <c r="E15" s="6" t="n">
        <v>14</v>
      </c>
      <c r="F15" s="7" t="n">
        <v>9.8</v>
      </c>
      <c r="G15" s="7" t="n">
        <v>0</v>
      </c>
      <c r="H15" s="7" t="n">
        <v>3</v>
      </c>
      <c r="I15" s="7" t="n">
        <v>0.6</v>
      </c>
      <c r="J15" s="7" t="n">
        <v>1.2</v>
      </c>
      <c r="K15" s="7" t="n">
        <v>2</v>
      </c>
      <c r="L15" s="6" t="n">
        <v>42</v>
      </c>
      <c r="M15" s="6" t="n">
        <v>20</v>
      </c>
      <c r="N15" s="7" t="n">
        <v>8.6</v>
      </c>
      <c r="O15" s="6" t="s">
        <v>191</v>
      </c>
      <c r="P15" s="6" t="s">
        <v>192</v>
      </c>
      <c r="Q15" s="6" t="s">
        <v>205</v>
      </c>
      <c r="R15" s="6" t="s">
        <v>206</v>
      </c>
      <c r="S15" s="6"/>
    </row>
    <row r="16" customFormat="false" ht="15" hidden="false" customHeight="false" outlineLevel="0" collapsed="false">
      <c r="A16" s="6" t="s">
        <v>210</v>
      </c>
      <c r="B16" s="6" t="s">
        <v>51</v>
      </c>
      <c r="C16" s="6" t="s">
        <v>98</v>
      </c>
      <c r="D16" s="6" t="s">
        <v>140</v>
      </c>
      <c r="E16" s="6" t="n">
        <v>15</v>
      </c>
      <c r="F16" s="7" t="n">
        <v>10.4</v>
      </c>
      <c r="G16" s="7" t="n">
        <v>0</v>
      </c>
      <c r="H16" s="7" t="n">
        <v>3</v>
      </c>
      <c r="I16" s="7" t="n">
        <v>0.6</v>
      </c>
      <c r="J16" s="7" t="n">
        <v>1.2</v>
      </c>
      <c r="K16" s="7" t="n">
        <v>2</v>
      </c>
      <c r="L16" s="6" t="n">
        <v>42</v>
      </c>
      <c r="M16" s="6" t="n">
        <v>20</v>
      </c>
      <c r="N16" s="7" t="n">
        <v>8.6</v>
      </c>
      <c r="O16" s="6" t="s">
        <v>191</v>
      </c>
      <c r="P16" s="6" t="s">
        <v>192</v>
      </c>
      <c r="Q16" s="6" t="s">
        <v>205</v>
      </c>
      <c r="R16" s="6" t="s">
        <v>206</v>
      </c>
      <c r="S16" s="6"/>
    </row>
    <row r="17" customFormat="false" ht="15" hidden="false" customHeight="false" outlineLevel="0" collapsed="false">
      <c r="A17" s="6" t="s">
        <v>211</v>
      </c>
      <c r="B17" s="6" t="s">
        <v>51</v>
      </c>
      <c r="C17" s="6" t="s">
        <v>98</v>
      </c>
      <c r="D17" s="6" t="s">
        <v>140</v>
      </c>
      <c r="E17" s="6" t="n">
        <v>16</v>
      </c>
      <c r="F17" s="7" t="n">
        <v>11</v>
      </c>
      <c r="G17" s="7" t="n">
        <v>0</v>
      </c>
      <c r="H17" s="7" t="n">
        <v>3</v>
      </c>
      <c r="I17" s="7" t="n">
        <v>0.6</v>
      </c>
      <c r="J17" s="7" t="n">
        <v>1.2</v>
      </c>
      <c r="K17" s="7" t="n">
        <v>2</v>
      </c>
      <c r="L17" s="6" t="n">
        <v>42</v>
      </c>
      <c r="M17" s="6" t="n">
        <v>20</v>
      </c>
      <c r="N17" s="7" t="n">
        <v>8.6</v>
      </c>
      <c r="O17" s="6" t="s">
        <v>191</v>
      </c>
      <c r="P17" s="6" t="s">
        <v>192</v>
      </c>
      <c r="Q17" s="6" t="s">
        <v>205</v>
      </c>
      <c r="R17" s="6" t="s">
        <v>206</v>
      </c>
      <c r="S17" s="6"/>
    </row>
    <row r="18" customFormat="false" ht="15" hidden="false" customHeight="false" outlineLevel="0" collapsed="false">
      <c r="A18" s="6" t="s">
        <v>212</v>
      </c>
      <c r="B18" s="6" t="s">
        <v>51</v>
      </c>
      <c r="C18" s="6" t="s">
        <v>98</v>
      </c>
      <c r="D18" s="6" t="s">
        <v>140</v>
      </c>
      <c r="E18" s="6" t="n">
        <v>17</v>
      </c>
      <c r="F18" s="7" t="n">
        <v>11.6</v>
      </c>
      <c r="G18" s="7" t="n">
        <v>0</v>
      </c>
      <c r="H18" s="7" t="n">
        <v>3</v>
      </c>
      <c r="I18" s="7" t="n">
        <v>0.6</v>
      </c>
      <c r="J18" s="7" t="n">
        <v>1.2</v>
      </c>
      <c r="K18" s="7" t="n">
        <v>2</v>
      </c>
      <c r="L18" s="6" t="n">
        <v>42</v>
      </c>
      <c r="M18" s="6" t="n">
        <v>20</v>
      </c>
      <c r="N18" s="7" t="n">
        <v>8.6</v>
      </c>
      <c r="O18" s="6" t="s">
        <v>191</v>
      </c>
      <c r="P18" s="6" t="s">
        <v>192</v>
      </c>
      <c r="Q18" s="6" t="s">
        <v>205</v>
      </c>
      <c r="R18" s="6" t="s">
        <v>206</v>
      </c>
      <c r="S18" s="6"/>
    </row>
    <row r="19" customFormat="false" ht="15" hidden="false" customHeight="false" outlineLevel="0" collapsed="false">
      <c r="A19" s="6" t="s">
        <v>213</v>
      </c>
      <c r="B19" s="6" t="s">
        <v>51</v>
      </c>
      <c r="C19" s="6" t="s">
        <v>98</v>
      </c>
      <c r="D19" s="6" t="s">
        <v>140</v>
      </c>
      <c r="E19" s="6" t="n">
        <v>18</v>
      </c>
      <c r="F19" s="7" t="n">
        <v>12.2</v>
      </c>
      <c r="G19" s="7" t="n">
        <v>0</v>
      </c>
      <c r="H19" s="7" t="n">
        <v>3</v>
      </c>
      <c r="I19" s="7" t="n">
        <v>0.6</v>
      </c>
      <c r="J19" s="7" t="n">
        <v>1.2</v>
      </c>
      <c r="K19" s="7" t="n">
        <v>2</v>
      </c>
      <c r="L19" s="6" t="n">
        <v>42</v>
      </c>
      <c r="M19" s="6" t="n">
        <v>20</v>
      </c>
      <c r="N19" s="7" t="n">
        <v>8.8</v>
      </c>
      <c r="O19" s="6" t="s">
        <v>191</v>
      </c>
      <c r="P19" s="6" t="s">
        <v>192</v>
      </c>
      <c r="Q19" s="6" t="s">
        <v>205</v>
      </c>
      <c r="R19" s="6" t="s">
        <v>206</v>
      </c>
      <c r="S19" s="6"/>
    </row>
    <row r="20" customFormat="false" ht="15" hidden="false" customHeight="false" outlineLevel="0" collapsed="false">
      <c r="A20" s="6" t="s">
        <v>214</v>
      </c>
      <c r="B20" s="6" t="s">
        <v>51</v>
      </c>
      <c r="C20" s="6" t="s">
        <v>98</v>
      </c>
      <c r="D20" s="6" t="s">
        <v>140</v>
      </c>
      <c r="E20" s="6" t="n">
        <v>19</v>
      </c>
      <c r="F20" s="7" t="n">
        <v>12.8</v>
      </c>
      <c r="G20" s="7" t="n">
        <v>0</v>
      </c>
      <c r="H20" s="7" t="n">
        <v>3</v>
      </c>
      <c r="I20" s="7" t="n">
        <v>0.6</v>
      </c>
      <c r="J20" s="7" t="n">
        <v>1.2</v>
      </c>
      <c r="K20" s="7" t="n">
        <v>2</v>
      </c>
      <c r="L20" s="6" t="n">
        <v>42</v>
      </c>
      <c r="M20" s="6" t="n">
        <v>20</v>
      </c>
      <c r="N20" s="7" t="n">
        <v>0</v>
      </c>
      <c r="O20" s="6" t="s">
        <v>215</v>
      </c>
      <c r="P20" s="6"/>
      <c r="Q20" s="6" t="s">
        <v>205</v>
      </c>
      <c r="R20" s="6" t="s">
        <v>206</v>
      </c>
      <c r="S20" s="6"/>
    </row>
    <row r="21" customFormat="false" ht="15" hidden="false" customHeight="false" outlineLevel="0" collapsed="false">
      <c r="A21" s="6" t="s">
        <v>216</v>
      </c>
      <c r="B21" s="6" t="s">
        <v>51</v>
      </c>
      <c r="C21" s="6" t="s">
        <v>98</v>
      </c>
      <c r="D21" s="6" t="s">
        <v>140</v>
      </c>
      <c r="E21" s="6" t="n">
        <v>20</v>
      </c>
      <c r="F21" s="7" t="n">
        <v>13.4</v>
      </c>
      <c r="G21" s="7" t="n">
        <v>0</v>
      </c>
      <c r="H21" s="7" t="n">
        <v>3</v>
      </c>
      <c r="I21" s="7" t="n">
        <v>0.6</v>
      </c>
      <c r="J21" s="7" t="n">
        <v>1.2</v>
      </c>
      <c r="K21" s="7" t="n">
        <v>2</v>
      </c>
      <c r="L21" s="6" t="n">
        <v>42</v>
      </c>
      <c r="M21" s="6" t="n">
        <v>20</v>
      </c>
      <c r="N21" s="7" t="n">
        <v>0</v>
      </c>
      <c r="O21" s="6" t="s">
        <v>215</v>
      </c>
      <c r="P21" s="6"/>
      <c r="Q21" s="6" t="s">
        <v>205</v>
      </c>
      <c r="R21" s="6" t="s">
        <v>206</v>
      </c>
      <c r="S21" s="6"/>
    </row>
    <row r="22" customFormat="false" ht="15" hidden="false" customHeight="false" outlineLevel="0" collapsed="false">
      <c r="A22" s="6" t="s">
        <v>217</v>
      </c>
      <c r="B22" s="6" t="s">
        <v>51</v>
      </c>
      <c r="C22" s="6" t="s">
        <v>98</v>
      </c>
      <c r="D22" s="6" t="s">
        <v>142</v>
      </c>
      <c r="E22" s="6" t="n">
        <v>1</v>
      </c>
      <c r="F22" s="7" t="n">
        <v>2</v>
      </c>
      <c r="G22" s="7" t="n">
        <v>0</v>
      </c>
      <c r="H22" s="7" t="n">
        <v>5.4</v>
      </c>
      <c r="I22" s="7" t="n">
        <v>0.6</v>
      </c>
      <c r="J22" s="7" t="n">
        <v>1.2</v>
      </c>
      <c r="K22" s="7" t="n">
        <v>2</v>
      </c>
      <c r="L22" s="6" t="n">
        <v>42</v>
      </c>
      <c r="M22" s="6" t="n">
        <v>20</v>
      </c>
      <c r="N22" s="7" t="n">
        <v>9.5</v>
      </c>
      <c r="O22" s="6" t="s">
        <v>191</v>
      </c>
      <c r="P22" s="6" t="s">
        <v>192</v>
      </c>
      <c r="Q22" s="6" t="s">
        <v>218</v>
      </c>
      <c r="R22" s="6" t="s">
        <v>219</v>
      </c>
      <c r="S22" s="6"/>
    </row>
    <row r="23" customFormat="false" ht="15" hidden="false" customHeight="false" outlineLevel="0" collapsed="false">
      <c r="A23" s="6" t="s">
        <v>220</v>
      </c>
      <c r="B23" s="6" t="s">
        <v>51</v>
      </c>
      <c r="C23" s="6" t="s">
        <v>98</v>
      </c>
      <c r="D23" s="6" t="s">
        <v>142</v>
      </c>
      <c r="E23" s="6" t="n">
        <v>2</v>
      </c>
      <c r="F23" s="7" t="n">
        <v>2.6</v>
      </c>
      <c r="G23" s="7" t="n">
        <v>0</v>
      </c>
      <c r="H23" s="7" t="n">
        <v>5.4</v>
      </c>
      <c r="I23" s="7" t="n">
        <v>0.6</v>
      </c>
      <c r="J23" s="7" t="n">
        <v>1.2</v>
      </c>
      <c r="K23" s="7" t="n">
        <v>2</v>
      </c>
      <c r="L23" s="6" t="n">
        <v>42</v>
      </c>
      <c r="M23" s="6" t="n">
        <v>20</v>
      </c>
      <c r="N23" s="7" t="n">
        <v>9.5</v>
      </c>
      <c r="O23" s="6" t="s">
        <v>191</v>
      </c>
      <c r="P23" s="6" t="s">
        <v>192</v>
      </c>
      <c r="Q23" s="6" t="s">
        <v>218</v>
      </c>
      <c r="R23" s="6" t="s">
        <v>219</v>
      </c>
      <c r="S23" s="6"/>
    </row>
    <row r="24" customFormat="false" ht="15" hidden="false" customHeight="false" outlineLevel="0" collapsed="false">
      <c r="A24" s="6" t="s">
        <v>221</v>
      </c>
      <c r="B24" s="6" t="s">
        <v>51</v>
      </c>
      <c r="C24" s="6" t="s">
        <v>98</v>
      </c>
      <c r="D24" s="6" t="s">
        <v>142</v>
      </c>
      <c r="E24" s="6" t="n">
        <v>3</v>
      </c>
      <c r="F24" s="7" t="n">
        <v>3.2</v>
      </c>
      <c r="G24" s="7" t="n">
        <v>0</v>
      </c>
      <c r="H24" s="7" t="n">
        <v>5.4</v>
      </c>
      <c r="I24" s="7" t="n">
        <v>0.6</v>
      </c>
      <c r="J24" s="7" t="n">
        <v>1.2</v>
      </c>
      <c r="K24" s="7" t="n">
        <v>2</v>
      </c>
      <c r="L24" s="6" t="n">
        <v>42</v>
      </c>
      <c r="M24" s="6" t="n">
        <v>20</v>
      </c>
      <c r="N24" s="7" t="n">
        <v>9.5</v>
      </c>
      <c r="O24" s="6" t="s">
        <v>191</v>
      </c>
      <c r="P24" s="6" t="s">
        <v>192</v>
      </c>
      <c r="Q24" s="6" t="s">
        <v>218</v>
      </c>
      <c r="R24" s="6" t="s">
        <v>219</v>
      </c>
      <c r="S24" s="6"/>
    </row>
    <row r="25" customFormat="false" ht="15" hidden="false" customHeight="false" outlineLevel="0" collapsed="false">
      <c r="A25" s="6" t="s">
        <v>222</v>
      </c>
      <c r="B25" s="6" t="s">
        <v>51</v>
      </c>
      <c r="C25" s="6" t="s">
        <v>98</v>
      </c>
      <c r="D25" s="6" t="s">
        <v>142</v>
      </c>
      <c r="E25" s="6" t="n">
        <v>4</v>
      </c>
      <c r="F25" s="7" t="n">
        <v>3.8</v>
      </c>
      <c r="G25" s="7" t="n">
        <v>0</v>
      </c>
      <c r="H25" s="7" t="n">
        <v>5.4</v>
      </c>
      <c r="I25" s="7" t="n">
        <v>0.6</v>
      </c>
      <c r="J25" s="7" t="n">
        <v>1.2</v>
      </c>
      <c r="K25" s="7" t="n">
        <v>2</v>
      </c>
      <c r="L25" s="6" t="n">
        <v>42</v>
      </c>
      <c r="M25" s="6" t="n">
        <v>20</v>
      </c>
      <c r="N25" s="7" t="n">
        <v>9.5</v>
      </c>
      <c r="O25" s="6" t="s">
        <v>191</v>
      </c>
      <c r="P25" s="6" t="s">
        <v>192</v>
      </c>
      <c r="Q25" s="6" t="s">
        <v>218</v>
      </c>
      <c r="R25" s="6" t="s">
        <v>219</v>
      </c>
      <c r="S25" s="6"/>
    </row>
    <row r="26" customFormat="false" ht="15" hidden="false" customHeight="false" outlineLevel="0" collapsed="false">
      <c r="A26" s="6" t="s">
        <v>223</v>
      </c>
      <c r="B26" s="6" t="s">
        <v>51</v>
      </c>
      <c r="C26" s="6" t="s">
        <v>98</v>
      </c>
      <c r="D26" s="6" t="s">
        <v>142</v>
      </c>
      <c r="E26" s="6" t="n">
        <v>5</v>
      </c>
      <c r="F26" s="7" t="n">
        <v>4.4</v>
      </c>
      <c r="G26" s="7" t="n">
        <v>0</v>
      </c>
      <c r="H26" s="7" t="n">
        <v>5.4</v>
      </c>
      <c r="I26" s="7" t="n">
        <v>0.6</v>
      </c>
      <c r="J26" s="7" t="n">
        <v>1.2</v>
      </c>
      <c r="K26" s="7" t="n">
        <v>2</v>
      </c>
      <c r="L26" s="6" t="n">
        <v>42</v>
      </c>
      <c r="M26" s="6" t="n">
        <v>20</v>
      </c>
      <c r="N26" s="7" t="n">
        <v>9.5</v>
      </c>
      <c r="O26" s="6" t="s">
        <v>191</v>
      </c>
      <c r="P26" s="6" t="s">
        <v>192</v>
      </c>
      <c r="Q26" s="6" t="s">
        <v>218</v>
      </c>
      <c r="R26" s="6" t="s">
        <v>219</v>
      </c>
      <c r="S26" s="6"/>
    </row>
    <row r="27" customFormat="false" ht="15" hidden="false" customHeight="false" outlineLevel="0" collapsed="false">
      <c r="A27" s="6" t="s">
        <v>224</v>
      </c>
      <c r="B27" s="6" t="s">
        <v>51</v>
      </c>
      <c r="C27" s="6" t="s">
        <v>98</v>
      </c>
      <c r="D27" s="6" t="s">
        <v>142</v>
      </c>
      <c r="E27" s="6" t="n">
        <v>6</v>
      </c>
      <c r="F27" s="7" t="n">
        <v>5</v>
      </c>
      <c r="G27" s="7" t="n">
        <v>0</v>
      </c>
      <c r="H27" s="7" t="n">
        <v>5.4</v>
      </c>
      <c r="I27" s="7" t="n">
        <v>0.6</v>
      </c>
      <c r="J27" s="7" t="n">
        <v>1.2</v>
      </c>
      <c r="K27" s="7" t="n">
        <v>2</v>
      </c>
      <c r="L27" s="6" t="n">
        <v>42</v>
      </c>
      <c r="M27" s="6" t="n">
        <v>20</v>
      </c>
      <c r="N27" s="7" t="n">
        <v>9.5</v>
      </c>
      <c r="O27" s="6" t="s">
        <v>191</v>
      </c>
      <c r="P27" s="6" t="s">
        <v>192</v>
      </c>
      <c r="Q27" s="6" t="s">
        <v>218</v>
      </c>
      <c r="R27" s="6" t="s">
        <v>219</v>
      </c>
      <c r="S27" s="6"/>
    </row>
    <row r="28" customFormat="false" ht="15" hidden="false" customHeight="false" outlineLevel="0" collapsed="false">
      <c r="A28" s="6" t="s">
        <v>225</v>
      </c>
      <c r="B28" s="6" t="s">
        <v>51</v>
      </c>
      <c r="C28" s="6" t="s">
        <v>98</v>
      </c>
      <c r="D28" s="6" t="s">
        <v>142</v>
      </c>
      <c r="E28" s="6" t="n">
        <v>7</v>
      </c>
      <c r="F28" s="7" t="n">
        <v>5.6</v>
      </c>
      <c r="G28" s="7" t="n">
        <v>0</v>
      </c>
      <c r="H28" s="7" t="n">
        <v>5.4</v>
      </c>
      <c r="I28" s="7" t="n">
        <v>0.6</v>
      </c>
      <c r="J28" s="7" t="n">
        <v>1.2</v>
      </c>
      <c r="K28" s="7" t="n">
        <v>2</v>
      </c>
      <c r="L28" s="6" t="n">
        <v>42</v>
      </c>
      <c r="M28" s="6" t="n">
        <v>20</v>
      </c>
      <c r="N28" s="7" t="n">
        <v>9.5</v>
      </c>
      <c r="O28" s="6" t="s">
        <v>191</v>
      </c>
      <c r="P28" s="6" t="s">
        <v>192</v>
      </c>
      <c r="Q28" s="6" t="s">
        <v>218</v>
      </c>
      <c r="R28" s="6" t="s">
        <v>219</v>
      </c>
      <c r="S28" s="6"/>
    </row>
    <row r="29" customFormat="false" ht="15" hidden="false" customHeight="false" outlineLevel="0" collapsed="false">
      <c r="A29" s="6" t="s">
        <v>226</v>
      </c>
      <c r="B29" s="6" t="s">
        <v>51</v>
      </c>
      <c r="C29" s="6" t="s">
        <v>98</v>
      </c>
      <c r="D29" s="6" t="s">
        <v>142</v>
      </c>
      <c r="E29" s="6" t="n">
        <v>8</v>
      </c>
      <c r="F29" s="7" t="n">
        <v>6.2</v>
      </c>
      <c r="G29" s="7" t="n">
        <v>0</v>
      </c>
      <c r="H29" s="7" t="n">
        <v>5.4</v>
      </c>
      <c r="I29" s="7" t="n">
        <v>0.6</v>
      </c>
      <c r="J29" s="7" t="n">
        <v>1.2</v>
      </c>
      <c r="K29" s="7" t="n">
        <v>2</v>
      </c>
      <c r="L29" s="6" t="n">
        <v>42</v>
      </c>
      <c r="M29" s="6" t="n">
        <v>20</v>
      </c>
      <c r="N29" s="7" t="n">
        <v>9.5</v>
      </c>
      <c r="O29" s="6" t="s">
        <v>191</v>
      </c>
      <c r="P29" s="6" t="s">
        <v>192</v>
      </c>
      <c r="Q29" s="6" t="s">
        <v>218</v>
      </c>
      <c r="R29" s="6" t="s">
        <v>219</v>
      </c>
      <c r="S29" s="6"/>
    </row>
    <row r="30" customFormat="false" ht="15" hidden="false" customHeight="false" outlineLevel="0" collapsed="false">
      <c r="A30" s="6" t="s">
        <v>227</v>
      </c>
      <c r="B30" s="6" t="s">
        <v>51</v>
      </c>
      <c r="C30" s="6" t="s">
        <v>98</v>
      </c>
      <c r="D30" s="6" t="s">
        <v>142</v>
      </c>
      <c r="E30" s="6" t="n">
        <v>9</v>
      </c>
      <c r="F30" s="7" t="n">
        <v>6.8</v>
      </c>
      <c r="G30" s="7" t="n">
        <v>0</v>
      </c>
      <c r="H30" s="7" t="n">
        <v>5.4</v>
      </c>
      <c r="I30" s="7" t="n">
        <v>0.6</v>
      </c>
      <c r="J30" s="7" t="n">
        <v>1.2</v>
      </c>
      <c r="K30" s="7" t="n">
        <v>2</v>
      </c>
      <c r="L30" s="6" t="n">
        <v>42</v>
      </c>
      <c r="M30" s="6" t="n">
        <v>20</v>
      </c>
      <c r="N30" s="7" t="n">
        <v>9.5</v>
      </c>
      <c r="O30" s="6" t="s">
        <v>191</v>
      </c>
      <c r="P30" s="6" t="s">
        <v>192</v>
      </c>
      <c r="Q30" s="6" t="s">
        <v>218</v>
      </c>
      <c r="R30" s="6" t="s">
        <v>219</v>
      </c>
      <c r="S30" s="6"/>
    </row>
    <row r="31" customFormat="false" ht="15" hidden="false" customHeight="false" outlineLevel="0" collapsed="false">
      <c r="A31" s="6" t="s">
        <v>228</v>
      </c>
      <c r="B31" s="6" t="s">
        <v>51</v>
      </c>
      <c r="C31" s="6" t="s">
        <v>98</v>
      </c>
      <c r="D31" s="6" t="s">
        <v>142</v>
      </c>
      <c r="E31" s="6" t="n">
        <v>10</v>
      </c>
      <c r="F31" s="7" t="n">
        <v>7.4</v>
      </c>
      <c r="G31" s="7" t="n">
        <v>0</v>
      </c>
      <c r="H31" s="7" t="n">
        <v>5.4</v>
      </c>
      <c r="I31" s="7" t="n">
        <v>0.6</v>
      </c>
      <c r="J31" s="7" t="n">
        <v>1.2</v>
      </c>
      <c r="K31" s="7" t="n">
        <v>2</v>
      </c>
      <c r="L31" s="6" t="n">
        <v>42</v>
      </c>
      <c r="M31" s="6" t="n">
        <v>20</v>
      </c>
      <c r="N31" s="7" t="n">
        <v>9.5</v>
      </c>
      <c r="O31" s="6" t="s">
        <v>191</v>
      </c>
      <c r="P31" s="6" t="s">
        <v>192</v>
      </c>
      <c r="Q31" s="6" t="s">
        <v>218</v>
      </c>
      <c r="R31" s="6" t="s">
        <v>219</v>
      </c>
      <c r="S31" s="6"/>
    </row>
    <row r="32" customFormat="false" ht="15" hidden="false" customHeight="false" outlineLevel="0" collapsed="false">
      <c r="A32" s="6" t="s">
        <v>229</v>
      </c>
      <c r="B32" s="6" t="s">
        <v>51</v>
      </c>
      <c r="C32" s="6" t="s">
        <v>98</v>
      </c>
      <c r="D32" s="6" t="s">
        <v>142</v>
      </c>
      <c r="E32" s="6" t="n">
        <v>11</v>
      </c>
      <c r="F32" s="7" t="n">
        <v>8</v>
      </c>
      <c r="G32" s="7" t="n">
        <v>0</v>
      </c>
      <c r="H32" s="7" t="n">
        <v>5.4</v>
      </c>
      <c r="I32" s="7" t="n">
        <v>0.6</v>
      </c>
      <c r="J32" s="7" t="n">
        <v>1.2</v>
      </c>
      <c r="K32" s="7" t="n">
        <v>2</v>
      </c>
      <c r="L32" s="6" t="n">
        <v>42</v>
      </c>
      <c r="M32" s="6" t="n">
        <v>20</v>
      </c>
      <c r="N32" s="7" t="n">
        <v>9.5</v>
      </c>
      <c r="O32" s="6" t="s">
        <v>191</v>
      </c>
      <c r="P32" s="6" t="s">
        <v>192</v>
      </c>
      <c r="Q32" s="6" t="s">
        <v>230</v>
      </c>
      <c r="R32" s="6" t="s">
        <v>231</v>
      </c>
      <c r="S32" s="6"/>
    </row>
    <row r="33" customFormat="false" ht="15" hidden="false" customHeight="false" outlineLevel="0" collapsed="false">
      <c r="A33" s="6" t="s">
        <v>232</v>
      </c>
      <c r="B33" s="6" t="s">
        <v>51</v>
      </c>
      <c r="C33" s="6" t="s">
        <v>98</v>
      </c>
      <c r="D33" s="6" t="s">
        <v>142</v>
      </c>
      <c r="E33" s="6" t="n">
        <v>12</v>
      </c>
      <c r="F33" s="7" t="n">
        <v>8.6</v>
      </c>
      <c r="G33" s="7" t="n">
        <v>0</v>
      </c>
      <c r="H33" s="7" t="n">
        <v>5.4</v>
      </c>
      <c r="I33" s="7" t="n">
        <v>0.6</v>
      </c>
      <c r="J33" s="7" t="n">
        <v>1.2</v>
      </c>
      <c r="K33" s="7" t="n">
        <v>2</v>
      </c>
      <c r="L33" s="6" t="n">
        <v>42</v>
      </c>
      <c r="M33" s="6" t="n">
        <v>20</v>
      </c>
      <c r="N33" s="7" t="n">
        <v>9.5</v>
      </c>
      <c r="O33" s="6" t="s">
        <v>191</v>
      </c>
      <c r="P33" s="6" t="s">
        <v>192</v>
      </c>
      <c r="Q33" s="6" t="s">
        <v>230</v>
      </c>
      <c r="R33" s="6" t="s">
        <v>231</v>
      </c>
      <c r="S33" s="6"/>
    </row>
    <row r="34" customFormat="false" ht="15" hidden="false" customHeight="false" outlineLevel="0" collapsed="false">
      <c r="A34" s="6" t="s">
        <v>233</v>
      </c>
      <c r="B34" s="6" t="s">
        <v>51</v>
      </c>
      <c r="C34" s="6" t="s">
        <v>98</v>
      </c>
      <c r="D34" s="6" t="s">
        <v>142</v>
      </c>
      <c r="E34" s="6" t="n">
        <v>13</v>
      </c>
      <c r="F34" s="7" t="n">
        <v>9.2</v>
      </c>
      <c r="G34" s="7" t="n">
        <v>0</v>
      </c>
      <c r="H34" s="7" t="n">
        <v>5.4</v>
      </c>
      <c r="I34" s="7" t="n">
        <v>0.6</v>
      </c>
      <c r="J34" s="7" t="n">
        <v>1.2</v>
      </c>
      <c r="K34" s="7" t="n">
        <v>2</v>
      </c>
      <c r="L34" s="6" t="n">
        <v>42</v>
      </c>
      <c r="M34" s="6" t="n">
        <v>20</v>
      </c>
      <c r="N34" s="7" t="n">
        <v>9.5</v>
      </c>
      <c r="O34" s="6" t="s">
        <v>191</v>
      </c>
      <c r="P34" s="6" t="s">
        <v>192</v>
      </c>
      <c r="Q34" s="6" t="s">
        <v>230</v>
      </c>
      <c r="R34" s="6" t="s">
        <v>231</v>
      </c>
      <c r="S34" s="6"/>
    </row>
    <row r="35" customFormat="false" ht="15" hidden="false" customHeight="false" outlineLevel="0" collapsed="false">
      <c r="A35" s="6" t="s">
        <v>234</v>
      </c>
      <c r="B35" s="6" t="s">
        <v>51</v>
      </c>
      <c r="C35" s="6" t="s">
        <v>98</v>
      </c>
      <c r="D35" s="6" t="s">
        <v>142</v>
      </c>
      <c r="E35" s="6" t="n">
        <v>14</v>
      </c>
      <c r="F35" s="7" t="n">
        <v>9.8</v>
      </c>
      <c r="G35" s="7" t="n">
        <v>0</v>
      </c>
      <c r="H35" s="7" t="n">
        <v>5.4</v>
      </c>
      <c r="I35" s="7" t="n">
        <v>0.6</v>
      </c>
      <c r="J35" s="7" t="n">
        <v>1.2</v>
      </c>
      <c r="K35" s="7" t="n">
        <v>2</v>
      </c>
      <c r="L35" s="6" t="n">
        <v>42</v>
      </c>
      <c r="M35" s="6" t="n">
        <v>20</v>
      </c>
      <c r="N35" s="7" t="n">
        <v>9.5</v>
      </c>
      <c r="O35" s="6" t="s">
        <v>191</v>
      </c>
      <c r="P35" s="6" t="s">
        <v>192</v>
      </c>
      <c r="Q35" s="6" t="s">
        <v>230</v>
      </c>
      <c r="R35" s="6" t="s">
        <v>231</v>
      </c>
      <c r="S35" s="6"/>
    </row>
    <row r="36" customFormat="false" ht="15" hidden="false" customHeight="false" outlineLevel="0" collapsed="false">
      <c r="A36" s="6" t="s">
        <v>235</v>
      </c>
      <c r="B36" s="6" t="s">
        <v>51</v>
      </c>
      <c r="C36" s="6" t="s">
        <v>98</v>
      </c>
      <c r="D36" s="6" t="s">
        <v>142</v>
      </c>
      <c r="E36" s="6" t="n">
        <v>15</v>
      </c>
      <c r="F36" s="7" t="n">
        <v>10.4</v>
      </c>
      <c r="G36" s="7" t="n">
        <v>0</v>
      </c>
      <c r="H36" s="7" t="n">
        <v>5.4</v>
      </c>
      <c r="I36" s="7" t="n">
        <v>0.6</v>
      </c>
      <c r="J36" s="7" t="n">
        <v>1.2</v>
      </c>
      <c r="K36" s="7" t="n">
        <v>2</v>
      </c>
      <c r="L36" s="6" t="n">
        <v>42</v>
      </c>
      <c r="M36" s="6" t="n">
        <v>20</v>
      </c>
      <c r="N36" s="7" t="n">
        <v>9.5</v>
      </c>
      <c r="O36" s="6" t="s">
        <v>191</v>
      </c>
      <c r="P36" s="6" t="s">
        <v>192</v>
      </c>
      <c r="Q36" s="6" t="s">
        <v>230</v>
      </c>
      <c r="R36" s="6" t="s">
        <v>231</v>
      </c>
      <c r="S36" s="6"/>
    </row>
    <row r="37" customFormat="false" ht="15" hidden="false" customHeight="false" outlineLevel="0" collapsed="false">
      <c r="A37" s="6" t="s">
        <v>236</v>
      </c>
      <c r="B37" s="6" t="s">
        <v>51</v>
      </c>
      <c r="C37" s="6" t="s">
        <v>98</v>
      </c>
      <c r="D37" s="6" t="s">
        <v>142</v>
      </c>
      <c r="E37" s="6" t="n">
        <v>16</v>
      </c>
      <c r="F37" s="7" t="n">
        <v>11</v>
      </c>
      <c r="G37" s="7" t="n">
        <v>0</v>
      </c>
      <c r="H37" s="7" t="n">
        <v>5.4</v>
      </c>
      <c r="I37" s="7" t="n">
        <v>0.6</v>
      </c>
      <c r="J37" s="7" t="n">
        <v>1.2</v>
      </c>
      <c r="K37" s="7" t="n">
        <v>2</v>
      </c>
      <c r="L37" s="6" t="n">
        <v>42</v>
      </c>
      <c r="M37" s="6" t="n">
        <v>20</v>
      </c>
      <c r="N37" s="7" t="n">
        <v>9.5</v>
      </c>
      <c r="O37" s="6" t="s">
        <v>191</v>
      </c>
      <c r="P37" s="6" t="s">
        <v>192</v>
      </c>
      <c r="Q37" s="6" t="s">
        <v>230</v>
      </c>
      <c r="R37" s="6" t="s">
        <v>231</v>
      </c>
      <c r="S37" s="6"/>
    </row>
    <row r="38" customFormat="false" ht="15" hidden="false" customHeight="false" outlineLevel="0" collapsed="false">
      <c r="A38" s="6" t="s">
        <v>237</v>
      </c>
      <c r="B38" s="6" t="s">
        <v>51</v>
      </c>
      <c r="C38" s="6" t="s">
        <v>98</v>
      </c>
      <c r="D38" s="6" t="s">
        <v>142</v>
      </c>
      <c r="E38" s="6" t="n">
        <v>17</v>
      </c>
      <c r="F38" s="7" t="n">
        <v>11.6</v>
      </c>
      <c r="G38" s="7" t="n">
        <v>0</v>
      </c>
      <c r="H38" s="7" t="n">
        <v>5.4</v>
      </c>
      <c r="I38" s="7" t="n">
        <v>0.6</v>
      </c>
      <c r="J38" s="7" t="n">
        <v>1.2</v>
      </c>
      <c r="K38" s="7" t="n">
        <v>2</v>
      </c>
      <c r="L38" s="6" t="n">
        <v>42</v>
      </c>
      <c r="M38" s="6" t="n">
        <v>20</v>
      </c>
      <c r="N38" s="7" t="n">
        <v>10</v>
      </c>
      <c r="O38" s="6" t="s">
        <v>191</v>
      </c>
      <c r="P38" s="6" t="s">
        <v>192</v>
      </c>
      <c r="Q38" s="6" t="s">
        <v>230</v>
      </c>
      <c r="R38" s="6" t="s">
        <v>231</v>
      </c>
      <c r="S38" s="6"/>
    </row>
    <row r="39" customFormat="false" ht="15" hidden="false" customHeight="false" outlineLevel="0" collapsed="false">
      <c r="A39" s="6" t="s">
        <v>238</v>
      </c>
      <c r="B39" s="6" t="s">
        <v>51</v>
      </c>
      <c r="C39" s="6" t="s">
        <v>98</v>
      </c>
      <c r="D39" s="6" t="s">
        <v>142</v>
      </c>
      <c r="E39" s="6" t="n">
        <v>18</v>
      </c>
      <c r="F39" s="7" t="n">
        <v>12.2</v>
      </c>
      <c r="G39" s="7" t="n">
        <v>0</v>
      </c>
      <c r="H39" s="7" t="n">
        <v>5.4</v>
      </c>
      <c r="I39" s="7" t="n">
        <v>0.6</v>
      </c>
      <c r="J39" s="7" t="n">
        <v>1.2</v>
      </c>
      <c r="K39" s="7" t="n">
        <v>2</v>
      </c>
      <c r="L39" s="6" t="n">
        <v>42</v>
      </c>
      <c r="M39" s="6" t="n">
        <v>20</v>
      </c>
      <c r="N39" s="7" t="n">
        <v>0</v>
      </c>
      <c r="O39" s="6" t="s">
        <v>215</v>
      </c>
      <c r="P39" s="6"/>
      <c r="Q39" s="6" t="s">
        <v>230</v>
      </c>
      <c r="R39" s="6" t="s">
        <v>231</v>
      </c>
      <c r="S39" s="6"/>
    </row>
    <row r="40" customFormat="false" ht="15" hidden="false" customHeight="false" outlineLevel="0" collapsed="false">
      <c r="A40" s="6" t="s">
        <v>239</v>
      </c>
      <c r="B40" s="6" t="s">
        <v>51</v>
      </c>
      <c r="C40" s="6" t="s">
        <v>98</v>
      </c>
      <c r="D40" s="6" t="s">
        <v>142</v>
      </c>
      <c r="E40" s="6" t="n">
        <v>19</v>
      </c>
      <c r="F40" s="7" t="n">
        <v>12.8</v>
      </c>
      <c r="G40" s="7" t="n">
        <v>0</v>
      </c>
      <c r="H40" s="7" t="n">
        <v>5.4</v>
      </c>
      <c r="I40" s="7" t="n">
        <v>0.6</v>
      </c>
      <c r="J40" s="7" t="n">
        <v>1.2</v>
      </c>
      <c r="K40" s="7" t="n">
        <v>2</v>
      </c>
      <c r="L40" s="6" t="n">
        <v>42</v>
      </c>
      <c r="M40" s="6" t="n">
        <v>20</v>
      </c>
      <c r="N40" s="7" t="n">
        <v>0</v>
      </c>
      <c r="O40" s="6" t="s">
        <v>215</v>
      </c>
      <c r="P40" s="6"/>
      <c r="Q40" s="6" t="s">
        <v>230</v>
      </c>
      <c r="R40" s="6" t="s">
        <v>231</v>
      </c>
      <c r="S40" s="6"/>
    </row>
    <row r="41" customFormat="false" ht="15" hidden="false" customHeight="false" outlineLevel="0" collapsed="false">
      <c r="A41" s="6" t="s">
        <v>240</v>
      </c>
      <c r="B41" s="6" t="s">
        <v>51</v>
      </c>
      <c r="C41" s="6" t="s">
        <v>98</v>
      </c>
      <c r="D41" s="6" t="s">
        <v>142</v>
      </c>
      <c r="E41" s="6" t="n">
        <v>20</v>
      </c>
      <c r="F41" s="7" t="n">
        <v>13.4</v>
      </c>
      <c r="G41" s="7" t="n">
        <v>0</v>
      </c>
      <c r="H41" s="7" t="n">
        <v>5.4</v>
      </c>
      <c r="I41" s="7" t="n">
        <v>0.6</v>
      </c>
      <c r="J41" s="7" t="n">
        <v>1.2</v>
      </c>
      <c r="K41" s="7" t="n">
        <v>2</v>
      </c>
      <c r="L41" s="6" t="n">
        <v>42</v>
      </c>
      <c r="M41" s="6" t="n">
        <v>20</v>
      </c>
      <c r="N41" s="7" t="n">
        <v>0</v>
      </c>
      <c r="O41" s="6" t="s">
        <v>215</v>
      </c>
      <c r="P41" s="6"/>
      <c r="Q41" s="6" t="s">
        <v>230</v>
      </c>
      <c r="R41" s="6" t="s">
        <v>231</v>
      </c>
      <c r="S41" s="6"/>
    </row>
    <row r="42" customFormat="false" ht="15" hidden="false" customHeight="false" outlineLevel="0" collapsed="false">
      <c r="A42" s="6" t="s">
        <v>241</v>
      </c>
      <c r="B42" s="6" t="s">
        <v>51</v>
      </c>
      <c r="C42" s="6" t="s">
        <v>98</v>
      </c>
      <c r="D42" s="6" t="s">
        <v>143</v>
      </c>
      <c r="E42" s="6" t="n">
        <v>1</v>
      </c>
      <c r="F42" s="7" t="n">
        <v>2</v>
      </c>
      <c r="G42" s="7" t="n">
        <v>0</v>
      </c>
      <c r="H42" s="7" t="n">
        <v>7.8</v>
      </c>
      <c r="I42" s="7" t="n">
        <v>0.6</v>
      </c>
      <c r="J42" s="7" t="n">
        <v>1.2</v>
      </c>
      <c r="K42" s="7" t="n">
        <v>2</v>
      </c>
      <c r="L42" s="6" t="n">
        <v>42</v>
      </c>
      <c r="M42" s="6" t="n">
        <v>20</v>
      </c>
      <c r="N42" s="7" t="n">
        <v>9.2</v>
      </c>
      <c r="O42" s="6" t="s">
        <v>191</v>
      </c>
      <c r="P42" s="6" t="s">
        <v>242</v>
      </c>
      <c r="Q42" s="6" t="s">
        <v>243</v>
      </c>
      <c r="R42" s="6" t="s">
        <v>244</v>
      </c>
      <c r="S42" s="6"/>
    </row>
    <row r="43" customFormat="false" ht="15" hidden="false" customHeight="false" outlineLevel="0" collapsed="false">
      <c r="A43" s="6" t="s">
        <v>245</v>
      </c>
      <c r="B43" s="6" t="s">
        <v>51</v>
      </c>
      <c r="C43" s="6" t="s">
        <v>98</v>
      </c>
      <c r="D43" s="6" t="s">
        <v>143</v>
      </c>
      <c r="E43" s="6" t="n">
        <v>2</v>
      </c>
      <c r="F43" s="7" t="n">
        <v>2.6</v>
      </c>
      <c r="G43" s="7" t="n">
        <v>0</v>
      </c>
      <c r="H43" s="7" t="n">
        <v>7.8</v>
      </c>
      <c r="I43" s="7" t="n">
        <v>0.6</v>
      </c>
      <c r="J43" s="7" t="n">
        <v>1.2</v>
      </c>
      <c r="K43" s="7" t="n">
        <v>2</v>
      </c>
      <c r="L43" s="6" t="n">
        <v>42</v>
      </c>
      <c r="M43" s="6" t="n">
        <v>20</v>
      </c>
      <c r="N43" s="7" t="n">
        <v>9.2</v>
      </c>
      <c r="O43" s="6" t="s">
        <v>191</v>
      </c>
      <c r="P43" s="6" t="s">
        <v>242</v>
      </c>
      <c r="Q43" s="6" t="s">
        <v>243</v>
      </c>
      <c r="R43" s="6" t="s">
        <v>244</v>
      </c>
      <c r="S43" s="6"/>
    </row>
    <row r="44" customFormat="false" ht="15" hidden="false" customHeight="false" outlineLevel="0" collapsed="false">
      <c r="A44" s="6" t="s">
        <v>246</v>
      </c>
      <c r="B44" s="6" t="s">
        <v>51</v>
      </c>
      <c r="C44" s="6" t="s">
        <v>98</v>
      </c>
      <c r="D44" s="6" t="s">
        <v>143</v>
      </c>
      <c r="E44" s="6" t="n">
        <v>3</v>
      </c>
      <c r="F44" s="7" t="n">
        <v>3.2</v>
      </c>
      <c r="G44" s="7" t="n">
        <v>0</v>
      </c>
      <c r="H44" s="7" t="n">
        <v>7.8</v>
      </c>
      <c r="I44" s="7" t="n">
        <v>0.6</v>
      </c>
      <c r="J44" s="7" t="n">
        <v>1.2</v>
      </c>
      <c r="K44" s="7" t="n">
        <v>2</v>
      </c>
      <c r="L44" s="6" t="n">
        <v>42</v>
      </c>
      <c r="M44" s="6" t="n">
        <v>20</v>
      </c>
      <c r="N44" s="7" t="n">
        <v>9.2</v>
      </c>
      <c r="O44" s="6" t="s">
        <v>191</v>
      </c>
      <c r="P44" s="6" t="s">
        <v>242</v>
      </c>
      <c r="Q44" s="6" t="s">
        <v>243</v>
      </c>
      <c r="R44" s="6" t="s">
        <v>244</v>
      </c>
      <c r="S44" s="6"/>
    </row>
    <row r="45" customFormat="false" ht="15" hidden="false" customHeight="false" outlineLevel="0" collapsed="false">
      <c r="A45" s="6" t="s">
        <v>247</v>
      </c>
      <c r="B45" s="6" t="s">
        <v>51</v>
      </c>
      <c r="C45" s="6" t="s">
        <v>98</v>
      </c>
      <c r="D45" s="6" t="s">
        <v>143</v>
      </c>
      <c r="E45" s="6" t="n">
        <v>4</v>
      </c>
      <c r="F45" s="7" t="n">
        <v>3.8</v>
      </c>
      <c r="G45" s="7" t="n">
        <v>0</v>
      </c>
      <c r="H45" s="7" t="n">
        <v>7.8</v>
      </c>
      <c r="I45" s="7" t="n">
        <v>0.6</v>
      </c>
      <c r="J45" s="7" t="n">
        <v>1.2</v>
      </c>
      <c r="K45" s="7" t="n">
        <v>2</v>
      </c>
      <c r="L45" s="6" t="n">
        <v>42</v>
      </c>
      <c r="M45" s="6" t="n">
        <v>20</v>
      </c>
      <c r="N45" s="7" t="n">
        <v>9.2</v>
      </c>
      <c r="O45" s="6" t="s">
        <v>191</v>
      </c>
      <c r="P45" s="6" t="s">
        <v>242</v>
      </c>
      <c r="Q45" s="6" t="s">
        <v>243</v>
      </c>
      <c r="R45" s="6" t="s">
        <v>244</v>
      </c>
      <c r="S45" s="6"/>
    </row>
    <row r="46" customFormat="false" ht="15" hidden="false" customHeight="false" outlineLevel="0" collapsed="false">
      <c r="A46" s="6" t="s">
        <v>248</v>
      </c>
      <c r="B46" s="6" t="s">
        <v>51</v>
      </c>
      <c r="C46" s="6" t="s">
        <v>98</v>
      </c>
      <c r="D46" s="6" t="s">
        <v>143</v>
      </c>
      <c r="E46" s="6" t="n">
        <v>5</v>
      </c>
      <c r="F46" s="7" t="n">
        <v>4.4</v>
      </c>
      <c r="G46" s="7" t="n">
        <v>0</v>
      </c>
      <c r="H46" s="7" t="n">
        <v>7.8</v>
      </c>
      <c r="I46" s="7" t="n">
        <v>0.6</v>
      </c>
      <c r="J46" s="7" t="n">
        <v>1.2</v>
      </c>
      <c r="K46" s="7" t="n">
        <v>2</v>
      </c>
      <c r="L46" s="6" t="n">
        <v>42</v>
      </c>
      <c r="M46" s="6" t="n">
        <v>20</v>
      </c>
      <c r="N46" s="7" t="n">
        <v>9.2</v>
      </c>
      <c r="O46" s="6" t="s">
        <v>191</v>
      </c>
      <c r="P46" s="6" t="s">
        <v>242</v>
      </c>
      <c r="Q46" s="6" t="s">
        <v>243</v>
      </c>
      <c r="R46" s="6" t="s">
        <v>244</v>
      </c>
      <c r="S46" s="6"/>
    </row>
    <row r="47" customFormat="false" ht="15" hidden="false" customHeight="false" outlineLevel="0" collapsed="false">
      <c r="A47" s="6" t="s">
        <v>249</v>
      </c>
      <c r="B47" s="6" t="s">
        <v>51</v>
      </c>
      <c r="C47" s="6" t="s">
        <v>98</v>
      </c>
      <c r="D47" s="6" t="s">
        <v>143</v>
      </c>
      <c r="E47" s="6" t="n">
        <v>6</v>
      </c>
      <c r="F47" s="7" t="n">
        <v>5</v>
      </c>
      <c r="G47" s="7" t="n">
        <v>0</v>
      </c>
      <c r="H47" s="7" t="n">
        <v>7.8</v>
      </c>
      <c r="I47" s="7" t="n">
        <v>0.6</v>
      </c>
      <c r="J47" s="7" t="n">
        <v>1.2</v>
      </c>
      <c r="K47" s="7" t="n">
        <v>2</v>
      </c>
      <c r="L47" s="6" t="n">
        <v>42</v>
      </c>
      <c r="M47" s="6" t="n">
        <v>20</v>
      </c>
      <c r="N47" s="7" t="n">
        <v>9.2</v>
      </c>
      <c r="O47" s="6" t="s">
        <v>191</v>
      </c>
      <c r="P47" s="6" t="s">
        <v>242</v>
      </c>
      <c r="Q47" s="6" t="s">
        <v>243</v>
      </c>
      <c r="R47" s="6" t="s">
        <v>244</v>
      </c>
      <c r="S47" s="6"/>
    </row>
    <row r="48" customFormat="false" ht="15" hidden="false" customHeight="false" outlineLevel="0" collapsed="false">
      <c r="A48" s="6" t="s">
        <v>250</v>
      </c>
      <c r="B48" s="6" t="s">
        <v>51</v>
      </c>
      <c r="C48" s="6" t="s">
        <v>98</v>
      </c>
      <c r="D48" s="6" t="s">
        <v>143</v>
      </c>
      <c r="E48" s="6" t="n">
        <v>7</v>
      </c>
      <c r="F48" s="7" t="n">
        <v>5.6</v>
      </c>
      <c r="G48" s="7" t="n">
        <v>0</v>
      </c>
      <c r="H48" s="7" t="n">
        <v>7.8</v>
      </c>
      <c r="I48" s="7" t="n">
        <v>0.6</v>
      </c>
      <c r="J48" s="7" t="n">
        <v>1.2</v>
      </c>
      <c r="K48" s="7" t="n">
        <v>2</v>
      </c>
      <c r="L48" s="6" t="n">
        <v>42</v>
      </c>
      <c r="M48" s="6" t="n">
        <v>20</v>
      </c>
      <c r="N48" s="7" t="n">
        <v>9.2</v>
      </c>
      <c r="O48" s="6" t="s">
        <v>191</v>
      </c>
      <c r="P48" s="6" t="s">
        <v>242</v>
      </c>
      <c r="Q48" s="6" t="s">
        <v>243</v>
      </c>
      <c r="R48" s="6" t="s">
        <v>244</v>
      </c>
      <c r="S48" s="6"/>
    </row>
    <row r="49" customFormat="false" ht="15" hidden="false" customHeight="false" outlineLevel="0" collapsed="false">
      <c r="A49" s="6" t="s">
        <v>251</v>
      </c>
      <c r="B49" s="6" t="s">
        <v>51</v>
      </c>
      <c r="C49" s="6" t="s">
        <v>98</v>
      </c>
      <c r="D49" s="6" t="s">
        <v>143</v>
      </c>
      <c r="E49" s="6" t="n">
        <v>8</v>
      </c>
      <c r="F49" s="7" t="n">
        <v>6.2</v>
      </c>
      <c r="G49" s="7" t="n">
        <v>0</v>
      </c>
      <c r="H49" s="7" t="n">
        <v>7.8</v>
      </c>
      <c r="I49" s="7" t="n">
        <v>0.6</v>
      </c>
      <c r="J49" s="7" t="n">
        <v>1.2</v>
      </c>
      <c r="K49" s="7" t="n">
        <v>2</v>
      </c>
      <c r="L49" s="6" t="n">
        <v>42</v>
      </c>
      <c r="M49" s="6" t="n">
        <v>20</v>
      </c>
      <c r="N49" s="7" t="n">
        <v>9.2</v>
      </c>
      <c r="O49" s="6" t="s">
        <v>191</v>
      </c>
      <c r="P49" s="6" t="s">
        <v>242</v>
      </c>
      <c r="Q49" s="6" t="s">
        <v>243</v>
      </c>
      <c r="R49" s="6" t="s">
        <v>244</v>
      </c>
      <c r="S49" s="6"/>
    </row>
    <row r="50" customFormat="false" ht="15" hidden="false" customHeight="false" outlineLevel="0" collapsed="false">
      <c r="A50" s="6" t="s">
        <v>252</v>
      </c>
      <c r="B50" s="6" t="s">
        <v>51</v>
      </c>
      <c r="C50" s="6" t="s">
        <v>98</v>
      </c>
      <c r="D50" s="6" t="s">
        <v>143</v>
      </c>
      <c r="E50" s="6" t="n">
        <v>9</v>
      </c>
      <c r="F50" s="7" t="n">
        <v>6.8</v>
      </c>
      <c r="G50" s="7" t="n">
        <v>0</v>
      </c>
      <c r="H50" s="7" t="n">
        <v>7.8</v>
      </c>
      <c r="I50" s="7" t="n">
        <v>0.6</v>
      </c>
      <c r="J50" s="7" t="n">
        <v>1.2</v>
      </c>
      <c r="K50" s="7" t="n">
        <v>2</v>
      </c>
      <c r="L50" s="6" t="n">
        <v>42</v>
      </c>
      <c r="M50" s="6" t="n">
        <v>20</v>
      </c>
      <c r="N50" s="7" t="n">
        <v>9.2</v>
      </c>
      <c r="O50" s="6" t="s">
        <v>191</v>
      </c>
      <c r="P50" s="6" t="s">
        <v>242</v>
      </c>
      <c r="Q50" s="6" t="s">
        <v>243</v>
      </c>
      <c r="R50" s="6" t="s">
        <v>244</v>
      </c>
      <c r="S50" s="6"/>
    </row>
    <row r="51" customFormat="false" ht="15" hidden="false" customHeight="false" outlineLevel="0" collapsed="false">
      <c r="A51" s="6" t="s">
        <v>253</v>
      </c>
      <c r="B51" s="6" t="s">
        <v>51</v>
      </c>
      <c r="C51" s="6" t="s">
        <v>98</v>
      </c>
      <c r="D51" s="6" t="s">
        <v>143</v>
      </c>
      <c r="E51" s="6" t="n">
        <v>10</v>
      </c>
      <c r="F51" s="7" t="n">
        <v>7.4</v>
      </c>
      <c r="G51" s="7" t="n">
        <v>0</v>
      </c>
      <c r="H51" s="7" t="n">
        <v>7.8</v>
      </c>
      <c r="I51" s="7" t="n">
        <v>0.6</v>
      </c>
      <c r="J51" s="7" t="n">
        <v>1.2</v>
      </c>
      <c r="K51" s="7" t="n">
        <v>2</v>
      </c>
      <c r="L51" s="6" t="n">
        <v>42</v>
      </c>
      <c r="M51" s="6" t="n">
        <v>20</v>
      </c>
      <c r="N51" s="7" t="n">
        <v>9.2</v>
      </c>
      <c r="O51" s="6" t="s">
        <v>191</v>
      </c>
      <c r="P51" s="6" t="s">
        <v>242</v>
      </c>
      <c r="Q51" s="6" t="s">
        <v>243</v>
      </c>
      <c r="R51" s="6" t="s">
        <v>244</v>
      </c>
      <c r="S51" s="6"/>
    </row>
    <row r="52" customFormat="false" ht="15" hidden="false" customHeight="false" outlineLevel="0" collapsed="false">
      <c r="A52" s="6" t="s">
        <v>254</v>
      </c>
      <c r="B52" s="6" t="s">
        <v>51</v>
      </c>
      <c r="C52" s="6" t="s">
        <v>98</v>
      </c>
      <c r="D52" s="6" t="s">
        <v>143</v>
      </c>
      <c r="E52" s="6" t="n">
        <v>11</v>
      </c>
      <c r="F52" s="7" t="n">
        <v>8</v>
      </c>
      <c r="G52" s="7" t="n">
        <v>0</v>
      </c>
      <c r="H52" s="7" t="n">
        <v>7.8</v>
      </c>
      <c r="I52" s="7" t="n">
        <v>0.6</v>
      </c>
      <c r="J52" s="7" t="n">
        <v>1.2</v>
      </c>
      <c r="K52" s="7" t="n">
        <v>2</v>
      </c>
      <c r="L52" s="6" t="n">
        <v>42</v>
      </c>
      <c r="M52" s="6" t="n">
        <v>20</v>
      </c>
      <c r="N52" s="7" t="n">
        <v>9.2</v>
      </c>
      <c r="O52" s="6" t="s">
        <v>191</v>
      </c>
      <c r="P52" s="6" t="s">
        <v>242</v>
      </c>
      <c r="Q52" s="6" t="s">
        <v>255</v>
      </c>
      <c r="R52" s="6" t="s">
        <v>256</v>
      </c>
      <c r="S52" s="6"/>
    </row>
    <row r="53" customFormat="false" ht="15" hidden="false" customHeight="false" outlineLevel="0" collapsed="false">
      <c r="A53" s="6" t="s">
        <v>257</v>
      </c>
      <c r="B53" s="6" t="s">
        <v>51</v>
      </c>
      <c r="C53" s="6" t="s">
        <v>98</v>
      </c>
      <c r="D53" s="6" t="s">
        <v>143</v>
      </c>
      <c r="E53" s="6" t="n">
        <v>12</v>
      </c>
      <c r="F53" s="7" t="n">
        <v>8.6</v>
      </c>
      <c r="G53" s="7" t="n">
        <v>0</v>
      </c>
      <c r="H53" s="7" t="n">
        <v>7.8</v>
      </c>
      <c r="I53" s="7" t="n">
        <v>0.6</v>
      </c>
      <c r="J53" s="7" t="n">
        <v>1.2</v>
      </c>
      <c r="K53" s="7" t="n">
        <v>2</v>
      </c>
      <c r="L53" s="6" t="n">
        <v>42</v>
      </c>
      <c r="M53" s="6" t="n">
        <v>20</v>
      </c>
      <c r="N53" s="7" t="n">
        <v>9.2</v>
      </c>
      <c r="O53" s="6" t="s">
        <v>191</v>
      </c>
      <c r="P53" s="6" t="s">
        <v>242</v>
      </c>
      <c r="Q53" s="6" t="s">
        <v>255</v>
      </c>
      <c r="R53" s="6" t="s">
        <v>256</v>
      </c>
      <c r="S53" s="6"/>
    </row>
    <row r="54" customFormat="false" ht="15" hidden="false" customHeight="false" outlineLevel="0" collapsed="false">
      <c r="A54" s="6" t="s">
        <v>258</v>
      </c>
      <c r="B54" s="6" t="s">
        <v>51</v>
      </c>
      <c r="C54" s="6" t="s">
        <v>98</v>
      </c>
      <c r="D54" s="6" t="s">
        <v>143</v>
      </c>
      <c r="E54" s="6" t="n">
        <v>13</v>
      </c>
      <c r="F54" s="7" t="n">
        <v>9.2</v>
      </c>
      <c r="G54" s="7" t="n">
        <v>0</v>
      </c>
      <c r="H54" s="7" t="n">
        <v>7.8</v>
      </c>
      <c r="I54" s="7" t="n">
        <v>0.6</v>
      </c>
      <c r="J54" s="7" t="n">
        <v>1.2</v>
      </c>
      <c r="K54" s="7" t="n">
        <v>2</v>
      </c>
      <c r="L54" s="6" t="n">
        <v>42</v>
      </c>
      <c r="M54" s="6" t="n">
        <v>20</v>
      </c>
      <c r="N54" s="7" t="n">
        <v>0</v>
      </c>
      <c r="O54" s="6" t="s">
        <v>259</v>
      </c>
      <c r="P54" s="6"/>
      <c r="Q54" s="6" t="s">
        <v>255</v>
      </c>
      <c r="R54" s="6" t="s">
        <v>256</v>
      </c>
      <c r="S54" s="6" t="s">
        <v>260</v>
      </c>
    </row>
    <row r="55" customFormat="false" ht="15" hidden="false" customHeight="false" outlineLevel="0" collapsed="false">
      <c r="A55" s="6" t="s">
        <v>261</v>
      </c>
      <c r="B55" s="6" t="s">
        <v>51</v>
      </c>
      <c r="C55" s="6" t="s">
        <v>98</v>
      </c>
      <c r="D55" s="6" t="s">
        <v>143</v>
      </c>
      <c r="E55" s="6" t="n">
        <v>14</v>
      </c>
      <c r="F55" s="7" t="n">
        <v>9.8</v>
      </c>
      <c r="G55" s="7" t="n">
        <v>0</v>
      </c>
      <c r="H55" s="7" t="n">
        <v>7.8</v>
      </c>
      <c r="I55" s="7" t="n">
        <v>0.6</v>
      </c>
      <c r="J55" s="7" t="n">
        <v>1.2</v>
      </c>
      <c r="K55" s="7" t="n">
        <v>2</v>
      </c>
      <c r="L55" s="6" t="n">
        <v>42</v>
      </c>
      <c r="M55" s="6" t="n">
        <v>20</v>
      </c>
      <c r="N55" s="7" t="n">
        <v>9.2</v>
      </c>
      <c r="O55" s="6" t="s">
        <v>191</v>
      </c>
      <c r="P55" s="6" t="s">
        <v>242</v>
      </c>
      <c r="Q55" s="6" t="s">
        <v>255</v>
      </c>
      <c r="R55" s="6" t="s">
        <v>256</v>
      </c>
      <c r="S55" s="6"/>
    </row>
    <row r="56" customFormat="false" ht="15" hidden="false" customHeight="false" outlineLevel="0" collapsed="false">
      <c r="A56" s="6" t="s">
        <v>262</v>
      </c>
      <c r="B56" s="6" t="s">
        <v>51</v>
      </c>
      <c r="C56" s="6" t="s">
        <v>98</v>
      </c>
      <c r="D56" s="6" t="s">
        <v>143</v>
      </c>
      <c r="E56" s="6" t="n">
        <v>15</v>
      </c>
      <c r="F56" s="7" t="n">
        <v>10.4</v>
      </c>
      <c r="G56" s="7" t="n">
        <v>0</v>
      </c>
      <c r="H56" s="7" t="n">
        <v>7.8</v>
      </c>
      <c r="I56" s="7" t="n">
        <v>0.6</v>
      </c>
      <c r="J56" s="7" t="n">
        <v>1.2</v>
      </c>
      <c r="K56" s="7" t="n">
        <v>2</v>
      </c>
      <c r="L56" s="6" t="n">
        <v>42</v>
      </c>
      <c r="M56" s="6" t="n">
        <v>20</v>
      </c>
      <c r="N56" s="7" t="n">
        <v>9.2</v>
      </c>
      <c r="O56" s="6" t="s">
        <v>191</v>
      </c>
      <c r="P56" s="6" t="s">
        <v>242</v>
      </c>
      <c r="Q56" s="6" t="s">
        <v>255</v>
      </c>
      <c r="R56" s="6" t="s">
        <v>256</v>
      </c>
      <c r="S56" s="6"/>
    </row>
    <row r="57" customFormat="false" ht="15" hidden="false" customHeight="false" outlineLevel="0" collapsed="false">
      <c r="A57" s="6" t="s">
        <v>263</v>
      </c>
      <c r="B57" s="6" t="s">
        <v>51</v>
      </c>
      <c r="C57" s="6" t="s">
        <v>98</v>
      </c>
      <c r="D57" s="6" t="s">
        <v>143</v>
      </c>
      <c r="E57" s="6" t="n">
        <v>16</v>
      </c>
      <c r="F57" s="7" t="n">
        <v>11</v>
      </c>
      <c r="G57" s="7" t="n">
        <v>0</v>
      </c>
      <c r="H57" s="7" t="n">
        <v>7.8</v>
      </c>
      <c r="I57" s="7" t="n">
        <v>0.6</v>
      </c>
      <c r="J57" s="7" t="n">
        <v>1.2</v>
      </c>
      <c r="K57" s="7" t="n">
        <v>2</v>
      </c>
      <c r="L57" s="6" t="n">
        <v>42</v>
      </c>
      <c r="M57" s="6" t="n">
        <v>20</v>
      </c>
      <c r="N57" s="7" t="n">
        <v>9.2</v>
      </c>
      <c r="O57" s="6" t="s">
        <v>191</v>
      </c>
      <c r="P57" s="6" t="s">
        <v>242</v>
      </c>
      <c r="Q57" s="6" t="s">
        <v>255</v>
      </c>
      <c r="R57" s="6" t="s">
        <v>256</v>
      </c>
      <c r="S57" s="6"/>
    </row>
    <row r="58" customFormat="false" ht="15" hidden="false" customHeight="false" outlineLevel="0" collapsed="false">
      <c r="A58" s="6" t="s">
        <v>264</v>
      </c>
      <c r="B58" s="6" t="s">
        <v>51</v>
      </c>
      <c r="C58" s="6" t="s">
        <v>98</v>
      </c>
      <c r="D58" s="6" t="s">
        <v>143</v>
      </c>
      <c r="E58" s="6" t="n">
        <v>17</v>
      </c>
      <c r="F58" s="7" t="n">
        <v>11.6</v>
      </c>
      <c r="G58" s="7" t="n">
        <v>0</v>
      </c>
      <c r="H58" s="7" t="n">
        <v>7.8</v>
      </c>
      <c r="I58" s="7" t="n">
        <v>0.6</v>
      </c>
      <c r="J58" s="7" t="n">
        <v>1.2</v>
      </c>
      <c r="K58" s="7" t="n">
        <v>2</v>
      </c>
      <c r="L58" s="6" t="n">
        <v>42</v>
      </c>
      <c r="M58" s="6" t="n">
        <v>20</v>
      </c>
      <c r="N58" s="7" t="n">
        <v>10</v>
      </c>
      <c r="O58" s="6" t="s">
        <v>191</v>
      </c>
      <c r="P58" s="6" t="s">
        <v>242</v>
      </c>
      <c r="Q58" s="6" t="s">
        <v>255</v>
      </c>
      <c r="R58" s="6" t="s">
        <v>256</v>
      </c>
      <c r="S58" s="6"/>
    </row>
    <row r="59" customFormat="false" ht="15" hidden="false" customHeight="false" outlineLevel="0" collapsed="false">
      <c r="A59" s="6" t="s">
        <v>265</v>
      </c>
      <c r="B59" s="6" t="s">
        <v>51</v>
      </c>
      <c r="C59" s="6" t="s">
        <v>98</v>
      </c>
      <c r="D59" s="6" t="s">
        <v>143</v>
      </c>
      <c r="E59" s="6" t="n">
        <v>18</v>
      </c>
      <c r="F59" s="7" t="n">
        <v>12.2</v>
      </c>
      <c r="G59" s="7" t="n">
        <v>0</v>
      </c>
      <c r="H59" s="7" t="n">
        <v>7.8</v>
      </c>
      <c r="I59" s="7" t="n">
        <v>0.6</v>
      </c>
      <c r="J59" s="7" t="n">
        <v>1.2</v>
      </c>
      <c r="K59" s="7" t="n">
        <v>2</v>
      </c>
      <c r="L59" s="6" t="n">
        <v>42</v>
      </c>
      <c r="M59" s="6" t="n">
        <v>20</v>
      </c>
      <c r="N59" s="7" t="n">
        <v>0</v>
      </c>
      <c r="O59" s="6" t="s">
        <v>215</v>
      </c>
      <c r="P59" s="6"/>
      <c r="Q59" s="6" t="s">
        <v>255</v>
      </c>
      <c r="R59" s="6" t="s">
        <v>256</v>
      </c>
      <c r="S59" s="6"/>
    </row>
    <row r="60" customFormat="false" ht="15" hidden="false" customHeight="false" outlineLevel="0" collapsed="false">
      <c r="A60" s="6" t="s">
        <v>266</v>
      </c>
      <c r="B60" s="6" t="s">
        <v>51</v>
      </c>
      <c r="C60" s="6" t="s">
        <v>98</v>
      </c>
      <c r="D60" s="6" t="s">
        <v>143</v>
      </c>
      <c r="E60" s="6" t="n">
        <v>19</v>
      </c>
      <c r="F60" s="7" t="n">
        <v>12.8</v>
      </c>
      <c r="G60" s="7" t="n">
        <v>0</v>
      </c>
      <c r="H60" s="7" t="n">
        <v>7.8</v>
      </c>
      <c r="I60" s="7" t="n">
        <v>0.6</v>
      </c>
      <c r="J60" s="7" t="n">
        <v>1.2</v>
      </c>
      <c r="K60" s="7" t="n">
        <v>2</v>
      </c>
      <c r="L60" s="6" t="n">
        <v>42</v>
      </c>
      <c r="M60" s="6" t="n">
        <v>20</v>
      </c>
      <c r="N60" s="7" t="n">
        <v>0</v>
      </c>
      <c r="O60" s="6" t="s">
        <v>215</v>
      </c>
      <c r="P60" s="6"/>
      <c r="Q60" s="6" t="s">
        <v>255</v>
      </c>
      <c r="R60" s="6" t="s">
        <v>256</v>
      </c>
      <c r="S60" s="6"/>
    </row>
    <row r="61" customFormat="false" ht="15" hidden="false" customHeight="false" outlineLevel="0" collapsed="false">
      <c r="A61" s="6" t="s">
        <v>267</v>
      </c>
      <c r="B61" s="6" t="s">
        <v>51</v>
      </c>
      <c r="C61" s="6" t="s">
        <v>98</v>
      </c>
      <c r="D61" s="6" t="s">
        <v>143</v>
      </c>
      <c r="E61" s="6" t="n">
        <v>20</v>
      </c>
      <c r="F61" s="7" t="n">
        <v>13.4</v>
      </c>
      <c r="G61" s="7" t="n">
        <v>0</v>
      </c>
      <c r="H61" s="7" t="n">
        <v>7.8</v>
      </c>
      <c r="I61" s="7" t="n">
        <v>0.6</v>
      </c>
      <c r="J61" s="7" t="n">
        <v>1.2</v>
      </c>
      <c r="K61" s="7" t="n">
        <v>2</v>
      </c>
      <c r="L61" s="6" t="n">
        <v>42</v>
      </c>
      <c r="M61" s="6" t="n">
        <v>20</v>
      </c>
      <c r="N61" s="7" t="n">
        <v>0</v>
      </c>
      <c r="O61" s="6" t="s">
        <v>215</v>
      </c>
      <c r="P61" s="6"/>
      <c r="Q61" s="6" t="s">
        <v>255</v>
      </c>
      <c r="R61" s="6" t="s">
        <v>256</v>
      </c>
      <c r="S61" s="6"/>
    </row>
    <row r="62" customFormat="false" ht="15" hidden="false" customHeight="false" outlineLevel="0" collapsed="false">
      <c r="A62" s="6" t="s">
        <v>268</v>
      </c>
      <c r="B62" s="6" t="s">
        <v>51</v>
      </c>
      <c r="C62" s="6" t="s">
        <v>98</v>
      </c>
      <c r="D62" s="6" t="s">
        <v>147</v>
      </c>
      <c r="E62" s="6" t="n">
        <v>1</v>
      </c>
      <c r="F62" s="7" t="n">
        <v>2</v>
      </c>
      <c r="G62" s="7" t="n">
        <v>0</v>
      </c>
      <c r="H62" s="7" t="n">
        <v>10.2</v>
      </c>
      <c r="I62" s="7" t="n">
        <v>0.6</v>
      </c>
      <c r="J62" s="7" t="n">
        <v>1.2</v>
      </c>
      <c r="K62" s="7" t="n">
        <v>2</v>
      </c>
      <c r="L62" s="6" t="n">
        <v>42</v>
      </c>
      <c r="M62" s="6" t="n">
        <v>20</v>
      </c>
      <c r="N62" s="7" t="n">
        <v>8.8</v>
      </c>
      <c r="O62" s="6" t="s">
        <v>191</v>
      </c>
      <c r="P62" s="6" t="s">
        <v>242</v>
      </c>
      <c r="Q62" s="6" t="s">
        <v>269</v>
      </c>
      <c r="R62" s="6" t="s">
        <v>270</v>
      </c>
      <c r="S62" s="6"/>
    </row>
    <row r="63" customFormat="false" ht="15" hidden="false" customHeight="false" outlineLevel="0" collapsed="false">
      <c r="A63" s="6" t="s">
        <v>271</v>
      </c>
      <c r="B63" s="6" t="s">
        <v>51</v>
      </c>
      <c r="C63" s="6" t="s">
        <v>98</v>
      </c>
      <c r="D63" s="6" t="s">
        <v>147</v>
      </c>
      <c r="E63" s="6" t="n">
        <v>2</v>
      </c>
      <c r="F63" s="7" t="n">
        <v>2.6</v>
      </c>
      <c r="G63" s="7" t="n">
        <v>0</v>
      </c>
      <c r="H63" s="7" t="n">
        <v>10.2</v>
      </c>
      <c r="I63" s="7" t="n">
        <v>0.6</v>
      </c>
      <c r="J63" s="7" t="n">
        <v>1.2</v>
      </c>
      <c r="K63" s="7" t="n">
        <v>2</v>
      </c>
      <c r="L63" s="6" t="n">
        <v>42</v>
      </c>
      <c r="M63" s="6" t="n">
        <v>20</v>
      </c>
      <c r="N63" s="7" t="n">
        <v>8.8</v>
      </c>
      <c r="O63" s="6" t="s">
        <v>191</v>
      </c>
      <c r="P63" s="6" t="s">
        <v>242</v>
      </c>
      <c r="Q63" s="6" t="s">
        <v>269</v>
      </c>
      <c r="R63" s="6" t="s">
        <v>270</v>
      </c>
      <c r="S63" s="6"/>
    </row>
    <row r="64" customFormat="false" ht="15" hidden="false" customHeight="false" outlineLevel="0" collapsed="false">
      <c r="A64" s="6" t="s">
        <v>272</v>
      </c>
      <c r="B64" s="6" t="s">
        <v>51</v>
      </c>
      <c r="C64" s="6" t="s">
        <v>98</v>
      </c>
      <c r="D64" s="6" t="s">
        <v>147</v>
      </c>
      <c r="E64" s="6" t="n">
        <v>3</v>
      </c>
      <c r="F64" s="7" t="n">
        <v>3.2</v>
      </c>
      <c r="G64" s="7" t="n">
        <v>0</v>
      </c>
      <c r="H64" s="7" t="n">
        <v>10.2</v>
      </c>
      <c r="I64" s="7" t="n">
        <v>0.6</v>
      </c>
      <c r="J64" s="7" t="n">
        <v>1.2</v>
      </c>
      <c r="K64" s="7" t="n">
        <v>2</v>
      </c>
      <c r="L64" s="6" t="n">
        <v>42</v>
      </c>
      <c r="M64" s="6" t="n">
        <v>20</v>
      </c>
      <c r="N64" s="7" t="n">
        <v>8.8</v>
      </c>
      <c r="O64" s="6" t="s">
        <v>191</v>
      </c>
      <c r="P64" s="6" t="s">
        <v>242</v>
      </c>
      <c r="Q64" s="6" t="s">
        <v>269</v>
      </c>
      <c r="R64" s="6" t="s">
        <v>270</v>
      </c>
      <c r="S64" s="6"/>
    </row>
    <row r="65" customFormat="false" ht="15" hidden="false" customHeight="false" outlineLevel="0" collapsed="false">
      <c r="A65" s="6" t="s">
        <v>273</v>
      </c>
      <c r="B65" s="6" t="s">
        <v>51</v>
      </c>
      <c r="C65" s="6" t="s">
        <v>98</v>
      </c>
      <c r="D65" s="6" t="s">
        <v>147</v>
      </c>
      <c r="E65" s="6" t="n">
        <v>4</v>
      </c>
      <c r="F65" s="7" t="n">
        <v>3.8</v>
      </c>
      <c r="G65" s="7" t="n">
        <v>0</v>
      </c>
      <c r="H65" s="7" t="n">
        <v>10.2</v>
      </c>
      <c r="I65" s="7" t="n">
        <v>0.6</v>
      </c>
      <c r="J65" s="7" t="n">
        <v>1.2</v>
      </c>
      <c r="K65" s="7" t="n">
        <v>2</v>
      </c>
      <c r="L65" s="6" t="n">
        <v>42</v>
      </c>
      <c r="M65" s="6" t="n">
        <v>20</v>
      </c>
      <c r="N65" s="7" t="n">
        <v>8.8</v>
      </c>
      <c r="O65" s="6" t="s">
        <v>191</v>
      </c>
      <c r="P65" s="6" t="s">
        <v>242</v>
      </c>
      <c r="Q65" s="6" t="s">
        <v>269</v>
      </c>
      <c r="R65" s="6" t="s">
        <v>270</v>
      </c>
      <c r="S65" s="6"/>
    </row>
    <row r="66" customFormat="false" ht="15" hidden="false" customHeight="false" outlineLevel="0" collapsed="false">
      <c r="A66" s="6" t="s">
        <v>274</v>
      </c>
      <c r="B66" s="6" t="s">
        <v>51</v>
      </c>
      <c r="C66" s="6" t="s">
        <v>98</v>
      </c>
      <c r="D66" s="6" t="s">
        <v>147</v>
      </c>
      <c r="E66" s="6" t="n">
        <v>5</v>
      </c>
      <c r="F66" s="7" t="n">
        <v>4.4</v>
      </c>
      <c r="G66" s="7" t="n">
        <v>0</v>
      </c>
      <c r="H66" s="7" t="n">
        <v>10.2</v>
      </c>
      <c r="I66" s="7" t="n">
        <v>0.6</v>
      </c>
      <c r="J66" s="7" t="n">
        <v>1.2</v>
      </c>
      <c r="K66" s="7" t="n">
        <v>2</v>
      </c>
      <c r="L66" s="6" t="n">
        <v>42</v>
      </c>
      <c r="M66" s="6" t="n">
        <v>20</v>
      </c>
      <c r="N66" s="7" t="n">
        <v>8.8</v>
      </c>
      <c r="O66" s="6" t="s">
        <v>191</v>
      </c>
      <c r="P66" s="6" t="s">
        <v>242</v>
      </c>
      <c r="Q66" s="6" t="s">
        <v>269</v>
      </c>
      <c r="R66" s="6" t="s">
        <v>270</v>
      </c>
      <c r="S66" s="6"/>
    </row>
    <row r="67" customFormat="false" ht="15" hidden="false" customHeight="false" outlineLevel="0" collapsed="false">
      <c r="A67" s="6" t="s">
        <v>275</v>
      </c>
      <c r="B67" s="6" t="s">
        <v>51</v>
      </c>
      <c r="C67" s="6" t="s">
        <v>98</v>
      </c>
      <c r="D67" s="6" t="s">
        <v>147</v>
      </c>
      <c r="E67" s="6" t="n">
        <v>6</v>
      </c>
      <c r="F67" s="7" t="n">
        <v>5</v>
      </c>
      <c r="G67" s="7" t="n">
        <v>0</v>
      </c>
      <c r="H67" s="7" t="n">
        <v>10.2</v>
      </c>
      <c r="I67" s="7" t="n">
        <v>0.6</v>
      </c>
      <c r="J67" s="7" t="n">
        <v>1.2</v>
      </c>
      <c r="K67" s="7" t="n">
        <v>2</v>
      </c>
      <c r="L67" s="6" t="n">
        <v>42</v>
      </c>
      <c r="M67" s="6" t="n">
        <v>20</v>
      </c>
      <c r="N67" s="7" t="n">
        <v>8.8</v>
      </c>
      <c r="O67" s="6" t="s">
        <v>191</v>
      </c>
      <c r="P67" s="6" t="s">
        <v>242</v>
      </c>
      <c r="Q67" s="6" t="s">
        <v>269</v>
      </c>
      <c r="R67" s="6" t="s">
        <v>270</v>
      </c>
      <c r="S67" s="6"/>
    </row>
    <row r="68" customFormat="false" ht="15" hidden="false" customHeight="false" outlineLevel="0" collapsed="false">
      <c r="A68" s="6" t="s">
        <v>276</v>
      </c>
      <c r="B68" s="6" t="s">
        <v>51</v>
      </c>
      <c r="C68" s="6" t="s">
        <v>98</v>
      </c>
      <c r="D68" s="6" t="s">
        <v>147</v>
      </c>
      <c r="E68" s="6" t="n">
        <v>7</v>
      </c>
      <c r="F68" s="7" t="n">
        <v>5.6</v>
      </c>
      <c r="G68" s="7" t="n">
        <v>0</v>
      </c>
      <c r="H68" s="7" t="n">
        <v>10.2</v>
      </c>
      <c r="I68" s="7" t="n">
        <v>0.6</v>
      </c>
      <c r="J68" s="7" t="n">
        <v>1.2</v>
      </c>
      <c r="K68" s="7" t="n">
        <v>2</v>
      </c>
      <c r="L68" s="6" t="n">
        <v>42</v>
      </c>
      <c r="M68" s="6" t="n">
        <v>20</v>
      </c>
      <c r="N68" s="7" t="n">
        <v>8.8</v>
      </c>
      <c r="O68" s="6" t="s">
        <v>191</v>
      </c>
      <c r="P68" s="6" t="s">
        <v>242</v>
      </c>
      <c r="Q68" s="6" t="s">
        <v>269</v>
      </c>
      <c r="R68" s="6" t="s">
        <v>270</v>
      </c>
      <c r="S68" s="6"/>
    </row>
    <row r="69" customFormat="false" ht="15" hidden="false" customHeight="false" outlineLevel="0" collapsed="false">
      <c r="A69" s="6" t="s">
        <v>277</v>
      </c>
      <c r="B69" s="6" t="s">
        <v>51</v>
      </c>
      <c r="C69" s="6" t="s">
        <v>98</v>
      </c>
      <c r="D69" s="6" t="s">
        <v>147</v>
      </c>
      <c r="E69" s="6" t="n">
        <v>8</v>
      </c>
      <c r="F69" s="7" t="n">
        <v>6.2</v>
      </c>
      <c r="G69" s="7" t="n">
        <v>0</v>
      </c>
      <c r="H69" s="7" t="n">
        <v>10.2</v>
      </c>
      <c r="I69" s="7" t="n">
        <v>0.6</v>
      </c>
      <c r="J69" s="7" t="n">
        <v>1.2</v>
      </c>
      <c r="K69" s="7" t="n">
        <v>2</v>
      </c>
      <c r="L69" s="6" t="n">
        <v>42</v>
      </c>
      <c r="M69" s="6" t="n">
        <v>20</v>
      </c>
      <c r="N69" s="7" t="n">
        <v>8.8</v>
      </c>
      <c r="O69" s="6" t="s">
        <v>191</v>
      </c>
      <c r="P69" s="6" t="s">
        <v>242</v>
      </c>
      <c r="Q69" s="6" t="s">
        <v>269</v>
      </c>
      <c r="R69" s="6" t="s">
        <v>270</v>
      </c>
      <c r="S69" s="6"/>
    </row>
    <row r="70" customFormat="false" ht="15" hidden="false" customHeight="false" outlineLevel="0" collapsed="false">
      <c r="A70" s="6" t="s">
        <v>278</v>
      </c>
      <c r="B70" s="6" t="s">
        <v>51</v>
      </c>
      <c r="C70" s="6" t="s">
        <v>98</v>
      </c>
      <c r="D70" s="6" t="s">
        <v>147</v>
      </c>
      <c r="E70" s="6" t="n">
        <v>9</v>
      </c>
      <c r="F70" s="7" t="n">
        <v>6.8</v>
      </c>
      <c r="G70" s="7" t="n">
        <v>0</v>
      </c>
      <c r="H70" s="7" t="n">
        <v>10.2</v>
      </c>
      <c r="I70" s="7" t="n">
        <v>0.6</v>
      </c>
      <c r="J70" s="7" t="n">
        <v>1.2</v>
      </c>
      <c r="K70" s="7" t="n">
        <v>2</v>
      </c>
      <c r="L70" s="6" t="n">
        <v>42</v>
      </c>
      <c r="M70" s="6" t="n">
        <v>20</v>
      </c>
      <c r="N70" s="7" t="n">
        <v>8.8</v>
      </c>
      <c r="O70" s="6" t="s">
        <v>191</v>
      </c>
      <c r="P70" s="6" t="s">
        <v>242</v>
      </c>
      <c r="Q70" s="6" t="s">
        <v>269</v>
      </c>
      <c r="R70" s="6" t="s">
        <v>270</v>
      </c>
      <c r="S70" s="6"/>
    </row>
    <row r="71" customFormat="false" ht="15" hidden="false" customHeight="false" outlineLevel="0" collapsed="false">
      <c r="A71" s="6" t="s">
        <v>279</v>
      </c>
      <c r="B71" s="6" t="s">
        <v>51</v>
      </c>
      <c r="C71" s="6" t="s">
        <v>98</v>
      </c>
      <c r="D71" s="6" t="s">
        <v>147</v>
      </c>
      <c r="E71" s="6" t="n">
        <v>10</v>
      </c>
      <c r="F71" s="7" t="n">
        <v>7.4</v>
      </c>
      <c r="G71" s="7" t="n">
        <v>0</v>
      </c>
      <c r="H71" s="7" t="n">
        <v>10.2</v>
      </c>
      <c r="I71" s="7" t="n">
        <v>0.6</v>
      </c>
      <c r="J71" s="7" t="n">
        <v>1.2</v>
      </c>
      <c r="K71" s="7" t="n">
        <v>2</v>
      </c>
      <c r="L71" s="6" t="n">
        <v>42</v>
      </c>
      <c r="M71" s="6" t="n">
        <v>20</v>
      </c>
      <c r="N71" s="7" t="n">
        <v>8.8</v>
      </c>
      <c r="O71" s="6" t="s">
        <v>191</v>
      </c>
      <c r="P71" s="6" t="s">
        <v>242</v>
      </c>
      <c r="Q71" s="6" t="s">
        <v>269</v>
      </c>
      <c r="R71" s="6" t="s">
        <v>270</v>
      </c>
      <c r="S71" s="6"/>
    </row>
    <row r="72" customFormat="false" ht="15" hidden="false" customHeight="false" outlineLevel="0" collapsed="false">
      <c r="A72" s="6" t="s">
        <v>280</v>
      </c>
      <c r="B72" s="6" t="s">
        <v>51</v>
      </c>
      <c r="C72" s="6" t="s">
        <v>98</v>
      </c>
      <c r="D72" s="6" t="s">
        <v>147</v>
      </c>
      <c r="E72" s="6" t="n">
        <v>11</v>
      </c>
      <c r="F72" s="7" t="n">
        <v>8</v>
      </c>
      <c r="G72" s="7" t="n">
        <v>0</v>
      </c>
      <c r="H72" s="7" t="n">
        <v>10.2</v>
      </c>
      <c r="I72" s="7" t="n">
        <v>0.6</v>
      </c>
      <c r="J72" s="7" t="n">
        <v>1.2</v>
      </c>
      <c r="K72" s="7" t="n">
        <v>2</v>
      </c>
      <c r="L72" s="6" t="n">
        <v>42</v>
      </c>
      <c r="M72" s="6" t="n">
        <v>20</v>
      </c>
      <c r="N72" s="7" t="n">
        <v>8.8</v>
      </c>
      <c r="O72" s="6" t="s">
        <v>191</v>
      </c>
      <c r="P72" s="6" t="s">
        <v>242</v>
      </c>
      <c r="Q72" s="6" t="s">
        <v>281</v>
      </c>
      <c r="R72" s="6" t="s">
        <v>282</v>
      </c>
      <c r="S72" s="6"/>
    </row>
    <row r="73" customFormat="false" ht="15" hidden="false" customHeight="false" outlineLevel="0" collapsed="false">
      <c r="A73" s="6" t="s">
        <v>283</v>
      </c>
      <c r="B73" s="6" t="s">
        <v>51</v>
      </c>
      <c r="C73" s="6" t="s">
        <v>98</v>
      </c>
      <c r="D73" s="6" t="s">
        <v>147</v>
      </c>
      <c r="E73" s="6" t="n">
        <v>12</v>
      </c>
      <c r="F73" s="7" t="n">
        <v>8.6</v>
      </c>
      <c r="G73" s="7" t="n">
        <v>0</v>
      </c>
      <c r="H73" s="7" t="n">
        <v>10.2</v>
      </c>
      <c r="I73" s="7" t="n">
        <v>0.6</v>
      </c>
      <c r="J73" s="7" t="n">
        <v>1.2</v>
      </c>
      <c r="K73" s="7" t="n">
        <v>2</v>
      </c>
      <c r="L73" s="6" t="n">
        <v>42</v>
      </c>
      <c r="M73" s="6" t="n">
        <v>20</v>
      </c>
      <c r="N73" s="7" t="n">
        <v>8.8</v>
      </c>
      <c r="O73" s="6" t="s">
        <v>191</v>
      </c>
      <c r="P73" s="6" t="s">
        <v>242</v>
      </c>
      <c r="Q73" s="6" t="s">
        <v>281</v>
      </c>
      <c r="R73" s="6" t="s">
        <v>282</v>
      </c>
      <c r="S73" s="6"/>
    </row>
    <row r="74" customFormat="false" ht="15" hidden="false" customHeight="false" outlineLevel="0" collapsed="false">
      <c r="A74" s="6" t="s">
        <v>284</v>
      </c>
      <c r="B74" s="6" t="s">
        <v>51</v>
      </c>
      <c r="C74" s="6" t="s">
        <v>98</v>
      </c>
      <c r="D74" s="6" t="s">
        <v>147</v>
      </c>
      <c r="E74" s="6" t="n">
        <v>13</v>
      </c>
      <c r="F74" s="7" t="n">
        <v>9.2</v>
      </c>
      <c r="G74" s="7" t="n">
        <v>0</v>
      </c>
      <c r="H74" s="7" t="n">
        <v>10.2</v>
      </c>
      <c r="I74" s="7" t="n">
        <v>0.6</v>
      </c>
      <c r="J74" s="7" t="n">
        <v>1.2</v>
      </c>
      <c r="K74" s="7" t="n">
        <v>2</v>
      </c>
      <c r="L74" s="6" t="n">
        <v>42</v>
      </c>
      <c r="M74" s="6" t="n">
        <v>20</v>
      </c>
      <c r="N74" s="7" t="n">
        <v>8.8</v>
      </c>
      <c r="O74" s="6" t="s">
        <v>191</v>
      </c>
      <c r="P74" s="6" t="s">
        <v>242</v>
      </c>
      <c r="Q74" s="6" t="s">
        <v>281</v>
      </c>
      <c r="R74" s="6" t="s">
        <v>282</v>
      </c>
      <c r="S74" s="6"/>
    </row>
    <row r="75" customFormat="false" ht="15" hidden="false" customHeight="false" outlineLevel="0" collapsed="false">
      <c r="A75" s="6" t="s">
        <v>285</v>
      </c>
      <c r="B75" s="6" t="s">
        <v>51</v>
      </c>
      <c r="C75" s="6" t="s">
        <v>98</v>
      </c>
      <c r="D75" s="6" t="s">
        <v>147</v>
      </c>
      <c r="E75" s="6" t="n">
        <v>14</v>
      </c>
      <c r="F75" s="7" t="n">
        <v>9.8</v>
      </c>
      <c r="G75" s="7" t="n">
        <v>0</v>
      </c>
      <c r="H75" s="7" t="n">
        <v>10.2</v>
      </c>
      <c r="I75" s="7" t="n">
        <v>0.6</v>
      </c>
      <c r="J75" s="7" t="n">
        <v>1.2</v>
      </c>
      <c r="K75" s="7" t="n">
        <v>2</v>
      </c>
      <c r="L75" s="6" t="n">
        <v>42</v>
      </c>
      <c r="M75" s="6" t="n">
        <v>20</v>
      </c>
      <c r="N75" s="7" t="n">
        <v>8.8</v>
      </c>
      <c r="O75" s="6" t="s">
        <v>191</v>
      </c>
      <c r="P75" s="6" t="s">
        <v>242</v>
      </c>
      <c r="Q75" s="6" t="s">
        <v>281</v>
      </c>
      <c r="R75" s="6" t="s">
        <v>282</v>
      </c>
      <c r="S75" s="6"/>
    </row>
    <row r="76" customFormat="false" ht="15" hidden="false" customHeight="false" outlineLevel="0" collapsed="false">
      <c r="A76" s="6" t="s">
        <v>286</v>
      </c>
      <c r="B76" s="6" t="s">
        <v>51</v>
      </c>
      <c r="C76" s="6" t="s">
        <v>98</v>
      </c>
      <c r="D76" s="6" t="s">
        <v>147</v>
      </c>
      <c r="E76" s="6" t="n">
        <v>15</v>
      </c>
      <c r="F76" s="7" t="n">
        <v>10.4</v>
      </c>
      <c r="G76" s="7" t="n">
        <v>0</v>
      </c>
      <c r="H76" s="7" t="n">
        <v>10.2</v>
      </c>
      <c r="I76" s="7" t="n">
        <v>0.6</v>
      </c>
      <c r="J76" s="7" t="n">
        <v>1.2</v>
      </c>
      <c r="K76" s="7" t="n">
        <v>2</v>
      </c>
      <c r="L76" s="6" t="n">
        <v>42</v>
      </c>
      <c r="M76" s="6" t="n">
        <v>20</v>
      </c>
      <c r="N76" s="7" t="n">
        <v>8.8</v>
      </c>
      <c r="O76" s="6" t="s">
        <v>191</v>
      </c>
      <c r="P76" s="6" t="s">
        <v>242</v>
      </c>
      <c r="Q76" s="6" t="s">
        <v>281</v>
      </c>
      <c r="R76" s="6" t="s">
        <v>282</v>
      </c>
      <c r="S76" s="6"/>
    </row>
    <row r="77" customFormat="false" ht="15" hidden="false" customHeight="false" outlineLevel="0" collapsed="false">
      <c r="A77" s="6" t="s">
        <v>287</v>
      </c>
      <c r="B77" s="6" t="s">
        <v>51</v>
      </c>
      <c r="C77" s="6" t="s">
        <v>98</v>
      </c>
      <c r="D77" s="6" t="s">
        <v>147</v>
      </c>
      <c r="E77" s="6" t="n">
        <v>16</v>
      </c>
      <c r="F77" s="7" t="n">
        <v>11</v>
      </c>
      <c r="G77" s="7" t="n">
        <v>0</v>
      </c>
      <c r="H77" s="7" t="n">
        <v>10.2</v>
      </c>
      <c r="I77" s="7" t="n">
        <v>0.6</v>
      </c>
      <c r="J77" s="7" t="n">
        <v>1.2</v>
      </c>
      <c r="K77" s="7" t="n">
        <v>2</v>
      </c>
      <c r="L77" s="6" t="n">
        <v>42</v>
      </c>
      <c r="M77" s="6" t="n">
        <v>20</v>
      </c>
      <c r="N77" s="7" t="n">
        <v>8.8</v>
      </c>
      <c r="O77" s="6" t="s">
        <v>191</v>
      </c>
      <c r="P77" s="6" t="s">
        <v>242</v>
      </c>
      <c r="Q77" s="6" t="s">
        <v>281</v>
      </c>
      <c r="R77" s="6" t="s">
        <v>282</v>
      </c>
      <c r="S77" s="6"/>
    </row>
    <row r="78" customFormat="false" ht="15" hidden="false" customHeight="false" outlineLevel="0" collapsed="false">
      <c r="A78" s="6" t="s">
        <v>288</v>
      </c>
      <c r="B78" s="6" t="s">
        <v>51</v>
      </c>
      <c r="C78" s="6" t="s">
        <v>98</v>
      </c>
      <c r="D78" s="6" t="s">
        <v>147</v>
      </c>
      <c r="E78" s="6" t="n">
        <v>17</v>
      </c>
      <c r="F78" s="7" t="n">
        <v>11.6</v>
      </c>
      <c r="G78" s="7" t="n">
        <v>0</v>
      </c>
      <c r="H78" s="7" t="n">
        <v>10.2</v>
      </c>
      <c r="I78" s="7" t="n">
        <v>0.6</v>
      </c>
      <c r="J78" s="7" t="n">
        <v>1.2</v>
      </c>
      <c r="K78" s="7" t="n">
        <v>2</v>
      </c>
      <c r="L78" s="6" t="n">
        <v>42</v>
      </c>
      <c r="M78" s="6" t="n">
        <v>20</v>
      </c>
      <c r="N78" s="7" t="n">
        <v>8.8</v>
      </c>
      <c r="O78" s="6" t="s">
        <v>191</v>
      </c>
      <c r="P78" s="6" t="s">
        <v>242</v>
      </c>
      <c r="Q78" s="6" t="s">
        <v>281</v>
      </c>
      <c r="R78" s="6" t="s">
        <v>282</v>
      </c>
      <c r="S78" s="6"/>
    </row>
    <row r="79" customFormat="false" ht="15" hidden="false" customHeight="false" outlineLevel="0" collapsed="false">
      <c r="A79" s="6" t="s">
        <v>289</v>
      </c>
      <c r="B79" s="6" t="s">
        <v>51</v>
      </c>
      <c r="C79" s="6" t="s">
        <v>98</v>
      </c>
      <c r="D79" s="6" t="s">
        <v>147</v>
      </c>
      <c r="E79" s="6" t="n">
        <v>18</v>
      </c>
      <c r="F79" s="7" t="n">
        <v>12.2</v>
      </c>
      <c r="G79" s="7" t="n">
        <v>0</v>
      </c>
      <c r="H79" s="7" t="n">
        <v>10.2</v>
      </c>
      <c r="I79" s="7" t="n">
        <v>0.6</v>
      </c>
      <c r="J79" s="7" t="n">
        <v>1.2</v>
      </c>
      <c r="K79" s="7" t="n">
        <v>2</v>
      </c>
      <c r="L79" s="6" t="n">
        <v>42</v>
      </c>
      <c r="M79" s="6" t="n">
        <v>20</v>
      </c>
      <c r="N79" s="7" t="n">
        <v>8.8</v>
      </c>
      <c r="O79" s="6" t="s">
        <v>191</v>
      </c>
      <c r="P79" s="6" t="s">
        <v>242</v>
      </c>
      <c r="Q79" s="6" t="s">
        <v>281</v>
      </c>
      <c r="R79" s="6" t="s">
        <v>282</v>
      </c>
      <c r="S79" s="6"/>
    </row>
    <row r="80" customFormat="false" ht="15" hidden="false" customHeight="false" outlineLevel="0" collapsed="false">
      <c r="A80" s="6" t="s">
        <v>290</v>
      </c>
      <c r="B80" s="6" t="s">
        <v>51</v>
      </c>
      <c r="C80" s="6" t="s">
        <v>98</v>
      </c>
      <c r="D80" s="6" t="s">
        <v>147</v>
      </c>
      <c r="E80" s="6" t="n">
        <v>19</v>
      </c>
      <c r="F80" s="7" t="n">
        <v>12.8</v>
      </c>
      <c r="G80" s="7" t="n">
        <v>0</v>
      </c>
      <c r="H80" s="7" t="n">
        <v>10.2</v>
      </c>
      <c r="I80" s="7" t="n">
        <v>0.6</v>
      </c>
      <c r="J80" s="7" t="n">
        <v>1.2</v>
      </c>
      <c r="K80" s="7" t="n">
        <v>2</v>
      </c>
      <c r="L80" s="6" t="n">
        <v>42</v>
      </c>
      <c r="M80" s="6" t="n">
        <v>20</v>
      </c>
      <c r="N80" s="7" t="n">
        <v>9.6</v>
      </c>
      <c r="O80" s="6" t="s">
        <v>191</v>
      </c>
      <c r="P80" s="6" t="s">
        <v>242</v>
      </c>
      <c r="Q80" s="6" t="s">
        <v>281</v>
      </c>
      <c r="R80" s="6" t="s">
        <v>282</v>
      </c>
      <c r="S80" s="6"/>
    </row>
    <row r="81" customFormat="false" ht="15" hidden="false" customHeight="false" outlineLevel="0" collapsed="false">
      <c r="A81" s="6" t="s">
        <v>291</v>
      </c>
      <c r="B81" s="6" t="s">
        <v>51</v>
      </c>
      <c r="C81" s="6" t="s">
        <v>98</v>
      </c>
      <c r="D81" s="6" t="s">
        <v>147</v>
      </c>
      <c r="E81" s="6" t="n">
        <v>20</v>
      </c>
      <c r="F81" s="7" t="n">
        <v>13.4</v>
      </c>
      <c r="G81" s="7" t="n">
        <v>0</v>
      </c>
      <c r="H81" s="7" t="n">
        <v>10.2</v>
      </c>
      <c r="I81" s="7" t="n">
        <v>0.6</v>
      </c>
      <c r="J81" s="7" t="n">
        <v>1.2</v>
      </c>
      <c r="K81" s="7" t="n">
        <v>2</v>
      </c>
      <c r="L81" s="6" t="n">
        <v>42</v>
      </c>
      <c r="M81" s="6" t="n">
        <v>20</v>
      </c>
      <c r="N81" s="7" t="n">
        <v>0</v>
      </c>
      <c r="O81" s="6" t="s">
        <v>215</v>
      </c>
      <c r="P81" s="6"/>
      <c r="Q81" s="6" t="s">
        <v>281</v>
      </c>
      <c r="R81" s="6" t="s">
        <v>282</v>
      </c>
      <c r="S81" s="6"/>
    </row>
    <row r="82" customFormat="false" ht="15" hidden="false" customHeight="false" outlineLevel="0" collapsed="false">
      <c r="A82" s="6" t="s">
        <v>292</v>
      </c>
      <c r="B82" s="6" t="s">
        <v>51</v>
      </c>
      <c r="C82" s="6" t="s">
        <v>98</v>
      </c>
      <c r="D82" s="6" t="s">
        <v>148</v>
      </c>
      <c r="E82" s="6" t="n">
        <v>1</v>
      </c>
      <c r="F82" s="7" t="n">
        <v>2</v>
      </c>
      <c r="G82" s="7" t="n">
        <v>0</v>
      </c>
      <c r="H82" s="7" t="n">
        <v>12.6</v>
      </c>
      <c r="I82" s="7" t="n">
        <v>0.6</v>
      </c>
      <c r="J82" s="7" t="n">
        <v>1.2</v>
      </c>
      <c r="K82" s="7" t="n">
        <v>2</v>
      </c>
      <c r="L82" s="6" t="n">
        <v>42</v>
      </c>
      <c r="M82" s="6" t="n">
        <v>20</v>
      </c>
      <c r="N82" s="7" t="n">
        <v>9.4</v>
      </c>
      <c r="O82" s="6" t="s">
        <v>191</v>
      </c>
      <c r="P82" s="6" t="s">
        <v>293</v>
      </c>
      <c r="Q82" s="6" t="s">
        <v>294</v>
      </c>
      <c r="R82" s="6" t="s">
        <v>295</v>
      </c>
      <c r="S82" s="6"/>
    </row>
    <row r="83" customFormat="false" ht="15" hidden="false" customHeight="false" outlineLevel="0" collapsed="false">
      <c r="A83" s="6" t="s">
        <v>296</v>
      </c>
      <c r="B83" s="6" t="s">
        <v>51</v>
      </c>
      <c r="C83" s="6" t="s">
        <v>98</v>
      </c>
      <c r="D83" s="6" t="s">
        <v>148</v>
      </c>
      <c r="E83" s="6" t="n">
        <v>2</v>
      </c>
      <c r="F83" s="7" t="n">
        <v>2.6</v>
      </c>
      <c r="G83" s="7" t="n">
        <v>0</v>
      </c>
      <c r="H83" s="7" t="n">
        <v>12.6</v>
      </c>
      <c r="I83" s="7" t="n">
        <v>0.6</v>
      </c>
      <c r="J83" s="7" t="n">
        <v>1.2</v>
      </c>
      <c r="K83" s="7" t="n">
        <v>2</v>
      </c>
      <c r="L83" s="6" t="n">
        <v>42</v>
      </c>
      <c r="M83" s="6" t="n">
        <v>20</v>
      </c>
      <c r="N83" s="7" t="n">
        <v>9.4</v>
      </c>
      <c r="O83" s="6" t="s">
        <v>191</v>
      </c>
      <c r="P83" s="6" t="s">
        <v>293</v>
      </c>
      <c r="Q83" s="6" t="s">
        <v>294</v>
      </c>
      <c r="R83" s="6" t="s">
        <v>295</v>
      </c>
      <c r="S83" s="6"/>
    </row>
    <row r="84" customFormat="false" ht="15" hidden="false" customHeight="false" outlineLevel="0" collapsed="false">
      <c r="A84" s="6" t="s">
        <v>297</v>
      </c>
      <c r="B84" s="6" t="s">
        <v>51</v>
      </c>
      <c r="C84" s="6" t="s">
        <v>98</v>
      </c>
      <c r="D84" s="6" t="s">
        <v>148</v>
      </c>
      <c r="E84" s="6" t="n">
        <v>3</v>
      </c>
      <c r="F84" s="7" t="n">
        <v>3.2</v>
      </c>
      <c r="G84" s="7" t="n">
        <v>0</v>
      </c>
      <c r="H84" s="7" t="n">
        <v>12.6</v>
      </c>
      <c r="I84" s="7" t="n">
        <v>0.6</v>
      </c>
      <c r="J84" s="7" t="n">
        <v>1.2</v>
      </c>
      <c r="K84" s="7" t="n">
        <v>2</v>
      </c>
      <c r="L84" s="6" t="n">
        <v>42</v>
      </c>
      <c r="M84" s="6" t="n">
        <v>20</v>
      </c>
      <c r="N84" s="7" t="n">
        <v>9.4</v>
      </c>
      <c r="O84" s="6" t="s">
        <v>191</v>
      </c>
      <c r="P84" s="6" t="s">
        <v>293</v>
      </c>
      <c r="Q84" s="6" t="s">
        <v>294</v>
      </c>
      <c r="R84" s="6" t="s">
        <v>295</v>
      </c>
      <c r="S84" s="6"/>
    </row>
    <row r="85" customFormat="false" ht="15" hidden="false" customHeight="false" outlineLevel="0" collapsed="false">
      <c r="A85" s="6" t="s">
        <v>298</v>
      </c>
      <c r="B85" s="6" t="s">
        <v>51</v>
      </c>
      <c r="C85" s="6" t="s">
        <v>98</v>
      </c>
      <c r="D85" s="6" t="s">
        <v>148</v>
      </c>
      <c r="E85" s="6" t="n">
        <v>4</v>
      </c>
      <c r="F85" s="7" t="n">
        <v>3.8</v>
      </c>
      <c r="G85" s="7" t="n">
        <v>0</v>
      </c>
      <c r="H85" s="7" t="n">
        <v>12.6</v>
      </c>
      <c r="I85" s="7" t="n">
        <v>0.6</v>
      </c>
      <c r="J85" s="7" t="n">
        <v>1.2</v>
      </c>
      <c r="K85" s="7" t="n">
        <v>2</v>
      </c>
      <c r="L85" s="6" t="n">
        <v>42</v>
      </c>
      <c r="M85" s="6" t="n">
        <v>20</v>
      </c>
      <c r="N85" s="7" t="n">
        <v>9.4</v>
      </c>
      <c r="O85" s="6" t="s">
        <v>191</v>
      </c>
      <c r="P85" s="6" t="s">
        <v>293</v>
      </c>
      <c r="Q85" s="6" t="s">
        <v>294</v>
      </c>
      <c r="R85" s="6" t="s">
        <v>295</v>
      </c>
      <c r="S85" s="6"/>
    </row>
    <row r="86" customFormat="false" ht="15" hidden="false" customHeight="false" outlineLevel="0" collapsed="false">
      <c r="A86" s="6" t="s">
        <v>299</v>
      </c>
      <c r="B86" s="6" t="s">
        <v>51</v>
      </c>
      <c r="C86" s="6" t="s">
        <v>98</v>
      </c>
      <c r="D86" s="6" t="s">
        <v>148</v>
      </c>
      <c r="E86" s="6" t="n">
        <v>5</v>
      </c>
      <c r="F86" s="7" t="n">
        <v>4.4</v>
      </c>
      <c r="G86" s="7" t="n">
        <v>0</v>
      </c>
      <c r="H86" s="7" t="n">
        <v>12.6</v>
      </c>
      <c r="I86" s="7" t="n">
        <v>0.6</v>
      </c>
      <c r="J86" s="7" t="n">
        <v>1.2</v>
      </c>
      <c r="K86" s="7" t="n">
        <v>2</v>
      </c>
      <c r="L86" s="6" t="n">
        <v>42</v>
      </c>
      <c r="M86" s="6" t="n">
        <v>20</v>
      </c>
      <c r="N86" s="7" t="n">
        <v>9.4</v>
      </c>
      <c r="O86" s="6" t="s">
        <v>191</v>
      </c>
      <c r="P86" s="6" t="s">
        <v>293</v>
      </c>
      <c r="Q86" s="6" t="s">
        <v>294</v>
      </c>
      <c r="R86" s="6" t="s">
        <v>295</v>
      </c>
      <c r="S86" s="6"/>
    </row>
    <row r="87" customFormat="false" ht="15" hidden="false" customHeight="false" outlineLevel="0" collapsed="false">
      <c r="A87" s="6" t="s">
        <v>300</v>
      </c>
      <c r="B87" s="6" t="s">
        <v>51</v>
      </c>
      <c r="C87" s="6" t="s">
        <v>98</v>
      </c>
      <c r="D87" s="6" t="s">
        <v>148</v>
      </c>
      <c r="E87" s="6" t="n">
        <v>6</v>
      </c>
      <c r="F87" s="7" t="n">
        <v>5</v>
      </c>
      <c r="G87" s="7" t="n">
        <v>0</v>
      </c>
      <c r="H87" s="7" t="n">
        <v>12.6</v>
      </c>
      <c r="I87" s="7" t="n">
        <v>0.6</v>
      </c>
      <c r="J87" s="7" t="n">
        <v>1.2</v>
      </c>
      <c r="K87" s="7" t="n">
        <v>2</v>
      </c>
      <c r="L87" s="6" t="n">
        <v>42</v>
      </c>
      <c r="M87" s="6" t="n">
        <v>20</v>
      </c>
      <c r="N87" s="7" t="n">
        <v>9.4</v>
      </c>
      <c r="O87" s="6" t="s">
        <v>191</v>
      </c>
      <c r="P87" s="6" t="s">
        <v>293</v>
      </c>
      <c r="Q87" s="6" t="s">
        <v>294</v>
      </c>
      <c r="R87" s="6" t="s">
        <v>295</v>
      </c>
      <c r="S87" s="6"/>
    </row>
    <row r="88" customFormat="false" ht="15" hidden="false" customHeight="false" outlineLevel="0" collapsed="false">
      <c r="A88" s="6" t="s">
        <v>301</v>
      </c>
      <c r="B88" s="6" t="s">
        <v>51</v>
      </c>
      <c r="C88" s="6" t="s">
        <v>98</v>
      </c>
      <c r="D88" s="6" t="s">
        <v>148</v>
      </c>
      <c r="E88" s="6" t="n">
        <v>7</v>
      </c>
      <c r="F88" s="7" t="n">
        <v>5.6</v>
      </c>
      <c r="G88" s="7" t="n">
        <v>0</v>
      </c>
      <c r="H88" s="7" t="n">
        <v>12.6</v>
      </c>
      <c r="I88" s="7" t="n">
        <v>0.6</v>
      </c>
      <c r="J88" s="7" t="n">
        <v>1.2</v>
      </c>
      <c r="K88" s="7" t="n">
        <v>2</v>
      </c>
      <c r="L88" s="6" t="n">
        <v>42</v>
      </c>
      <c r="M88" s="6" t="n">
        <v>20</v>
      </c>
      <c r="N88" s="7" t="n">
        <v>9.4</v>
      </c>
      <c r="O88" s="6" t="s">
        <v>191</v>
      </c>
      <c r="P88" s="6" t="s">
        <v>293</v>
      </c>
      <c r="Q88" s="6" t="s">
        <v>294</v>
      </c>
      <c r="R88" s="6" t="s">
        <v>295</v>
      </c>
      <c r="S88" s="6"/>
    </row>
    <row r="89" customFormat="false" ht="15" hidden="false" customHeight="false" outlineLevel="0" collapsed="false">
      <c r="A89" s="6" t="s">
        <v>302</v>
      </c>
      <c r="B89" s="6" t="s">
        <v>51</v>
      </c>
      <c r="C89" s="6" t="s">
        <v>98</v>
      </c>
      <c r="D89" s="6" t="s">
        <v>148</v>
      </c>
      <c r="E89" s="6" t="n">
        <v>8</v>
      </c>
      <c r="F89" s="7" t="n">
        <v>6.2</v>
      </c>
      <c r="G89" s="7" t="n">
        <v>0</v>
      </c>
      <c r="H89" s="7" t="n">
        <v>12.6</v>
      </c>
      <c r="I89" s="7" t="n">
        <v>0.6</v>
      </c>
      <c r="J89" s="7" t="n">
        <v>1.2</v>
      </c>
      <c r="K89" s="7" t="n">
        <v>2</v>
      </c>
      <c r="L89" s="6" t="n">
        <v>42</v>
      </c>
      <c r="M89" s="6" t="n">
        <v>20</v>
      </c>
      <c r="N89" s="7" t="n">
        <v>9.4</v>
      </c>
      <c r="O89" s="6" t="s">
        <v>191</v>
      </c>
      <c r="P89" s="6" t="s">
        <v>293</v>
      </c>
      <c r="Q89" s="6" t="s">
        <v>294</v>
      </c>
      <c r="R89" s="6" t="s">
        <v>295</v>
      </c>
      <c r="S89" s="6"/>
    </row>
    <row r="90" customFormat="false" ht="15" hidden="false" customHeight="false" outlineLevel="0" collapsed="false">
      <c r="A90" s="6" t="s">
        <v>303</v>
      </c>
      <c r="B90" s="6" t="s">
        <v>51</v>
      </c>
      <c r="C90" s="6" t="s">
        <v>98</v>
      </c>
      <c r="D90" s="6" t="s">
        <v>148</v>
      </c>
      <c r="E90" s="6" t="n">
        <v>9</v>
      </c>
      <c r="F90" s="7" t="n">
        <v>6.8</v>
      </c>
      <c r="G90" s="7" t="n">
        <v>0</v>
      </c>
      <c r="H90" s="7" t="n">
        <v>12.6</v>
      </c>
      <c r="I90" s="7" t="n">
        <v>0.6</v>
      </c>
      <c r="J90" s="7" t="n">
        <v>1.2</v>
      </c>
      <c r="K90" s="7" t="n">
        <v>2</v>
      </c>
      <c r="L90" s="6" t="n">
        <v>42</v>
      </c>
      <c r="M90" s="6" t="n">
        <v>20</v>
      </c>
      <c r="N90" s="7" t="n">
        <v>9.4</v>
      </c>
      <c r="O90" s="6" t="s">
        <v>191</v>
      </c>
      <c r="P90" s="6" t="s">
        <v>293</v>
      </c>
      <c r="Q90" s="6" t="s">
        <v>294</v>
      </c>
      <c r="R90" s="6" t="s">
        <v>295</v>
      </c>
      <c r="S90" s="6"/>
    </row>
    <row r="91" customFormat="false" ht="15" hidden="false" customHeight="false" outlineLevel="0" collapsed="false">
      <c r="A91" s="6" t="s">
        <v>304</v>
      </c>
      <c r="B91" s="6" t="s">
        <v>51</v>
      </c>
      <c r="C91" s="6" t="s">
        <v>98</v>
      </c>
      <c r="D91" s="6" t="s">
        <v>148</v>
      </c>
      <c r="E91" s="6" t="n">
        <v>10</v>
      </c>
      <c r="F91" s="7" t="n">
        <v>7.4</v>
      </c>
      <c r="G91" s="7" t="n">
        <v>0</v>
      </c>
      <c r="H91" s="7" t="n">
        <v>12.6</v>
      </c>
      <c r="I91" s="7" t="n">
        <v>0.6</v>
      </c>
      <c r="J91" s="7" t="n">
        <v>1.2</v>
      </c>
      <c r="K91" s="7" t="n">
        <v>2</v>
      </c>
      <c r="L91" s="6" t="n">
        <v>42</v>
      </c>
      <c r="M91" s="6" t="n">
        <v>20</v>
      </c>
      <c r="N91" s="7" t="n">
        <v>9.4</v>
      </c>
      <c r="O91" s="6" t="s">
        <v>191</v>
      </c>
      <c r="P91" s="6" t="s">
        <v>293</v>
      </c>
      <c r="Q91" s="6" t="s">
        <v>294</v>
      </c>
      <c r="R91" s="6" t="s">
        <v>295</v>
      </c>
      <c r="S91" s="6"/>
    </row>
    <row r="92" customFormat="false" ht="15" hidden="false" customHeight="false" outlineLevel="0" collapsed="false">
      <c r="A92" s="6" t="s">
        <v>305</v>
      </c>
      <c r="B92" s="6" t="s">
        <v>51</v>
      </c>
      <c r="C92" s="6" t="s">
        <v>98</v>
      </c>
      <c r="D92" s="6" t="s">
        <v>148</v>
      </c>
      <c r="E92" s="6" t="n">
        <v>11</v>
      </c>
      <c r="F92" s="7" t="n">
        <v>8</v>
      </c>
      <c r="G92" s="7" t="n">
        <v>0</v>
      </c>
      <c r="H92" s="7" t="n">
        <v>12.6</v>
      </c>
      <c r="I92" s="7" t="n">
        <v>0.6</v>
      </c>
      <c r="J92" s="7" t="n">
        <v>1.2</v>
      </c>
      <c r="K92" s="7" t="n">
        <v>2</v>
      </c>
      <c r="L92" s="6" t="n">
        <v>42</v>
      </c>
      <c r="M92" s="6" t="n">
        <v>20</v>
      </c>
      <c r="N92" s="7" t="n">
        <v>9.4</v>
      </c>
      <c r="O92" s="6" t="s">
        <v>191</v>
      </c>
      <c r="P92" s="6" t="s">
        <v>293</v>
      </c>
      <c r="Q92" s="6" t="s">
        <v>306</v>
      </c>
      <c r="R92" s="6" t="s">
        <v>307</v>
      </c>
      <c r="S92" s="6"/>
    </row>
    <row r="93" customFormat="false" ht="15" hidden="false" customHeight="false" outlineLevel="0" collapsed="false">
      <c r="A93" s="6" t="s">
        <v>308</v>
      </c>
      <c r="B93" s="6" t="s">
        <v>51</v>
      </c>
      <c r="C93" s="6" t="s">
        <v>98</v>
      </c>
      <c r="D93" s="6" t="s">
        <v>148</v>
      </c>
      <c r="E93" s="6" t="n">
        <v>12</v>
      </c>
      <c r="F93" s="7" t="n">
        <v>8.6</v>
      </c>
      <c r="G93" s="7" t="n">
        <v>0</v>
      </c>
      <c r="H93" s="7" t="n">
        <v>12.6</v>
      </c>
      <c r="I93" s="7" t="n">
        <v>0.6</v>
      </c>
      <c r="J93" s="7" t="n">
        <v>1.2</v>
      </c>
      <c r="K93" s="7" t="n">
        <v>2</v>
      </c>
      <c r="L93" s="6" t="n">
        <v>42</v>
      </c>
      <c r="M93" s="6" t="n">
        <v>20</v>
      </c>
      <c r="N93" s="7" t="n">
        <v>9.4</v>
      </c>
      <c r="O93" s="6" t="s">
        <v>191</v>
      </c>
      <c r="P93" s="6" t="s">
        <v>293</v>
      </c>
      <c r="Q93" s="6" t="s">
        <v>306</v>
      </c>
      <c r="R93" s="6" t="s">
        <v>307</v>
      </c>
      <c r="S93" s="6"/>
    </row>
    <row r="94" customFormat="false" ht="15" hidden="false" customHeight="false" outlineLevel="0" collapsed="false">
      <c r="A94" s="6" t="s">
        <v>309</v>
      </c>
      <c r="B94" s="6" t="s">
        <v>51</v>
      </c>
      <c r="C94" s="6" t="s">
        <v>98</v>
      </c>
      <c r="D94" s="6" t="s">
        <v>148</v>
      </c>
      <c r="E94" s="6" t="n">
        <v>13</v>
      </c>
      <c r="F94" s="7" t="n">
        <v>9.2</v>
      </c>
      <c r="G94" s="7" t="n">
        <v>0</v>
      </c>
      <c r="H94" s="7" t="n">
        <v>12.6</v>
      </c>
      <c r="I94" s="7" t="n">
        <v>0.6</v>
      </c>
      <c r="J94" s="7" t="n">
        <v>1.2</v>
      </c>
      <c r="K94" s="7" t="n">
        <v>2</v>
      </c>
      <c r="L94" s="6" t="n">
        <v>42</v>
      </c>
      <c r="M94" s="6" t="n">
        <v>20</v>
      </c>
      <c r="N94" s="7" t="n">
        <v>9.4</v>
      </c>
      <c r="O94" s="6" t="s">
        <v>191</v>
      </c>
      <c r="P94" s="6" t="s">
        <v>293</v>
      </c>
      <c r="Q94" s="6" t="s">
        <v>306</v>
      </c>
      <c r="R94" s="6" t="s">
        <v>307</v>
      </c>
      <c r="S94" s="6"/>
    </row>
    <row r="95" customFormat="false" ht="15" hidden="false" customHeight="false" outlineLevel="0" collapsed="false">
      <c r="A95" s="6" t="s">
        <v>310</v>
      </c>
      <c r="B95" s="6" t="s">
        <v>51</v>
      </c>
      <c r="C95" s="6" t="s">
        <v>98</v>
      </c>
      <c r="D95" s="6" t="s">
        <v>148</v>
      </c>
      <c r="E95" s="6" t="n">
        <v>14</v>
      </c>
      <c r="F95" s="7" t="n">
        <v>9.8</v>
      </c>
      <c r="G95" s="7" t="n">
        <v>0</v>
      </c>
      <c r="H95" s="7" t="n">
        <v>12.6</v>
      </c>
      <c r="I95" s="7" t="n">
        <v>0.6</v>
      </c>
      <c r="J95" s="7" t="n">
        <v>1.2</v>
      </c>
      <c r="K95" s="7" t="n">
        <v>2</v>
      </c>
      <c r="L95" s="6" t="n">
        <v>42</v>
      </c>
      <c r="M95" s="6" t="n">
        <v>20</v>
      </c>
      <c r="N95" s="7" t="n">
        <v>9.4</v>
      </c>
      <c r="O95" s="6" t="s">
        <v>191</v>
      </c>
      <c r="P95" s="6" t="s">
        <v>293</v>
      </c>
      <c r="Q95" s="6" t="s">
        <v>306</v>
      </c>
      <c r="R95" s="6" t="s">
        <v>307</v>
      </c>
      <c r="S95" s="6"/>
    </row>
    <row r="96" customFormat="false" ht="15" hidden="false" customHeight="false" outlineLevel="0" collapsed="false">
      <c r="A96" s="6" t="s">
        <v>311</v>
      </c>
      <c r="B96" s="6" t="s">
        <v>51</v>
      </c>
      <c r="C96" s="6" t="s">
        <v>98</v>
      </c>
      <c r="D96" s="6" t="s">
        <v>148</v>
      </c>
      <c r="E96" s="6" t="n">
        <v>15</v>
      </c>
      <c r="F96" s="7" t="n">
        <v>10.4</v>
      </c>
      <c r="G96" s="7" t="n">
        <v>0</v>
      </c>
      <c r="H96" s="7" t="n">
        <v>12.6</v>
      </c>
      <c r="I96" s="7" t="n">
        <v>0.6</v>
      </c>
      <c r="J96" s="7" t="n">
        <v>1.2</v>
      </c>
      <c r="K96" s="7" t="n">
        <v>2</v>
      </c>
      <c r="L96" s="6" t="n">
        <v>42</v>
      </c>
      <c r="M96" s="6" t="n">
        <v>20</v>
      </c>
      <c r="N96" s="7" t="n">
        <v>9.4</v>
      </c>
      <c r="O96" s="6" t="s">
        <v>191</v>
      </c>
      <c r="P96" s="6" t="s">
        <v>293</v>
      </c>
      <c r="Q96" s="6" t="s">
        <v>306</v>
      </c>
      <c r="R96" s="6" t="s">
        <v>307</v>
      </c>
      <c r="S96" s="6"/>
    </row>
    <row r="97" customFormat="false" ht="15" hidden="false" customHeight="false" outlineLevel="0" collapsed="false">
      <c r="A97" s="6" t="s">
        <v>312</v>
      </c>
      <c r="B97" s="6" t="s">
        <v>51</v>
      </c>
      <c r="C97" s="6" t="s">
        <v>98</v>
      </c>
      <c r="D97" s="6" t="s">
        <v>148</v>
      </c>
      <c r="E97" s="6" t="n">
        <v>16</v>
      </c>
      <c r="F97" s="7" t="n">
        <v>11</v>
      </c>
      <c r="G97" s="7" t="n">
        <v>0</v>
      </c>
      <c r="H97" s="7" t="n">
        <v>12.6</v>
      </c>
      <c r="I97" s="7" t="n">
        <v>0.6</v>
      </c>
      <c r="J97" s="7" t="n">
        <v>1.2</v>
      </c>
      <c r="K97" s="7" t="n">
        <v>2</v>
      </c>
      <c r="L97" s="6" t="n">
        <v>42</v>
      </c>
      <c r="M97" s="6" t="n">
        <v>20</v>
      </c>
      <c r="N97" s="7" t="n">
        <v>10</v>
      </c>
      <c r="O97" s="6" t="s">
        <v>191</v>
      </c>
      <c r="P97" s="6" t="s">
        <v>293</v>
      </c>
      <c r="Q97" s="6" t="s">
        <v>306</v>
      </c>
      <c r="R97" s="6" t="s">
        <v>307</v>
      </c>
      <c r="S97" s="6"/>
    </row>
    <row r="98" customFormat="false" ht="15" hidden="false" customHeight="false" outlineLevel="0" collapsed="false">
      <c r="A98" s="6" t="s">
        <v>313</v>
      </c>
      <c r="B98" s="6" t="s">
        <v>51</v>
      </c>
      <c r="C98" s="6" t="s">
        <v>98</v>
      </c>
      <c r="D98" s="6" t="s">
        <v>148</v>
      </c>
      <c r="E98" s="6" t="n">
        <v>17</v>
      </c>
      <c r="F98" s="7" t="n">
        <v>11.6</v>
      </c>
      <c r="G98" s="7" t="n">
        <v>0</v>
      </c>
      <c r="H98" s="7" t="n">
        <v>12.6</v>
      </c>
      <c r="I98" s="7" t="n">
        <v>0.6</v>
      </c>
      <c r="J98" s="7" t="n">
        <v>1.2</v>
      </c>
      <c r="K98" s="7" t="n">
        <v>2</v>
      </c>
      <c r="L98" s="6" t="n">
        <v>42</v>
      </c>
      <c r="M98" s="6" t="n">
        <v>20</v>
      </c>
      <c r="N98" s="7" t="n">
        <v>0</v>
      </c>
      <c r="O98" s="6" t="s">
        <v>215</v>
      </c>
      <c r="P98" s="6"/>
      <c r="Q98" s="6" t="s">
        <v>306</v>
      </c>
      <c r="R98" s="6" t="s">
        <v>307</v>
      </c>
      <c r="S98" s="6"/>
    </row>
    <row r="99" customFormat="false" ht="15" hidden="false" customHeight="false" outlineLevel="0" collapsed="false">
      <c r="A99" s="6" t="s">
        <v>314</v>
      </c>
      <c r="B99" s="6" t="s">
        <v>51</v>
      </c>
      <c r="C99" s="6" t="s">
        <v>98</v>
      </c>
      <c r="D99" s="6" t="s">
        <v>148</v>
      </c>
      <c r="E99" s="6" t="n">
        <v>18</v>
      </c>
      <c r="F99" s="7" t="n">
        <v>12.2</v>
      </c>
      <c r="G99" s="7" t="n">
        <v>0</v>
      </c>
      <c r="H99" s="7" t="n">
        <v>12.6</v>
      </c>
      <c r="I99" s="7" t="n">
        <v>0.6</v>
      </c>
      <c r="J99" s="7" t="n">
        <v>1.2</v>
      </c>
      <c r="K99" s="7" t="n">
        <v>2</v>
      </c>
      <c r="L99" s="6" t="n">
        <v>42</v>
      </c>
      <c r="M99" s="6" t="n">
        <v>20</v>
      </c>
      <c r="N99" s="7" t="n">
        <v>0</v>
      </c>
      <c r="O99" s="6" t="s">
        <v>215</v>
      </c>
      <c r="P99" s="6"/>
      <c r="Q99" s="6" t="s">
        <v>306</v>
      </c>
      <c r="R99" s="6" t="s">
        <v>307</v>
      </c>
      <c r="S99" s="6"/>
    </row>
    <row r="100" customFormat="false" ht="15" hidden="false" customHeight="false" outlineLevel="0" collapsed="false">
      <c r="A100" s="6" t="s">
        <v>315</v>
      </c>
      <c r="B100" s="6" t="s">
        <v>51</v>
      </c>
      <c r="C100" s="6" t="s">
        <v>98</v>
      </c>
      <c r="D100" s="6" t="s">
        <v>148</v>
      </c>
      <c r="E100" s="6" t="n">
        <v>19</v>
      </c>
      <c r="F100" s="7" t="n">
        <v>12.8</v>
      </c>
      <c r="G100" s="7" t="n">
        <v>0</v>
      </c>
      <c r="H100" s="7" t="n">
        <v>12.6</v>
      </c>
      <c r="I100" s="7" t="n">
        <v>0.6</v>
      </c>
      <c r="J100" s="7" t="n">
        <v>1.2</v>
      </c>
      <c r="K100" s="7" t="n">
        <v>2</v>
      </c>
      <c r="L100" s="6" t="n">
        <v>42</v>
      </c>
      <c r="M100" s="6" t="n">
        <v>20</v>
      </c>
      <c r="N100" s="7" t="n">
        <v>0</v>
      </c>
      <c r="O100" s="6" t="s">
        <v>215</v>
      </c>
      <c r="P100" s="6"/>
      <c r="Q100" s="6" t="s">
        <v>306</v>
      </c>
      <c r="R100" s="6" t="s">
        <v>307</v>
      </c>
      <c r="S100" s="6"/>
    </row>
    <row r="101" customFormat="false" ht="15" hidden="false" customHeight="false" outlineLevel="0" collapsed="false">
      <c r="A101" s="6" t="s">
        <v>316</v>
      </c>
      <c r="B101" s="6" t="s">
        <v>51</v>
      </c>
      <c r="C101" s="6" t="s">
        <v>98</v>
      </c>
      <c r="D101" s="6" t="s">
        <v>148</v>
      </c>
      <c r="E101" s="6" t="n">
        <v>20</v>
      </c>
      <c r="F101" s="7" t="n">
        <v>13.4</v>
      </c>
      <c r="G101" s="7" t="n">
        <v>0</v>
      </c>
      <c r="H101" s="7" t="n">
        <v>12.6</v>
      </c>
      <c r="I101" s="7" t="n">
        <v>0.6</v>
      </c>
      <c r="J101" s="7" t="n">
        <v>1.2</v>
      </c>
      <c r="K101" s="7" t="n">
        <v>2</v>
      </c>
      <c r="L101" s="6" t="n">
        <v>42</v>
      </c>
      <c r="M101" s="6" t="n">
        <v>20</v>
      </c>
      <c r="N101" s="7" t="n">
        <v>0</v>
      </c>
      <c r="O101" s="6" t="s">
        <v>215</v>
      </c>
      <c r="P101" s="6"/>
      <c r="Q101" s="6" t="s">
        <v>306</v>
      </c>
      <c r="R101" s="6" t="s">
        <v>307</v>
      </c>
      <c r="S101" s="6"/>
    </row>
    <row r="102" customFormat="false" ht="15" hidden="false" customHeight="false" outlineLevel="0" collapsed="false">
      <c r="A102" s="6" t="s">
        <v>317</v>
      </c>
      <c r="B102" s="6" t="s">
        <v>51</v>
      </c>
      <c r="C102" s="6" t="s">
        <v>98</v>
      </c>
      <c r="D102" s="6" t="s">
        <v>149</v>
      </c>
      <c r="E102" s="6" t="n">
        <v>1</v>
      </c>
      <c r="F102" s="7" t="n">
        <v>2</v>
      </c>
      <c r="G102" s="7" t="n">
        <v>0</v>
      </c>
      <c r="H102" s="7" t="n">
        <v>15</v>
      </c>
      <c r="I102" s="7" t="n">
        <v>0.6</v>
      </c>
      <c r="J102" s="7" t="n">
        <v>1.2</v>
      </c>
      <c r="K102" s="7" t="n">
        <v>2</v>
      </c>
      <c r="L102" s="6" t="n">
        <v>42</v>
      </c>
      <c r="M102" s="6" t="n">
        <v>20</v>
      </c>
      <c r="N102" s="7" t="n">
        <v>8.8</v>
      </c>
      <c r="O102" s="6" t="s">
        <v>191</v>
      </c>
      <c r="P102" s="6" t="s">
        <v>318</v>
      </c>
      <c r="Q102" s="6" t="s">
        <v>319</v>
      </c>
      <c r="R102" s="6" t="s">
        <v>320</v>
      </c>
      <c r="S102" s="6"/>
    </row>
    <row r="103" customFormat="false" ht="15" hidden="false" customHeight="false" outlineLevel="0" collapsed="false">
      <c r="A103" s="6" t="s">
        <v>321</v>
      </c>
      <c r="B103" s="6" t="s">
        <v>51</v>
      </c>
      <c r="C103" s="6" t="s">
        <v>98</v>
      </c>
      <c r="D103" s="6" t="s">
        <v>149</v>
      </c>
      <c r="E103" s="6" t="n">
        <v>2</v>
      </c>
      <c r="F103" s="7" t="n">
        <v>2.6</v>
      </c>
      <c r="G103" s="7" t="n">
        <v>0</v>
      </c>
      <c r="H103" s="7" t="n">
        <v>15</v>
      </c>
      <c r="I103" s="7" t="n">
        <v>0.6</v>
      </c>
      <c r="J103" s="7" t="n">
        <v>1.2</v>
      </c>
      <c r="K103" s="7" t="n">
        <v>2</v>
      </c>
      <c r="L103" s="6" t="n">
        <v>42</v>
      </c>
      <c r="M103" s="6" t="n">
        <v>20</v>
      </c>
      <c r="N103" s="7" t="n">
        <v>8.8</v>
      </c>
      <c r="O103" s="6" t="s">
        <v>191</v>
      </c>
      <c r="P103" s="6" t="s">
        <v>318</v>
      </c>
      <c r="Q103" s="6" t="s">
        <v>319</v>
      </c>
      <c r="R103" s="6" t="s">
        <v>320</v>
      </c>
      <c r="S103" s="6"/>
    </row>
    <row r="104" customFormat="false" ht="15" hidden="false" customHeight="false" outlineLevel="0" collapsed="false">
      <c r="A104" s="6" t="s">
        <v>322</v>
      </c>
      <c r="B104" s="6" t="s">
        <v>51</v>
      </c>
      <c r="C104" s="6" t="s">
        <v>98</v>
      </c>
      <c r="D104" s="6" t="s">
        <v>149</v>
      </c>
      <c r="E104" s="6" t="n">
        <v>3</v>
      </c>
      <c r="F104" s="7" t="n">
        <v>3.2</v>
      </c>
      <c r="G104" s="7" t="n">
        <v>0</v>
      </c>
      <c r="H104" s="7" t="n">
        <v>15</v>
      </c>
      <c r="I104" s="7" t="n">
        <v>0.6</v>
      </c>
      <c r="J104" s="7" t="n">
        <v>1.2</v>
      </c>
      <c r="K104" s="7" t="n">
        <v>2</v>
      </c>
      <c r="L104" s="6" t="n">
        <v>42</v>
      </c>
      <c r="M104" s="6" t="n">
        <v>20</v>
      </c>
      <c r="N104" s="7" t="n">
        <v>8.8</v>
      </c>
      <c r="O104" s="6" t="s">
        <v>191</v>
      </c>
      <c r="P104" s="6" t="s">
        <v>318</v>
      </c>
      <c r="Q104" s="6" t="s">
        <v>319</v>
      </c>
      <c r="R104" s="6" t="s">
        <v>320</v>
      </c>
      <c r="S104" s="6"/>
    </row>
    <row r="105" customFormat="false" ht="15" hidden="false" customHeight="false" outlineLevel="0" collapsed="false">
      <c r="A105" s="6" t="s">
        <v>323</v>
      </c>
      <c r="B105" s="6" t="s">
        <v>51</v>
      </c>
      <c r="C105" s="6" t="s">
        <v>98</v>
      </c>
      <c r="D105" s="6" t="s">
        <v>149</v>
      </c>
      <c r="E105" s="6" t="n">
        <v>4</v>
      </c>
      <c r="F105" s="7" t="n">
        <v>3.8</v>
      </c>
      <c r="G105" s="7" t="n">
        <v>0</v>
      </c>
      <c r="H105" s="7" t="n">
        <v>15</v>
      </c>
      <c r="I105" s="7" t="n">
        <v>0.6</v>
      </c>
      <c r="J105" s="7" t="n">
        <v>1.2</v>
      </c>
      <c r="K105" s="7" t="n">
        <v>2</v>
      </c>
      <c r="L105" s="6" t="n">
        <v>42</v>
      </c>
      <c r="M105" s="6" t="n">
        <v>20</v>
      </c>
      <c r="N105" s="7" t="n">
        <v>8.8</v>
      </c>
      <c r="O105" s="6" t="s">
        <v>191</v>
      </c>
      <c r="P105" s="6" t="s">
        <v>318</v>
      </c>
      <c r="Q105" s="6" t="s">
        <v>319</v>
      </c>
      <c r="R105" s="6" t="s">
        <v>320</v>
      </c>
      <c r="S105" s="6"/>
    </row>
    <row r="106" customFormat="false" ht="15" hidden="false" customHeight="false" outlineLevel="0" collapsed="false">
      <c r="A106" s="6" t="s">
        <v>324</v>
      </c>
      <c r="B106" s="6" t="s">
        <v>51</v>
      </c>
      <c r="C106" s="6" t="s">
        <v>98</v>
      </c>
      <c r="D106" s="6" t="s">
        <v>149</v>
      </c>
      <c r="E106" s="6" t="n">
        <v>5</v>
      </c>
      <c r="F106" s="7" t="n">
        <v>4.4</v>
      </c>
      <c r="G106" s="7" t="n">
        <v>0</v>
      </c>
      <c r="H106" s="7" t="n">
        <v>15</v>
      </c>
      <c r="I106" s="7" t="n">
        <v>0.6</v>
      </c>
      <c r="J106" s="7" t="n">
        <v>1.2</v>
      </c>
      <c r="K106" s="7" t="n">
        <v>2</v>
      </c>
      <c r="L106" s="6" t="n">
        <v>42</v>
      </c>
      <c r="M106" s="6" t="n">
        <v>20</v>
      </c>
      <c r="N106" s="7" t="n">
        <v>8.8</v>
      </c>
      <c r="O106" s="6" t="s">
        <v>191</v>
      </c>
      <c r="P106" s="6" t="s">
        <v>318</v>
      </c>
      <c r="Q106" s="6" t="s">
        <v>319</v>
      </c>
      <c r="R106" s="6" t="s">
        <v>320</v>
      </c>
      <c r="S106" s="6"/>
    </row>
    <row r="107" customFormat="false" ht="15" hidden="false" customHeight="false" outlineLevel="0" collapsed="false">
      <c r="A107" s="6" t="s">
        <v>325</v>
      </c>
      <c r="B107" s="6" t="s">
        <v>51</v>
      </c>
      <c r="C107" s="6" t="s">
        <v>98</v>
      </c>
      <c r="D107" s="6" t="s">
        <v>149</v>
      </c>
      <c r="E107" s="6" t="n">
        <v>6</v>
      </c>
      <c r="F107" s="7" t="n">
        <v>5</v>
      </c>
      <c r="G107" s="7" t="n">
        <v>0</v>
      </c>
      <c r="H107" s="7" t="n">
        <v>15</v>
      </c>
      <c r="I107" s="7" t="n">
        <v>0.6</v>
      </c>
      <c r="J107" s="7" t="n">
        <v>1.2</v>
      </c>
      <c r="K107" s="7" t="n">
        <v>2</v>
      </c>
      <c r="L107" s="6" t="n">
        <v>42</v>
      </c>
      <c r="M107" s="6" t="n">
        <v>20</v>
      </c>
      <c r="N107" s="7" t="n">
        <v>8.8</v>
      </c>
      <c r="O107" s="6" t="s">
        <v>191</v>
      </c>
      <c r="P107" s="6" t="s">
        <v>318</v>
      </c>
      <c r="Q107" s="6" t="s">
        <v>319</v>
      </c>
      <c r="R107" s="6" t="s">
        <v>320</v>
      </c>
      <c r="S107" s="6"/>
    </row>
    <row r="108" customFormat="false" ht="15" hidden="false" customHeight="false" outlineLevel="0" collapsed="false">
      <c r="A108" s="6" t="s">
        <v>326</v>
      </c>
      <c r="B108" s="6" t="s">
        <v>51</v>
      </c>
      <c r="C108" s="6" t="s">
        <v>98</v>
      </c>
      <c r="D108" s="6" t="s">
        <v>149</v>
      </c>
      <c r="E108" s="6" t="n">
        <v>7</v>
      </c>
      <c r="F108" s="7" t="n">
        <v>5.6</v>
      </c>
      <c r="G108" s="7" t="n">
        <v>0</v>
      </c>
      <c r="H108" s="7" t="n">
        <v>15</v>
      </c>
      <c r="I108" s="7" t="n">
        <v>0.6</v>
      </c>
      <c r="J108" s="7" t="n">
        <v>1.2</v>
      </c>
      <c r="K108" s="7" t="n">
        <v>2</v>
      </c>
      <c r="L108" s="6" t="n">
        <v>42</v>
      </c>
      <c r="M108" s="6" t="n">
        <v>20</v>
      </c>
      <c r="N108" s="7" t="n">
        <v>8.8</v>
      </c>
      <c r="O108" s="6" t="s">
        <v>191</v>
      </c>
      <c r="P108" s="6" t="s">
        <v>318</v>
      </c>
      <c r="Q108" s="6" t="s">
        <v>319</v>
      </c>
      <c r="R108" s="6" t="s">
        <v>320</v>
      </c>
      <c r="S108" s="6"/>
    </row>
    <row r="109" customFormat="false" ht="15" hidden="false" customHeight="false" outlineLevel="0" collapsed="false">
      <c r="A109" s="6" t="s">
        <v>327</v>
      </c>
      <c r="B109" s="6" t="s">
        <v>51</v>
      </c>
      <c r="C109" s="6" t="s">
        <v>98</v>
      </c>
      <c r="D109" s="6" t="s">
        <v>149</v>
      </c>
      <c r="E109" s="6" t="n">
        <v>8</v>
      </c>
      <c r="F109" s="7" t="n">
        <v>6.2</v>
      </c>
      <c r="G109" s="7" t="n">
        <v>0</v>
      </c>
      <c r="H109" s="7" t="n">
        <v>15</v>
      </c>
      <c r="I109" s="7" t="n">
        <v>0.6</v>
      </c>
      <c r="J109" s="7" t="n">
        <v>1.2</v>
      </c>
      <c r="K109" s="7" t="n">
        <v>2</v>
      </c>
      <c r="L109" s="6" t="n">
        <v>42</v>
      </c>
      <c r="M109" s="6" t="n">
        <v>20</v>
      </c>
      <c r="N109" s="7" t="n">
        <v>8.8</v>
      </c>
      <c r="O109" s="6" t="s">
        <v>191</v>
      </c>
      <c r="P109" s="6" t="s">
        <v>318</v>
      </c>
      <c r="Q109" s="6" t="s">
        <v>319</v>
      </c>
      <c r="R109" s="6" t="s">
        <v>320</v>
      </c>
      <c r="S109" s="6"/>
    </row>
    <row r="110" customFormat="false" ht="15" hidden="false" customHeight="false" outlineLevel="0" collapsed="false">
      <c r="A110" s="6" t="s">
        <v>328</v>
      </c>
      <c r="B110" s="6" t="s">
        <v>51</v>
      </c>
      <c r="C110" s="6" t="s">
        <v>98</v>
      </c>
      <c r="D110" s="6" t="s">
        <v>149</v>
      </c>
      <c r="E110" s="6" t="n">
        <v>9</v>
      </c>
      <c r="F110" s="7" t="n">
        <v>6.8</v>
      </c>
      <c r="G110" s="7" t="n">
        <v>0</v>
      </c>
      <c r="H110" s="7" t="n">
        <v>15</v>
      </c>
      <c r="I110" s="7" t="n">
        <v>0.6</v>
      </c>
      <c r="J110" s="7" t="n">
        <v>1.2</v>
      </c>
      <c r="K110" s="7" t="n">
        <v>2</v>
      </c>
      <c r="L110" s="6" t="n">
        <v>42</v>
      </c>
      <c r="M110" s="6" t="n">
        <v>20</v>
      </c>
      <c r="N110" s="7" t="n">
        <v>8.8</v>
      </c>
      <c r="O110" s="6" t="s">
        <v>191</v>
      </c>
      <c r="P110" s="6" t="s">
        <v>318</v>
      </c>
      <c r="Q110" s="6" t="s">
        <v>319</v>
      </c>
      <c r="R110" s="6" t="s">
        <v>320</v>
      </c>
      <c r="S110" s="6"/>
    </row>
    <row r="111" customFormat="false" ht="15" hidden="false" customHeight="false" outlineLevel="0" collapsed="false">
      <c r="A111" s="6" t="s">
        <v>329</v>
      </c>
      <c r="B111" s="6" t="s">
        <v>51</v>
      </c>
      <c r="C111" s="6" t="s">
        <v>98</v>
      </c>
      <c r="D111" s="6" t="s">
        <v>149</v>
      </c>
      <c r="E111" s="6" t="n">
        <v>10</v>
      </c>
      <c r="F111" s="7" t="n">
        <v>7.4</v>
      </c>
      <c r="G111" s="7" t="n">
        <v>0</v>
      </c>
      <c r="H111" s="7" t="n">
        <v>15</v>
      </c>
      <c r="I111" s="7" t="n">
        <v>0.6</v>
      </c>
      <c r="J111" s="7" t="n">
        <v>1.2</v>
      </c>
      <c r="K111" s="7" t="n">
        <v>2</v>
      </c>
      <c r="L111" s="6" t="n">
        <v>42</v>
      </c>
      <c r="M111" s="6" t="n">
        <v>20</v>
      </c>
      <c r="N111" s="7" t="n">
        <v>8.8</v>
      </c>
      <c r="O111" s="6" t="s">
        <v>191</v>
      </c>
      <c r="P111" s="6" t="s">
        <v>318</v>
      </c>
      <c r="Q111" s="6" t="s">
        <v>319</v>
      </c>
      <c r="R111" s="6" t="s">
        <v>320</v>
      </c>
      <c r="S111" s="6"/>
    </row>
    <row r="112" customFormat="false" ht="15" hidden="false" customHeight="false" outlineLevel="0" collapsed="false">
      <c r="A112" s="6" t="s">
        <v>330</v>
      </c>
      <c r="B112" s="6" t="s">
        <v>51</v>
      </c>
      <c r="C112" s="6" t="s">
        <v>98</v>
      </c>
      <c r="D112" s="6" t="s">
        <v>149</v>
      </c>
      <c r="E112" s="6" t="n">
        <v>11</v>
      </c>
      <c r="F112" s="7" t="n">
        <v>8</v>
      </c>
      <c r="G112" s="7" t="n">
        <v>0</v>
      </c>
      <c r="H112" s="7" t="n">
        <v>15</v>
      </c>
      <c r="I112" s="7" t="n">
        <v>0.6</v>
      </c>
      <c r="J112" s="7" t="n">
        <v>1.2</v>
      </c>
      <c r="K112" s="7" t="n">
        <v>2</v>
      </c>
      <c r="L112" s="6" t="n">
        <v>42</v>
      </c>
      <c r="M112" s="6" t="n">
        <v>20</v>
      </c>
      <c r="N112" s="7" t="n">
        <v>8.8</v>
      </c>
      <c r="O112" s="6" t="s">
        <v>191</v>
      </c>
      <c r="P112" s="6" t="s">
        <v>318</v>
      </c>
      <c r="Q112" s="6" t="s">
        <v>331</v>
      </c>
      <c r="R112" s="6" t="s">
        <v>332</v>
      </c>
      <c r="S112" s="6"/>
    </row>
    <row r="113" customFormat="false" ht="15" hidden="false" customHeight="false" outlineLevel="0" collapsed="false">
      <c r="A113" s="6" t="s">
        <v>333</v>
      </c>
      <c r="B113" s="6" t="s">
        <v>51</v>
      </c>
      <c r="C113" s="6" t="s">
        <v>98</v>
      </c>
      <c r="D113" s="6" t="s">
        <v>149</v>
      </c>
      <c r="E113" s="6" t="n">
        <v>12</v>
      </c>
      <c r="F113" s="7" t="n">
        <v>8.6</v>
      </c>
      <c r="G113" s="7" t="n">
        <v>0</v>
      </c>
      <c r="H113" s="7" t="n">
        <v>15</v>
      </c>
      <c r="I113" s="7" t="n">
        <v>0.6</v>
      </c>
      <c r="J113" s="7" t="n">
        <v>1.2</v>
      </c>
      <c r="K113" s="7" t="n">
        <v>2</v>
      </c>
      <c r="L113" s="6" t="n">
        <v>42</v>
      </c>
      <c r="M113" s="6" t="n">
        <v>20</v>
      </c>
      <c r="N113" s="7" t="n">
        <v>8.8</v>
      </c>
      <c r="O113" s="6" t="s">
        <v>191</v>
      </c>
      <c r="P113" s="6" t="s">
        <v>318</v>
      </c>
      <c r="Q113" s="6" t="s">
        <v>331</v>
      </c>
      <c r="R113" s="6" t="s">
        <v>332</v>
      </c>
      <c r="S113" s="6"/>
    </row>
    <row r="114" customFormat="false" ht="15" hidden="false" customHeight="false" outlineLevel="0" collapsed="false">
      <c r="A114" s="6" t="s">
        <v>334</v>
      </c>
      <c r="B114" s="6" t="s">
        <v>51</v>
      </c>
      <c r="C114" s="6" t="s">
        <v>98</v>
      </c>
      <c r="D114" s="6" t="s">
        <v>149</v>
      </c>
      <c r="E114" s="6" t="n">
        <v>13</v>
      </c>
      <c r="F114" s="7" t="n">
        <v>9.2</v>
      </c>
      <c r="G114" s="7" t="n">
        <v>0</v>
      </c>
      <c r="H114" s="7" t="n">
        <v>15</v>
      </c>
      <c r="I114" s="7" t="n">
        <v>0.6</v>
      </c>
      <c r="J114" s="7" t="n">
        <v>1.2</v>
      </c>
      <c r="K114" s="7" t="n">
        <v>2</v>
      </c>
      <c r="L114" s="6" t="n">
        <v>42</v>
      </c>
      <c r="M114" s="6" t="n">
        <v>20</v>
      </c>
      <c r="N114" s="7" t="n">
        <v>8.8</v>
      </c>
      <c r="O114" s="6" t="s">
        <v>191</v>
      </c>
      <c r="P114" s="6" t="s">
        <v>318</v>
      </c>
      <c r="Q114" s="6" t="s">
        <v>331</v>
      </c>
      <c r="R114" s="6" t="s">
        <v>332</v>
      </c>
      <c r="S114" s="6"/>
    </row>
    <row r="115" customFormat="false" ht="15" hidden="false" customHeight="false" outlineLevel="0" collapsed="false">
      <c r="A115" s="6" t="s">
        <v>335</v>
      </c>
      <c r="B115" s="6" t="s">
        <v>51</v>
      </c>
      <c r="C115" s="6" t="s">
        <v>98</v>
      </c>
      <c r="D115" s="6" t="s">
        <v>149</v>
      </c>
      <c r="E115" s="6" t="n">
        <v>14</v>
      </c>
      <c r="F115" s="7" t="n">
        <v>9.8</v>
      </c>
      <c r="G115" s="7" t="n">
        <v>0</v>
      </c>
      <c r="H115" s="7" t="n">
        <v>15</v>
      </c>
      <c r="I115" s="7" t="n">
        <v>0.6</v>
      </c>
      <c r="J115" s="7" t="n">
        <v>1.2</v>
      </c>
      <c r="K115" s="7" t="n">
        <v>2</v>
      </c>
      <c r="L115" s="6" t="n">
        <v>42</v>
      </c>
      <c r="M115" s="6" t="n">
        <v>20</v>
      </c>
      <c r="N115" s="7" t="n">
        <v>8.8</v>
      </c>
      <c r="O115" s="6" t="s">
        <v>191</v>
      </c>
      <c r="P115" s="6" t="s">
        <v>318</v>
      </c>
      <c r="Q115" s="6" t="s">
        <v>331</v>
      </c>
      <c r="R115" s="6" t="s">
        <v>332</v>
      </c>
      <c r="S115" s="6"/>
    </row>
    <row r="116" customFormat="false" ht="15" hidden="false" customHeight="false" outlineLevel="0" collapsed="false">
      <c r="A116" s="6" t="s">
        <v>336</v>
      </c>
      <c r="B116" s="6" t="s">
        <v>51</v>
      </c>
      <c r="C116" s="6" t="s">
        <v>98</v>
      </c>
      <c r="D116" s="6" t="s">
        <v>149</v>
      </c>
      <c r="E116" s="6" t="n">
        <v>15</v>
      </c>
      <c r="F116" s="7" t="n">
        <v>10.4</v>
      </c>
      <c r="G116" s="7" t="n">
        <v>0</v>
      </c>
      <c r="H116" s="7" t="n">
        <v>15</v>
      </c>
      <c r="I116" s="7" t="n">
        <v>0.6</v>
      </c>
      <c r="J116" s="7" t="n">
        <v>1.2</v>
      </c>
      <c r="K116" s="7" t="n">
        <v>2</v>
      </c>
      <c r="L116" s="6" t="n">
        <v>42</v>
      </c>
      <c r="M116" s="6" t="n">
        <v>20</v>
      </c>
      <c r="N116" s="7" t="n">
        <v>8.8</v>
      </c>
      <c r="O116" s="6" t="s">
        <v>191</v>
      </c>
      <c r="P116" s="6" t="s">
        <v>318</v>
      </c>
      <c r="Q116" s="6" t="s">
        <v>331</v>
      </c>
      <c r="R116" s="6" t="s">
        <v>332</v>
      </c>
      <c r="S116" s="6"/>
    </row>
    <row r="117" customFormat="false" ht="15" hidden="false" customHeight="false" outlineLevel="0" collapsed="false">
      <c r="A117" s="6" t="s">
        <v>337</v>
      </c>
      <c r="B117" s="6" t="s">
        <v>51</v>
      </c>
      <c r="C117" s="6" t="s">
        <v>98</v>
      </c>
      <c r="D117" s="6" t="s">
        <v>149</v>
      </c>
      <c r="E117" s="6" t="n">
        <v>16</v>
      </c>
      <c r="F117" s="7" t="n">
        <v>11</v>
      </c>
      <c r="G117" s="7" t="n">
        <v>0</v>
      </c>
      <c r="H117" s="7" t="n">
        <v>15</v>
      </c>
      <c r="I117" s="7" t="n">
        <v>0.6</v>
      </c>
      <c r="J117" s="7" t="n">
        <v>1.2</v>
      </c>
      <c r="K117" s="7" t="n">
        <v>2</v>
      </c>
      <c r="L117" s="6" t="n">
        <v>42</v>
      </c>
      <c r="M117" s="6" t="n">
        <v>20</v>
      </c>
      <c r="N117" s="7" t="n">
        <v>8.8</v>
      </c>
      <c r="O117" s="6" t="s">
        <v>191</v>
      </c>
      <c r="P117" s="6" t="s">
        <v>318</v>
      </c>
      <c r="Q117" s="6" t="s">
        <v>331</v>
      </c>
      <c r="R117" s="6" t="s">
        <v>332</v>
      </c>
      <c r="S117" s="6"/>
    </row>
    <row r="118" customFormat="false" ht="15" hidden="false" customHeight="false" outlineLevel="0" collapsed="false">
      <c r="A118" s="6" t="s">
        <v>338</v>
      </c>
      <c r="B118" s="6" t="s">
        <v>51</v>
      </c>
      <c r="C118" s="6" t="s">
        <v>98</v>
      </c>
      <c r="D118" s="6" t="s">
        <v>149</v>
      </c>
      <c r="E118" s="6" t="n">
        <v>17</v>
      </c>
      <c r="F118" s="7" t="n">
        <v>11.6</v>
      </c>
      <c r="G118" s="7" t="n">
        <v>0</v>
      </c>
      <c r="H118" s="7" t="n">
        <v>15</v>
      </c>
      <c r="I118" s="7" t="n">
        <v>0.6</v>
      </c>
      <c r="J118" s="7" t="n">
        <v>1.2</v>
      </c>
      <c r="K118" s="7" t="n">
        <v>2</v>
      </c>
      <c r="L118" s="6" t="n">
        <v>42</v>
      </c>
      <c r="M118" s="6" t="n">
        <v>20</v>
      </c>
      <c r="N118" s="7" t="n">
        <v>8.8</v>
      </c>
      <c r="O118" s="6" t="s">
        <v>191</v>
      </c>
      <c r="P118" s="6" t="s">
        <v>318</v>
      </c>
      <c r="Q118" s="6" t="s">
        <v>331</v>
      </c>
      <c r="R118" s="6" t="s">
        <v>332</v>
      </c>
      <c r="S118" s="6"/>
    </row>
    <row r="119" customFormat="false" ht="15" hidden="false" customHeight="false" outlineLevel="0" collapsed="false">
      <c r="A119" s="6" t="s">
        <v>339</v>
      </c>
      <c r="B119" s="6" t="s">
        <v>51</v>
      </c>
      <c r="C119" s="6" t="s">
        <v>98</v>
      </c>
      <c r="D119" s="6" t="s">
        <v>149</v>
      </c>
      <c r="E119" s="6" t="n">
        <v>18</v>
      </c>
      <c r="F119" s="7" t="n">
        <v>12.2</v>
      </c>
      <c r="G119" s="7" t="n">
        <v>0</v>
      </c>
      <c r="H119" s="7" t="n">
        <v>15</v>
      </c>
      <c r="I119" s="7" t="n">
        <v>0.6</v>
      </c>
      <c r="J119" s="7" t="n">
        <v>1.2</v>
      </c>
      <c r="K119" s="7" t="n">
        <v>2</v>
      </c>
      <c r="L119" s="6" t="n">
        <v>42</v>
      </c>
      <c r="M119" s="6" t="n">
        <v>20</v>
      </c>
      <c r="N119" s="7" t="n">
        <v>9.4</v>
      </c>
      <c r="O119" s="6" t="s">
        <v>191</v>
      </c>
      <c r="P119" s="6" t="s">
        <v>318</v>
      </c>
      <c r="Q119" s="6" t="s">
        <v>331</v>
      </c>
      <c r="R119" s="6" t="s">
        <v>332</v>
      </c>
      <c r="S119" s="6"/>
    </row>
    <row r="120" customFormat="false" ht="15" hidden="false" customHeight="false" outlineLevel="0" collapsed="false">
      <c r="A120" s="6" t="s">
        <v>340</v>
      </c>
      <c r="B120" s="6" t="s">
        <v>51</v>
      </c>
      <c r="C120" s="6" t="s">
        <v>98</v>
      </c>
      <c r="D120" s="6" t="s">
        <v>149</v>
      </c>
      <c r="E120" s="6" t="n">
        <v>19</v>
      </c>
      <c r="F120" s="7" t="n">
        <v>12.8</v>
      </c>
      <c r="G120" s="7" t="n">
        <v>0</v>
      </c>
      <c r="H120" s="7" t="n">
        <v>15</v>
      </c>
      <c r="I120" s="7" t="n">
        <v>0.6</v>
      </c>
      <c r="J120" s="7" t="n">
        <v>1.2</v>
      </c>
      <c r="K120" s="7" t="n">
        <v>2</v>
      </c>
      <c r="L120" s="6" t="n">
        <v>42</v>
      </c>
      <c r="M120" s="6" t="n">
        <v>20</v>
      </c>
      <c r="N120" s="7" t="n">
        <v>0</v>
      </c>
      <c r="O120" s="6" t="s">
        <v>215</v>
      </c>
      <c r="P120" s="6"/>
      <c r="Q120" s="6" t="s">
        <v>331</v>
      </c>
      <c r="R120" s="6" t="s">
        <v>332</v>
      </c>
      <c r="S120" s="6"/>
    </row>
    <row r="121" customFormat="false" ht="15" hidden="false" customHeight="false" outlineLevel="0" collapsed="false">
      <c r="A121" s="6" t="s">
        <v>341</v>
      </c>
      <c r="B121" s="6" t="s">
        <v>51</v>
      </c>
      <c r="C121" s="6" t="s">
        <v>98</v>
      </c>
      <c r="D121" s="6" t="s">
        <v>149</v>
      </c>
      <c r="E121" s="6" t="n">
        <v>20</v>
      </c>
      <c r="F121" s="7" t="n">
        <v>13.4</v>
      </c>
      <c r="G121" s="7" t="n">
        <v>0</v>
      </c>
      <c r="H121" s="7" t="n">
        <v>15</v>
      </c>
      <c r="I121" s="7" t="n">
        <v>0.6</v>
      </c>
      <c r="J121" s="7" t="n">
        <v>1.2</v>
      </c>
      <c r="K121" s="7" t="n">
        <v>2</v>
      </c>
      <c r="L121" s="6" t="n">
        <v>42</v>
      </c>
      <c r="M121" s="6" t="n">
        <v>20</v>
      </c>
      <c r="N121" s="7" t="n">
        <v>0</v>
      </c>
      <c r="O121" s="6" t="s">
        <v>215</v>
      </c>
      <c r="P121" s="6"/>
      <c r="Q121" s="6" t="s">
        <v>331</v>
      </c>
      <c r="R121" s="6" t="s">
        <v>332</v>
      </c>
      <c r="S121" s="6"/>
    </row>
    <row r="122" customFormat="false" ht="15" hidden="false" customHeight="false" outlineLevel="0" collapsed="false">
      <c r="A122" s="6" t="s">
        <v>342</v>
      </c>
      <c r="B122" s="6" t="s">
        <v>51</v>
      </c>
      <c r="C122" s="6" t="s">
        <v>102</v>
      </c>
      <c r="D122" s="6" t="s">
        <v>150</v>
      </c>
      <c r="E122" s="6" t="n">
        <v>1</v>
      </c>
      <c r="F122" s="7" t="n">
        <v>22</v>
      </c>
      <c r="G122" s="7" t="n">
        <v>0</v>
      </c>
      <c r="H122" s="7" t="n">
        <v>3</v>
      </c>
      <c r="I122" s="7" t="n">
        <v>0.6</v>
      </c>
      <c r="J122" s="7" t="n">
        <v>1.2</v>
      </c>
      <c r="K122" s="7" t="n">
        <v>2</v>
      </c>
      <c r="L122" s="6" t="n">
        <v>42</v>
      </c>
      <c r="M122" s="6" t="n">
        <v>20</v>
      </c>
      <c r="N122" s="7" t="n">
        <v>10</v>
      </c>
      <c r="O122" s="6" t="s">
        <v>191</v>
      </c>
      <c r="P122" s="6" t="s">
        <v>318</v>
      </c>
      <c r="Q122" s="6" t="s">
        <v>343</v>
      </c>
      <c r="R122" s="6" t="s">
        <v>344</v>
      </c>
      <c r="S122" s="6"/>
    </row>
    <row r="123" customFormat="false" ht="15" hidden="false" customHeight="false" outlineLevel="0" collapsed="false">
      <c r="A123" s="6" t="s">
        <v>345</v>
      </c>
      <c r="B123" s="6" t="s">
        <v>51</v>
      </c>
      <c r="C123" s="6" t="s">
        <v>102</v>
      </c>
      <c r="D123" s="6" t="s">
        <v>150</v>
      </c>
      <c r="E123" s="6" t="n">
        <v>2</v>
      </c>
      <c r="F123" s="7" t="n">
        <v>22.6</v>
      </c>
      <c r="G123" s="7" t="n">
        <v>0</v>
      </c>
      <c r="H123" s="7" t="n">
        <v>3</v>
      </c>
      <c r="I123" s="7" t="n">
        <v>0.6</v>
      </c>
      <c r="J123" s="7" t="n">
        <v>1.2</v>
      </c>
      <c r="K123" s="7" t="n">
        <v>2</v>
      </c>
      <c r="L123" s="6" t="n">
        <v>42</v>
      </c>
      <c r="M123" s="6" t="n">
        <v>20</v>
      </c>
      <c r="N123" s="7" t="n">
        <v>10</v>
      </c>
      <c r="O123" s="6" t="s">
        <v>191</v>
      </c>
      <c r="P123" s="6" t="s">
        <v>318</v>
      </c>
      <c r="Q123" s="6" t="s">
        <v>343</v>
      </c>
      <c r="R123" s="6" t="s">
        <v>344</v>
      </c>
      <c r="S123" s="6"/>
    </row>
    <row r="124" customFormat="false" ht="15" hidden="false" customHeight="false" outlineLevel="0" collapsed="false">
      <c r="A124" s="6" t="s">
        <v>346</v>
      </c>
      <c r="B124" s="6" t="s">
        <v>51</v>
      </c>
      <c r="C124" s="6" t="s">
        <v>102</v>
      </c>
      <c r="D124" s="6" t="s">
        <v>150</v>
      </c>
      <c r="E124" s="6" t="n">
        <v>3</v>
      </c>
      <c r="F124" s="7" t="n">
        <v>23.2</v>
      </c>
      <c r="G124" s="7" t="n">
        <v>0</v>
      </c>
      <c r="H124" s="7" t="n">
        <v>3</v>
      </c>
      <c r="I124" s="7" t="n">
        <v>0.6</v>
      </c>
      <c r="J124" s="7" t="n">
        <v>1.2</v>
      </c>
      <c r="K124" s="7" t="n">
        <v>2</v>
      </c>
      <c r="L124" s="6" t="n">
        <v>42</v>
      </c>
      <c r="M124" s="6" t="n">
        <v>20</v>
      </c>
      <c r="N124" s="7" t="n">
        <v>10</v>
      </c>
      <c r="O124" s="6" t="s">
        <v>191</v>
      </c>
      <c r="P124" s="6" t="s">
        <v>318</v>
      </c>
      <c r="Q124" s="6" t="s">
        <v>343</v>
      </c>
      <c r="R124" s="6" t="s">
        <v>344</v>
      </c>
      <c r="S124" s="6"/>
    </row>
    <row r="125" customFormat="false" ht="15" hidden="false" customHeight="false" outlineLevel="0" collapsed="false">
      <c r="A125" s="6" t="s">
        <v>347</v>
      </c>
      <c r="B125" s="6" t="s">
        <v>51</v>
      </c>
      <c r="C125" s="6" t="s">
        <v>102</v>
      </c>
      <c r="D125" s="6" t="s">
        <v>150</v>
      </c>
      <c r="E125" s="6" t="n">
        <v>4</v>
      </c>
      <c r="F125" s="7" t="n">
        <v>23.8</v>
      </c>
      <c r="G125" s="7" t="n">
        <v>0</v>
      </c>
      <c r="H125" s="7" t="n">
        <v>3</v>
      </c>
      <c r="I125" s="7" t="n">
        <v>0.6</v>
      </c>
      <c r="J125" s="7" t="n">
        <v>1.2</v>
      </c>
      <c r="K125" s="7" t="n">
        <v>2</v>
      </c>
      <c r="L125" s="6" t="n">
        <v>42</v>
      </c>
      <c r="M125" s="6" t="n">
        <v>20</v>
      </c>
      <c r="N125" s="7" t="n">
        <v>10</v>
      </c>
      <c r="O125" s="6" t="s">
        <v>191</v>
      </c>
      <c r="P125" s="6" t="s">
        <v>318</v>
      </c>
      <c r="Q125" s="6" t="s">
        <v>343</v>
      </c>
      <c r="R125" s="6" t="s">
        <v>344</v>
      </c>
      <c r="S125" s="6"/>
    </row>
    <row r="126" customFormat="false" ht="15" hidden="false" customHeight="false" outlineLevel="0" collapsed="false">
      <c r="A126" s="6" t="s">
        <v>348</v>
      </c>
      <c r="B126" s="6" t="s">
        <v>51</v>
      </c>
      <c r="C126" s="6" t="s">
        <v>102</v>
      </c>
      <c r="D126" s="6" t="s">
        <v>150</v>
      </c>
      <c r="E126" s="6" t="n">
        <v>5</v>
      </c>
      <c r="F126" s="7" t="n">
        <v>24.4</v>
      </c>
      <c r="G126" s="7" t="n">
        <v>0</v>
      </c>
      <c r="H126" s="7" t="n">
        <v>3</v>
      </c>
      <c r="I126" s="7" t="n">
        <v>0.6</v>
      </c>
      <c r="J126" s="7" t="n">
        <v>1.2</v>
      </c>
      <c r="K126" s="7" t="n">
        <v>2</v>
      </c>
      <c r="L126" s="6" t="n">
        <v>42</v>
      </c>
      <c r="M126" s="6" t="n">
        <v>20</v>
      </c>
      <c r="N126" s="7" t="n">
        <v>10</v>
      </c>
      <c r="O126" s="6" t="s">
        <v>191</v>
      </c>
      <c r="P126" s="6" t="s">
        <v>318</v>
      </c>
      <c r="Q126" s="6" t="s">
        <v>343</v>
      </c>
      <c r="R126" s="6" t="s">
        <v>344</v>
      </c>
      <c r="S126" s="6"/>
    </row>
    <row r="127" customFormat="false" ht="15" hidden="false" customHeight="false" outlineLevel="0" collapsed="false">
      <c r="A127" s="6" t="s">
        <v>349</v>
      </c>
      <c r="B127" s="6" t="s">
        <v>51</v>
      </c>
      <c r="C127" s="6" t="s">
        <v>102</v>
      </c>
      <c r="D127" s="6" t="s">
        <v>150</v>
      </c>
      <c r="E127" s="6" t="n">
        <v>6</v>
      </c>
      <c r="F127" s="7" t="n">
        <v>25</v>
      </c>
      <c r="G127" s="7" t="n">
        <v>0</v>
      </c>
      <c r="H127" s="7" t="n">
        <v>3</v>
      </c>
      <c r="I127" s="7" t="n">
        <v>0.6</v>
      </c>
      <c r="J127" s="7" t="n">
        <v>1.2</v>
      </c>
      <c r="K127" s="7" t="n">
        <v>2</v>
      </c>
      <c r="L127" s="6" t="n">
        <v>42</v>
      </c>
      <c r="M127" s="6" t="n">
        <v>20</v>
      </c>
      <c r="N127" s="7" t="n">
        <v>10</v>
      </c>
      <c r="O127" s="6" t="s">
        <v>191</v>
      </c>
      <c r="P127" s="6" t="s">
        <v>318</v>
      </c>
      <c r="Q127" s="6" t="s">
        <v>343</v>
      </c>
      <c r="R127" s="6" t="s">
        <v>344</v>
      </c>
      <c r="S127" s="6"/>
    </row>
    <row r="128" customFormat="false" ht="15" hidden="false" customHeight="false" outlineLevel="0" collapsed="false">
      <c r="A128" s="6" t="s">
        <v>350</v>
      </c>
      <c r="B128" s="6" t="s">
        <v>51</v>
      </c>
      <c r="C128" s="6" t="s">
        <v>102</v>
      </c>
      <c r="D128" s="6" t="s">
        <v>150</v>
      </c>
      <c r="E128" s="6" t="n">
        <v>7</v>
      </c>
      <c r="F128" s="7" t="n">
        <v>25.6</v>
      </c>
      <c r="G128" s="7" t="n">
        <v>0</v>
      </c>
      <c r="H128" s="7" t="n">
        <v>3</v>
      </c>
      <c r="I128" s="7" t="n">
        <v>0.6</v>
      </c>
      <c r="J128" s="7" t="n">
        <v>1.2</v>
      </c>
      <c r="K128" s="7" t="n">
        <v>2</v>
      </c>
      <c r="L128" s="6" t="n">
        <v>42</v>
      </c>
      <c r="M128" s="6" t="n">
        <v>20</v>
      </c>
      <c r="N128" s="7" t="n">
        <v>10</v>
      </c>
      <c r="O128" s="6" t="s">
        <v>191</v>
      </c>
      <c r="P128" s="6" t="s">
        <v>318</v>
      </c>
      <c r="Q128" s="6" t="s">
        <v>343</v>
      </c>
      <c r="R128" s="6" t="s">
        <v>344</v>
      </c>
      <c r="S128" s="6"/>
    </row>
    <row r="129" customFormat="false" ht="15" hidden="false" customHeight="false" outlineLevel="0" collapsed="false">
      <c r="A129" s="6" t="s">
        <v>351</v>
      </c>
      <c r="B129" s="6" t="s">
        <v>51</v>
      </c>
      <c r="C129" s="6" t="s">
        <v>102</v>
      </c>
      <c r="D129" s="6" t="s">
        <v>150</v>
      </c>
      <c r="E129" s="6" t="n">
        <v>8</v>
      </c>
      <c r="F129" s="7" t="n">
        <v>26.2</v>
      </c>
      <c r="G129" s="7" t="n">
        <v>0</v>
      </c>
      <c r="H129" s="7" t="n">
        <v>3</v>
      </c>
      <c r="I129" s="7" t="n">
        <v>0.6</v>
      </c>
      <c r="J129" s="7" t="n">
        <v>1.2</v>
      </c>
      <c r="K129" s="7" t="n">
        <v>2</v>
      </c>
      <c r="L129" s="6" t="n">
        <v>42</v>
      </c>
      <c r="M129" s="6" t="n">
        <v>20</v>
      </c>
      <c r="N129" s="7" t="n">
        <v>10</v>
      </c>
      <c r="O129" s="6" t="s">
        <v>191</v>
      </c>
      <c r="P129" s="6" t="s">
        <v>318</v>
      </c>
      <c r="Q129" s="6" t="s">
        <v>343</v>
      </c>
      <c r="R129" s="6" t="s">
        <v>344</v>
      </c>
      <c r="S129" s="6"/>
    </row>
    <row r="130" customFormat="false" ht="15" hidden="false" customHeight="false" outlineLevel="0" collapsed="false">
      <c r="A130" s="6" t="s">
        <v>352</v>
      </c>
      <c r="B130" s="6" t="s">
        <v>51</v>
      </c>
      <c r="C130" s="6" t="s">
        <v>102</v>
      </c>
      <c r="D130" s="6" t="s">
        <v>150</v>
      </c>
      <c r="E130" s="6" t="n">
        <v>9</v>
      </c>
      <c r="F130" s="7" t="n">
        <v>26.8</v>
      </c>
      <c r="G130" s="7" t="n">
        <v>0</v>
      </c>
      <c r="H130" s="7" t="n">
        <v>3</v>
      </c>
      <c r="I130" s="7" t="n">
        <v>0.6</v>
      </c>
      <c r="J130" s="7" t="n">
        <v>1.2</v>
      </c>
      <c r="K130" s="7" t="n">
        <v>2</v>
      </c>
      <c r="L130" s="6" t="n">
        <v>42</v>
      </c>
      <c r="M130" s="6" t="n">
        <v>20</v>
      </c>
      <c r="N130" s="7" t="n">
        <v>10</v>
      </c>
      <c r="O130" s="6" t="s">
        <v>191</v>
      </c>
      <c r="P130" s="6" t="s">
        <v>318</v>
      </c>
      <c r="Q130" s="6" t="s">
        <v>343</v>
      </c>
      <c r="R130" s="6" t="s">
        <v>344</v>
      </c>
      <c r="S130" s="6"/>
    </row>
    <row r="131" customFormat="false" ht="15" hidden="false" customHeight="false" outlineLevel="0" collapsed="false">
      <c r="A131" s="6" t="s">
        <v>353</v>
      </c>
      <c r="B131" s="6" t="s">
        <v>51</v>
      </c>
      <c r="C131" s="6" t="s">
        <v>102</v>
      </c>
      <c r="D131" s="6" t="s">
        <v>150</v>
      </c>
      <c r="E131" s="6" t="n">
        <v>10</v>
      </c>
      <c r="F131" s="7" t="n">
        <v>27.4</v>
      </c>
      <c r="G131" s="7" t="n">
        <v>0</v>
      </c>
      <c r="H131" s="7" t="n">
        <v>3</v>
      </c>
      <c r="I131" s="7" t="n">
        <v>0.6</v>
      </c>
      <c r="J131" s="7" t="n">
        <v>1.2</v>
      </c>
      <c r="K131" s="7" t="n">
        <v>2</v>
      </c>
      <c r="L131" s="6" t="n">
        <v>42</v>
      </c>
      <c r="M131" s="6" t="n">
        <v>20</v>
      </c>
      <c r="N131" s="7" t="n">
        <v>10</v>
      </c>
      <c r="O131" s="6" t="s">
        <v>191</v>
      </c>
      <c r="P131" s="6" t="s">
        <v>318</v>
      </c>
      <c r="Q131" s="6" t="s">
        <v>343</v>
      </c>
      <c r="R131" s="6" t="s">
        <v>344</v>
      </c>
      <c r="S131" s="6"/>
    </row>
    <row r="132" customFormat="false" ht="15" hidden="false" customHeight="false" outlineLevel="0" collapsed="false">
      <c r="A132" s="6" t="s">
        <v>354</v>
      </c>
      <c r="B132" s="6" t="s">
        <v>51</v>
      </c>
      <c r="C132" s="6" t="s">
        <v>102</v>
      </c>
      <c r="D132" s="6" t="s">
        <v>150</v>
      </c>
      <c r="E132" s="6" t="n">
        <v>11</v>
      </c>
      <c r="F132" s="7" t="n">
        <v>28</v>
      </c>
      <c r="G132" s="7" t="n">
        <v>0</v>
      </c>
      <c r="H132" s="7" t="n">
        <v>3</v>
      </c>
      <c r="I132" s="7" t="n">
        <v>0.6</v>
      </c>
      <c r="J132" s="7" t="n">
        <v>1.2</v>
      </c>
      <c r="K132" s="7" t="n">
        <v>2</v>
      </c>
      <c r="L132" s="6" t="n">
        <v>42</v>
      </c>
      <c r="M132" s="6" t="n">
        <v>20</v>
      </c>
      <c r="N132" s="7" t="n">
        <v>10</v>
      </c>
      <c r="O132" s="6" t="s">
        <v>191</v>
      </c>
      <c r="P132" s="6" t="s">
        <v>318</v>
      </c>
      <c r="Q132" s="6" t="s">
        <v>355</v>
      </c>
      <c r="R132" s="6" t="s">
        <v>356</v>
      </c>
      <c r="S132" s="6"/>
    </row>
    <row r="133" customFormat="false" ht="15" hidden="false" customHeight="false" outlineLevel="0" collapsed="false">
      <c r="A133" s="6" t="s">
        <v>357</v>
      </c>
      <c r="B133" s="6" t="s">
        <v>51</v>
      </c>
      <c r="C133" s="6" t="s">
        <v>102</v>
      </c>
      <c r="D133" s="6" t="s">
        <v>150</v>
      </c>
      <c r="E133" s="6" t="n">
        <v>12</v>
      </c>
      <c r="F133" s="7" t="n">
        <v>28.6</v>
      </c>
      <c r="G133" s="7" t="n">
        <v>0</v>
      </c>
      <c r="H133" s="7" t="n">
        <v>3</v>
      </c>
      <c r="I133" s="7" t="n">
        <v>0.6</v>
      </c>
      <c r="J133" s="7" t="n">
        <v>1.2</v>
      </c>
      <c r="K133" s="7" t="n">
        <v>2</v>
      </c>
      <c r="L133" s="6" t="n">
        <v>42</v>
      </c>
      <c r="M133" s="6" t="n">
        <v>20</v>
      </c>
      <c r="N133" s="7" t="n">
        <v>10</v>
      </c>
      <c r="O133" s="6" t="s">
        <v>191</v>
      </c>
      <c r="P133" s="6" t="s">
        <v>318</v>
      </c>
      <c r="Q133" s="6" t="s">
        <v>355</v>
      </c>
      <c r="R133" s="6" t="s">
        <v>356</v>
      </c>
      <c r="S133" s="6"/>
    </row>
    <row r="134" customFormat="false" ht="15" hidden="false" customHeight="false" outlineLevel="0" collapsed="false">
      <c r="A134" s="6" t="s">
        <v>358</v>
      </c>
      <c r="B134" s="6" t="s">
        <v>51</v>
      </c>
      <c r="C134" s="6" t="s">
        <v>102</v>
      </c>
      <c r="D134" s="6" t="s">
        <v>150</v>
      </c>
      <c r="E134" s="6" t="n">
        <v>13</v>
      </c>
      <c r="F134" s="7" t="n">
        <v>29.2</v>
      </c>
      <c r="G134" s="7" t="n">
        <v>0</v>
      </c>
      <c r="H134" s="7" t="n">
        <v>3</v>
      </c>
      <c r="I134" s="7" t="n">
        <v>0.6</v>
      </c>
      <c r="J134" s="7" t="n">
        <v>1.2</v>
      </c>
      <c r="K134" s="7" t="n">
        <v>2</v>
      </c>
      <c r="L134" s="6" t="n">
        <v>42</v>
      </c>
      <c r="M134" s="6" t="n">
        <v>20</v>
      </c>
      <c r="N134" s="7" t="n">
        <v>10</v>
      </c>
      <c r="O134" s="6" t="s">
        <v>191</v>
      </c>
      <c r="P134" s="6" t="s">
        <v>318</v>
      </c>
      <c r="Q134" s="6" t="s">
        <v>355</v>
      </c>
      <c r="R134" s="6" t="s">
        <v>356</v>
      </c>
      <c r="S134" s="6"/>
    </row>
    <row r="135" customFormat="false" ht="15" hidden="false" customHeight="false" outlineLevel="0" collapsed="false">
      <c r="A135" s="6" t="s">
        <v>359</v>
      </c>
      <c r="B135" s="6" t="s">
        <v>51</v>
      </c>
      <c r="C135" s="6" t="s">
        <v>102</v>
      </c>
      <c r="D135" s="6" t="s">
        <v>150</v>
      </c>
      <c r="E135" s="6" t="n">
        <v>14</v>
      </c>
      <c r="F135" s="7" t="n">
        <v>29.8</v>
      </c>
      <c r="G135" s="7" t="n">
        <v>0</v>
      </c>
      <c r="H135" s="7" t="n">
        <v>3</v>
      </c>
      <c r="I135" s="7" t="n">
        <v>0.6</v>
      </c>
      <c r="J135" s="7" t="n">
        <v>1.2</v>
      </c>
      <c r="K135" s="7" t="n">
        <v>2</v>
      </c>
      <c r="L135" s="6" t="n">
        <v>42</v>
      </c>
      <c r="M135" s="6" t="n">
        <v>20</v>
      </c>
      <c r="N135" s="7" t="n">
        <v>10</v>
      </c>
      <c r="O135" s="6" t="s">
        <v>191</v>
      </c>
      <c r="P135" s="6" t="s">
        <v>318</v>
      </c>
      <c r="Q135" s="6" t="s">
        <v>355</v>
      </c>
      <c r="R135" s="6" t="s">
        <v>356</v>
      </c>
      <c r="S135" s="6"/>
    </row>
    <row r="136" customFormat="false" ht="15" hidden="false" customHeight="false" outlineLevel="0" collapsed="false">
      <c r="A136" s="6" t="s">
        <v>360</v>
      </c>
      <c r="B136" s="6" t="s">
        <v>51</v>
      </c>
      <c r="C136" s="6" t="s">
        <v>102</v>
      </c>
      <c r="D136" s="6" t="s">
        <v>150</v>
      </c>
      <c r="E136" s="6" t="n">
        <v>15</v>
      </c>
      <c r="F136" s="7" t="n">
        <v>30.4</v>
      </c>
      <c r="G136" s="7" t="n">
        <v>0</v>
      </c>
      <c r="H136" s="7" t="n">
        <v>3</v>
      </c>
      <c r="I136" s="7" t="n">
        <v>0.6</v>
      </c>
      <c r="J136" s="7" t="n">
        <v>1.2</v>
      </c>
      <c r="K136" s="7" t="n">
        <v>2</v>
      </c>
      <c r="L136" s="6" t="n">
        <v>42</v>
      </c>
      <c r="M136" s="6" t="n">
        <v>20</v>
      </c>
      <c r="N136" s="7" t="n">
        <v>10</v>
      </c>
      <c r="O136" s="6" t="s">
        <v>191</v>
      </c>
      <c r="P136" s="6" t="s">
        <v>318</v>
      </c>
      <c r="Q136" s="6" t="s">
        <v>355</v>
      </c>
      <c r="R136" s="6" t="s">
        <v>356</v>
      </c>
      <c r="S136" s="6"/>
    </row>
    <row r="137" customFormat="false" ht="15" hidden="false" customHeight="false" outlineLevel="0" collapsed="false">
      <c r="A137" s="6" t="s">
        <v>361</v>
      </c>
      <c r="B137" s="6" t="s">
        <v>51</v>
      </c>
      <c r="C137" s="6" t="s">
        <v>102</v>
      </c>
      <c r="D137" s="6" t="s">
        <v>150</v>
      </c>
      <c r="E137" s="6" t="n">
        <v>16</v>
      </c>
      <c r="F137" s="7" t="n">
        <v>31</v>
      </c>
      <c r="G137" s="7" t="n">
        <v>0</v>
      </c>
      <c r="H137" s="7" t="n">
        <v>3</v>
      </c>
      <c r="I137" s="7" t="n">
        <v>0.6</v>
      </c>
      <c r="J137" s="7" t="n">
        <v>1.2</v>
      </c>
      <c r="K137" s="7" t="n">
        <v>2</v>
      </c>
      <c r="L137" s="6" t="n">
        <v>42</v>
      </c>
      <c r="M137" s="6" t="n">
        <v>20</v>
      </c>
      <c r="N137" s="7" t="n">
        <v>10</v>
      </c>
      <c r="O137" s="6" t="s">
        <v>191</v>
      </c>
      <c r="P137" s="6" t="s">
        <v>318</v>
      </c>
      <c r="Q137" s="6" t="s">
        <v>355</v>
      </c>
      <c r="R137" s="6" t="s">
        <v>356</v>
      </c>
      <c r="S137" s="6"/>
    </row>
    <row r="138" customFormat="false" ht="15" hidden="false" customHeight="false" outlineLevel="0" collapsed="false">
      <c r="A138" s="6" t="s">
        <v>362</v>
      </c>
      <c r="B138" s="6" t="s">
        <v>51</v>
      </c>
      <c r="C138" s="6" t="s">
        <v>102</v>
      </c>
      <c r="D138" s="6" t="s">
        <v>150</v>
      </c>
      <c r="E138" s="6" t="n">
        <v>17</v>
      </c>
      <c r="F138" s="7" t="n">
        <v>31.6</v>
      </c>
      <c r="G138" s="7" t="n">
        <v>0</v>
      </c>
      <c r="H138" s="7" t="n">
        <v>3</v>
      </c>
      <c r="I138" s="7" t="n">
        <v>0.6</v>
      </c>
      <c r="J138" s="7" t="n">
        <v>1.2</v>
      </c>
      <c r="K138" s="7" t="n">
        <v>2</v>
      </c>
      <c r="L138" s="6" t="n">
        <v>42</v>
      </c>
      <c r="M138" s="6" t="n">
        <v>20</v>
      </c>
      <c r="N138" s="7" t="n">
        <v>10</v>
      </c>
      <c r="O138" s="6" t="s">
        <v>191</v>
      </c>
      <c r="P138" s="6" t="s">
        <v>318</v>
      </c>
      <c r="Q138" s="6" t="s">
        <v>355</v>
      </c>
      <c r="R138" s="6" t="s">
        <v>356</v>
      </c>
      <c r="S138" s="6"/>
    </row>
    <row r="139" customFormat="false" ht="15" hidden="false" customHeight="false" outlineLevel="0" collapsed="false">
      <c r="A139" s="6" t="s">
        <v>363</v>
      </c>
      <c r="B139" s="6" t="s">
        <v>51</v>
      </c>
      <c r="C139" s="6" t="s">
        <v>102</v>
      </c>
      <c r="D139" s="6" t="s">
        <v>150</v>
      </c>
      <c r="E139" s="6" t="n">
        <v>18</v>
      </c>
      <c r="F139" s="7" t="n">
        <v>32.2</v>
      </c>
      <c r="G139" s="7" t="n">
        <v>0</v>
      </c>
      <c r="H139" s="7" t="n">
        <v>3</v>
      </c>
      <c r="I139" s="7" t="n">
        <v>0.6</v>
      </c>
      <c r="J139" s="7" t="n">
        <v>1.2</v>
      </c>
      <c r="K139" s="7" t="n">
        <v>2</v>
      </c>
      <c r="L139" s="6" t="n">
        <v>42</v>
      </c>
      <c r="M139" s="6" t="n">
        <v>20</v>
      </c>
      <c r="N139" s="7" t="n">
        <v>10</v>
      </c>
      <c r="O139" s="6" t="s">
        <v>191</v>
      </c>
      <c r="P139" s="6" t="s">
        <v>318</v>
      </c>
      <c r="Q139" s="6" t="s">
        <v>355</v>
      </c>
      <c r="R139" s="6" t="s">
        <v>356</v>
      </c>
      <c r="S139" s="6"/>
    </row>
    <row r="140" customFormat="false" ht="15" hidden="false" customHeight="false" outlineLevel="0" collapsed="false">
      <c r="A140" s="6" t="s">
        <v>364</v>
      </c>
      <c r="B140" s="6" t="s">
        <v>51</v>
      </c>
      <c r="C140" s="6" t="s">
        <v>102</v>
      </c>
      <c r="D140" s="6" t="s">
        <v>150</v>
      </c>
      <c r="E140" s="6" t="n">
        <v>19</v>
      </c>
      <c r="F140" s="7" t="n">
        <v>32.8</v>
      </c>
      <c r="G140" s="7" t="n">
        <v>0</v>
      </c>
      <c r="H140" s="7" t="n">
        <v>3</v>
      </c>
      <c r="I140" s="7" t="n">
        <v>0.6</v>
      </c>
      <c r="J140" s="7" t="n">
        <v>1.2</v>
      </c>
      <c r="K140" s="7" t="n">
        <v>2</v>
      </c>
      <c r="L140" s="6" t="n">
        <v>42</v>
      </c>
      <c r="M140" s="6" t="n">
        <v>20</v>
      </c>
      <c r="N140" s="7" t="n">
        <v>10</v>
      </c>
      <c r="O140" s="6" t="s">
        <v>191</v>
      </c>
      <c r="P140" s="6" t="s">
        <v>318</v>
      </c>
      <c r="Q140" s="6" t="s">
        <v>355</v>
      </c>
      <c r="R140" s="6" t="s">
        <v>356</v>
      </c>
      <c r="S140" s="6"/>
    </row>
    <row r="141" customFormat="false" ht="15" hidden="false" customHeight="false" outlineLevel="0" collapsed="false">
      <c r="A141" s="6" t="s">
        <v>365</v>
      </c>
      <c r="B141" s="6" t="s">
        <v>51</v>
      </c>
      <c r="C141" s="6" t="s">
        <v>102</v>
      </c>
      <c r="D141" s="6" t="s">
        <v>150</v>
      </c>
      <c r="E141" s="6" t="n">
        <v>20</v>
      </c>
      <c r="F141" s="7" t="n">
        <v>33.4</v>
      </c>
      <c r="G141" s="7" t="n">
        <v>0</v>
      </c>
      <c r="H141" s="7" t="n">
        <v>3</v>
      </c>
      <c r="I141" s="7" t="n">
        <v>0.6</v>
      </c>
      <c r="J141" s="7" t="n">
        <v>1.2</v>
      </c>
      <c r="K141" s="7" t="n">
        <v>2</v>
      </c>
      <c r="L141" s="6" t="n">
        <v>42</v>
      </c>
      <c r="M141" s="6" t="n">
        <v>20</v>
      </c>
      <c r="N141" s="7" t="n">
        <v>10</v>
      </c>
      <c r="O141" s="6" t="s">
        <v>191</v>
      </c>
      <c r="P141" s="6" t="s">
        <v>318</v>
      </c>
      <c r="Q141" s="6" t="s">
        <v>355</v>
      </c>
      <c r="R141" s="6" t="s">
        <v>356</v>
      </c>
      <c r="S141" s="6"/>
    </row>
    <row r="142" customFormat="false" ht="15" hidden="false" customHeight="false" outlineLevel="0" collapsed="false">
      <c r="A142" s="6" t="s">
        <v>366</v>
      </c>
      <c r="B142" s="6" t="s">
        <v>51</v>
      </c>
      <c r="C142" s="6" t="s">
        <v>102</v>
      </c>
      <c r="D142" s="6" t="s">
        <v>152</v>
      </c>
      <c r="E142" s="6" t="n">
        <v>1</v>
      </c>
      <c r="F142" s="7" t="n">
        <v>22</v>
      </c>
      <c r="G142" s="7" t="n">
        <v>0</v>
      </c>
      <c r="H142" s="7" t="n">
        <v>5.4</v>
      </c>
      <c r="I142" s="7" t="n">
        <v>0.6</v>
      </c>
      <c r="J142" s="7" t="n">
        <v>1.2</v>
      </c>
      <c r="K142" s="7" t="n">
        <v>2</v>
      </c>
      <c r="L142" s="6" t="n">
        <v>42</v>
      </c>
      <c r="M142" s="6" t="n">
        <v>20</v>
      </c>
      <c r="N142" s="7" t="n">
        <v>9.7</v>
      </c>
      <c r="O142" s="6" t="s">
        <v>191</v>
      </c>
      <c r="P142" s="6" t="s">
        <v>192</v>
      </c>
      <c r="Q142" s="6" t="s">
        <v>367</v>
      </c>
      <c r="R142" s="6" t="s">
        <v>368</v>
      </c>
      <c r="S142" s="6"/>
    </row>
    <row r="143" customFormat="false" ht="15" hidden="false" customHeight="false" outlineLevel="0" collapsed="false">
      <c r="A143" s="6" t="s">
        <v>369</v>
      </c>
      <c r="B143" s="6" t="s">
        <v>51</v>
      </c>
      <c r="C143" s="6" t="s">
        <v>102</v>
      </c>
      <c r="D143" s="6" t="s">
        <v>152</v>
      </c>
      <c r="E143" s="6" t="n">
        <v>2</v>
      </c>
      <c r="F143" s="7" t="n">
        <v>22.6</v>
      </c>
      <c r="G143" s="7" t="n">
        <v>0</v>
      </c>
      <c r="H143" s="7" t="n">
        <v>5.4</v>
      </c>
      <c r="I143" s="7" t="n">
        <v>0.6</v>
      </c>
      <c r="J143" s="7" t="n">
        <v>1.2</v>
      </c>
      <c r="K143" s="7" t="n">
        <v>2</v>
      </c>
      <c r="L143" s="6" t="n">
        <v>42</v>
      </c>
      <c r="M143" s="6" t="n">
        <v>20</v>
      </c>
      <c r="N143" s="7" t="n">
        <v>9.7</v>
      </c>
      <c r="O143" s="6" t="s">
        <v>191</v>
      </c>
      <c r="P143" s="6" t="s">
        <v>192</v>
      </c>
      <c r="Q143" s="6" t="s">
        <v>367</v>
      </c>
      <c r="R143" s="6" t="s">
        <v>368</v>
      </c>
      <c r="S143" s="6"/>
    </row>
    <row r="144" customFormat="false" ht="15" hidden="false" customHeight="false" outlineLevel="0" collapsed="false">
      <c r="A144" s="6" t="s">
        <v>370</v>
      </c>
      <c r="B144" s="6" t="s">
        <v>51</v>
      </c>
      <c r="C144" s="6" t="s">
        <v>102</v>
      </c>
      <c r="D144" s="6" t="s">
        <v>152</v>
      </c>
      <c r="E144" s="6" t="n">
        <v>3</v>
      </c>
      <c r="F144" s="7" t="n">
        <v>23.2</v>
      </c>
      <c r="G144" s="7" t="n">
        <v>0</v>
      </c>
      <c r="H144" s="7" t="n">
        <v>5.4</v>
      </c>
      <c r="I144" s="7" t="n">
        <v>0.6</v>
      </c>
      <c r="J144" s="7" t="n">
        <v>1.2</v>
      </c>
      <c r="K144" s="7" t="n">
        <v>2</v>
      </c>
      <c r="L144" s="6" t="n">
        <v>42</v>
      </c>
      <c r="M144" s="6" t="n">
        <v>20</v>
      </c>
      <c r="N144" s="7" t="n">
        <v>9.7</v>
      </c>
      <c r="O144" s="6" t="s">
        <v>191</v>
      </c>
      <c r="P144" s="6" t="s">
        <v>192</v>
      </c>
      <c r="Q144" s="6" t="s">
        <v>367</v>
      </c>
      <c r="R144" s="6" t="s">
        <v>368</v>
      </c>
      <c r="S144" s="6"/>
    </row>
    <row r="145" customFormat="false" ht="15" hidden="false" customHeight="false" outlineLevel="0" collapsed="false">
      <c r="A145" s="6" t="s">
        <v>371</v>
      </c>
      <c r="B145" s="6" t="s">
        <v>51</v>
      </c>
      <c r="C145" s="6" t="s">
        <v>102</v>
      </c>
      <c r="D145" s="6" t="s">
        <v>152</v>
      </c>
      <c r="E145" s="6" t="n">
        <v>4</v>
      </c>
      <c r="F145" s="7" t="n">
        <v>23.8</v>
      </c>
      <c r="G145" s="7" t="n">
        <v>0</v>
      </c>
      <c r="H145" s="7" t="n">
        <v>5.4</v>
      </c>
      <c r="I145" s="7" t="n">
        <v>0.6</v>
      </c>
      <c r="J145" s="7" t="n">
        <v>1.2</v>
      </c>
      <c r="K145" s="7" t="n">
        <v>2</v>
      </c>
      <c r="L145" s="6" t="n">
        <v>42</v>
      </c>
      <c r="M145" s="6" t="n">
        <v>20</v>
      </c>
      <c r="N145" s="7" t="n">
        <v>9.7</v>
      </c>
      <c r="O145" s="6" t="s">
        <v>191</v>
      </c>
      <c r="P145" s="6" t="s">
        <v>192</v>
      </c>
      <c r="Q145" s="6" t="s">
        <v>367</v>
      </c>
      <c r="R145" s="6" t="s">
        <v>368</v>
      </c>
      <c r="S145" s="6"/>
    </row>
    <row r="146" customFormat="false" ht="15" hidden="false" customHeight="false" outlineLevel="0" collapsed="false">
      <c r="A146" s="6" t="s">
        <v>372</v>
      </c>
      <c r="B146" s="6" t="s">
        <v>51</v>
      </c>
      <c r="C146" s="6" t="s">
        <v>102</v>
      </c>
      <c r="D146" s="6" t="s">
        <v>152</v>
      </c>
      <c r="E146" s="6" t="n">
        <v>5</v>
      </c>
      <c r="F146" s="7" t="n">
        <v>24.4</v>
      </c>
      <c r="G146" s="7" t="n">
        <v>0</v>
      </c>
      <c r="H146" s="7" t="n">
        <v>5.4</v>
      </c>
      <c r="I146" s="7" t="n">
        <v>0.6</v>
      </c>
      <c r="J146" s="7" t="n">
        <v>1.2</v>
      </c>
      <c r="K146" s="7" t="n">
        <v>2</v>
      </c>
      <c r="L146" s="6" t="n">
        <v>42</v>
      </c>
      <c r="M146" s="6" t="n">
        <v>20</v>
      </c>
      <c r="N146" s="7" t="n">
        <v>9.7</v>
      </c>
      <c r="O146" s="6" t="s">
        <v>191</v>
      </c>
      <c r="P146" s="6" t="s">
        <v>192</v>
      </c>
      <c r="Q146" s="6" t="s">
        <v>367</v>
      </c>
      <c r="R146" s="6" t="s">
        <v>368</v>
      </c>
      <c r="S146" s="6"/>
    </row>
    <row r="147" customFormat="false" ht="15" hidden="false" customHeight="false" outlineLevel="0" collapsed="false">
      <c r="A147" s="6" t="s">
        <v>373</v>
      </c>
      <c r="B147" s="6" t="s">
        <v>51</v>
      </c>
      <c r="C147" s="6" t="s">
        <v>102</v>
      </c>
      <c r="D147" s="6" t="s">
        <v>152</v>
      </c>
      <c r="E147" s="6" t="n">
        <v>6</v>
      </c>
      <c r="F147" s="7" t="n">
        <v>25</v>
      </c>
      <c r="G147" s="7" t="n">
        <v>0</v>
      </c>
      <c r="H147" s="7" t="n">
        <v>5.4</v>
      </c>
      <c r="I147" s="7" t="n">
        <v>0.6</v>
      </c>
      <c r="J147" s="7" t="n">
        <v>1.2</v>
      </c>
      <c r="K147" s="7" t="n">
        <v>2</v>
      </c>
      <c r="L147" s="6" t="n">
        <v>42</v>
      </c>
      <c r="M147" s="6" t="n">
        <v>20</v>
      </c>
      <c r="N147" s="7" t="n">
        <v>9.7</v>
      </c>
      <c r="O147" s="6" t="s">
        <v>191</v>
      </c>
      <c r="P147" s="6" t="s">
        <v>192</v>
      </c>
      <c r="Q147" s="6" t="s">
        <v>367</v>
      </c>
      <c r="R147" s="6" t="s">
        <v>368</v>
      </c>
      <c r="S147" s="6"/>
    </row>
    <row r="148" customFormat="false" ht="15" hidden="false" customHeight="false" outlineLevel="0" collapsed="false">
      <c r="A148" s="6" t="s">
        <v>374</v>
      </c>
      <c r="B148" s="6" t="s">
        <v>51</v>
      </c>
      <c r="C148" s="6" t="s">
        <v>102</v>
      </c>
      <c r="D148" s="6" t="s">
        <v>152</v>
      </c>
      <c r="E148" s="6" t="n">
        <v>7</v>
      </c>
      <c r="F148" s="7" t="n">
        <v>25.6</v>
      </c>
      <c r="G148" s="7" t="n">
        <v>0</v>
      </c>
      <c r="H148" s="7" t="n">
        <v>5.4</v>
      </c>
      <c r="I148" s="7" t="n">
        <v>0.6</v>
      </c>
      <c r="J148" s="7" t="n">
        <v>1.2</v>
      </c>
      <c r="K148" s="7" t="n">
        <v>2</v>
      </c>
      <c r="L148" s="6" t="n">
        <v>42</v>
      </c>
      <c r="M148" s="6" t="n">
        <v>20</v>
      </c>
      <c r="N148" s="7" t="n">
        <v>9.7</v>
      </c>
      <c r="O148" s="6" t="s">
        <v>191</v>
      </c>
      <c r="P148" s="6" t="s">
        <v>192</v>
      </c>
      <c r="Q148" s="6" t="s">
        <v>367</v>
      </c>
      <c r="R148" s="6" t="s">
        <v>368</v>
      </c>
      <c r="S148" s="6"/>
    </row>
    <row r="149" customFormat="false" ht="15" hidden="false" customHeight="false" outlineLevel="0" collapsed="false">
      <c r="A149" s="6" t="s">
        <v>375</v>
      </c>
      <c r="B149" s="6" t="s">
        <v>51</v>
      </c>
      <c r="C149" s="6" t="s">
        <v>102</v>
      </c>
      <c r="D149" s="6" t="s">
        <v>152</v>
      </c>
      <c r="E149" s="6" t="n">
        <v>8</v>
      </c>
      <c r="F149" s="7" t="n">
        <v>26.2</v>
      </c>
      <c r="G149" s="7" t="n">
        <v>0</v>
      </c>
      <c r="H149" s="7" t="n">
        <v>5.4</v>
      </c>
      <c r="I149" s="7" t="n">
        <v>0.6</v>
      </c>
      <c r="J149" s="7" t="n">
        <v>1.2</v>
      </c>
      <c r="K149" s="7" t="n">
        <v>2</v>
      </c>
      <c r="L149" s="6" t="n">
        <v>42</v>
      </c>
      <c r="M149" s="6" t="n">
        <v>20</v>
      </c>
      <c r="N149" s="7" t="n">
        <v>9.7</v>
      </c>
      <c r="O149" s="6" t="s">
        <v>191</v>
      </c>
      <c r="P149" s="6" t="s">
        <v>192</v>
      </c>
      <c r="Q149" s="6" t="s">
        <v>367</v>
      </c>
      <c r="R149" s="6" t="s">
        <v>368</v>
      </c>
      <c r="S149" s="6"/>
    </row>
    <row r="150" customFormat="false" ht="15" hidden="false" customHeight="false" outlineLevel="0" collapsed="false">
      <c r="A150" s="6" t="s">
        <v>376</v>
      </c>
      <c r="B150" s="6" t="s">
        <v>51</v>
      </c>
      <c r="C150" s="6" t="s">
        <v>102</v>
      </c>
      <c r="D150" s="6" t="s">
        <v>152</v>
      </c>
      <c r="E150" s="6" t="n">
        <v>9</v>
      </c>
      <c r="F150" s="7" t="n">
        <v>26.8</v>
      </c>
      <c r="G150" s="7" t="n">
        <v>0</v>
      </c>
      <c r="H150" s="7" t="n">
        <v>5.4</v>
      </c>
      <c r="I150" s="7" t="n">
        <v>0.6</v>
      </c>
      <c r="J150" s="7" t="n">
        <v>1.2</v>
      </c>
      <c r="K150" s="7" t="n">
        <v>2</v>
      </c>
      <c r="L150" s="6" t="n">
        <v>42</v>
      </c>
      <c r="M150" s="6" t="n">
        <v>20</v>
      </c>
      <c r="N150" s="7" t="n">
        <v>9.7</v>
      </c>
      <c r="O150" s="6" t="s">
        <v>191</v>
      </c>
      <c r="P150" s="6" t="s">
        <v>192</v>
      </c>
      <c r="Q150" s="6" t="s">
        <v>367</v>
      </c>
      <c r="R150" s="6" t="s">
        <v>368</v>
      </c>
      <c r="S150" s="6"/>
    </row>
    <row r="151" customFormat="false" ht="15" hidden="false" customHeight="false" outlineLevel="0" collapsed="false">
      <c r="A151" s="6" t="s">
        <v>377</v>
      </c>
      <c r="B151" s="6" t="s">
        <v>51</v>
      </c>
      <c r="C151" s="6" t="s">
        <v>102</v>
      </c>
      <c r="D151" s="6" t="s">
        <v>152</v>
      </c>
      <c r="E151" s="6" t="n">
        <v>10</v>
      </c>
      <c r="F151" s="7" t="n">
        <v>27.4</v>
      </c>
      <c r="G151" s="7" t="n">
        <v>0</v>
      </c>
      <c r="H151" s="7" t="n">
        <v>5.4</v>
      </c>
      <c r="I151" s="7" t="n">
        <v>0.6</v>
      </c>
      <c r="J151" s="7" t="n">
        <v>1.2</v>
      </c>
      <c r="K151" s="7" t="n">
        <v>2</v>
      </c>
      <c r="L151" s="6" t="n">
        <v>42</v>
      </c>
      <c r="M151" s="6" t="n">
        <v>20</v>
      </c>
      <c r="N151" s="7" t="n">
        <v>9.7</v>
      </c>
      <c r="O151" s="6" t="s">
        <v>191</v>
      </c>
      <c r="P151" s="6" t="s">
        <v>192</v>
      </c>
      <c r="Q151" s="6" t="s">
        <v>367</v>
      </c>
      <c r="R151" s="6" t="s">
        <v>368</v>
      </c>
      <c r="S151" s="6"/>
    </row>
    <row r="152" customFormat="false" ht="15" hidden="false" customHeight="false" outlineLevel="0" collapsed="false">
      <c r="A152" s="6" t="s">
        <v>378</v>
      </c>
      <c r="B152" s="6" t="s">
        <v>51</v>
      </c>
      <c r="C152" s="6" t="s">
        <v>102</v>
      </c>
      <c r="D152" s="6" t="s">
        <v>152</v>
      </c>
      <c r="E152" s="6" t="n">
        <v>11</v>
      </c>
      <c r="F152" s="7" t="n">
        <v>28</v>
      </c>
      <c r="G152" s="7" t="n">
        <v>0</v>
      </c>
      <c r="H152" s="7" t="n">
        <v>5.4</v>
      </c>
      <c r="I152" s="7" t="n">
        <v>0.6</v>
      </c>
      <c r="J152" s="7" t="n">
        <v>1.2</v>
      </c>
      <c r="K152" s="7" t="n">
        <v>2</v>
      </c>
      <c r="L152" s="6" t="n">
        <v>42</v>
      </c>
      <c r="M152" s="6" t="n">
        <v>20</v>
      </c>
      <c r="N152" s="7" t="n">
        <v>9.7</v>
      </c>
      <c r="O152" s="6" t="s">
        <v>191</v>
      </c>
      <c r="P152" s="6" t="s">
        <v>192</v>
      </c>
      <c r="Q152" s="6" t="s">
        <v>379</v>
      </c>
      <c r="R152" s="6" t="s">
        <v>380</v>
      </c>
      <c r="S152" s="6"/>
    </row>
    <row r="153" customFormat="false" ht="15" hidden="false" customHeight="false" outlineLevel="0" collapsed="false">
      <c r="A153" s="6" t="s">
        <v>381</v>
      </c>
      <c r="B153" s="6" t="s">
        <v>51</v>
      </c>
      <c r="C153" s="6" t="s">
        <v>102</v>
      </c>
      <c r="D153" s="6" t="s">
        <v>152</v>
      </c>
      <c r="E153" s="6" t="n">
        <v>12</v>
      </c>
      <c r="F153" s="7" t="n">
        <v>28.6</v>
      </c>
      <c r="G153" s="7" t="n">
        <v>0</v>
      </c>
      <c r="H153" s="7" t="n">
        <v>5.4</v>
      </c>
      <c r="I153" s="7" t="n">
        <v>0.6</v>
      </c>
      <c r="J153" s="7" t="n">
        <v>1.2</v>
      </c>
      <c r="K153" s="7" t="n">
        <v>2</v>
      </c>
      <c r="L153" s="6" t="n">
        <v>42</v>
      </c>
      <c r="M153" s="6" t="n">
        <v>20</v>
      </c>
      <c r="N153" s="7" t="n">
        <v>9.7</v>
      </c>
      <c r="O153" s="6" t="s">
        <v>191</v>
      </c>
      <c r="P153" s="6" t="s">
        <v>192</v>
      </c>
      <c r="Q153" s="6" t="s">
        <v>379</v>
      </c>
      <c r="R153" s="6" t="s">
        <v>380</v>
      </c>
      <c r="S153" s="6"/>
    </row>
    <row r="154" customFormat="false" ht="15" hidden="false" customHeight="false" outlineLevel="0" collapsed="false">
      <c r="A154" s="6" t="s">
        <v>382</v>
      </c>
      <c r="B154" s="6" t="s">
        <v>51</v>
      </c>
      <c r="C154" s="6" t="s">
        <v>102</v>
      </c>
      <c r="D154" s="6" t="s">
        <v>152</v>
      </c>
      <c r="E154" s="6" t="n">
        <v>13</v>
      </c>
      <c r="F154" s="7" t="n">
        <v>29.2</v>
      </c>
      <c r="G154" s="7" t="n">
        <v>0</v>
      </c>
      <c r="H154" s="7" t="n">
        <v>5.4</v>
      </c>
      <c r="I154" s="7" t="n">
        <v>0.6</v>
      </c>
      <c r="J154" s="7" t="n">
        <v>1.2</v>
      </c>
      <c r="K154" s="7" t="n">
        <v>2</v>
      </c>
      <c r="L154" s="6" t="n">
        <v>42</v>
      </c>
      <c r="M154" s="6" t="n">
        <v>20</v>
      </c>
      <c r="N154" s="7" t="n">
        <v>9.7</v>
      </c>
      <c r="O154" s="6" t="s">
        <v>191</v>
      </c>
      <c r="P154" s="6" t="s">
        <v>192</v>
      </c>
      <c r="Q154" s="6" t="s">
        <v>379</v>
      </c>
      <c r="R154" s="6" t="s">
        <v>380</v>
      </c>
      <c r="S154" s="6"/>
    </row>
    <row r="155" customFormat="false" ht="15" hidden="false" customHeight="false" outlineLevel="0" collapsed="false">
      <c r="A155" s="6" t="s">
        <v>383</v>
      </c>
      <c r="B155" s="6" t="s">
        <v>51</v>
      </c>
      <c r="C155" s="6" t="s">
        <v>102</v>
      </c>
      <c r="D155" s="6" t="s">
        <v>152</v>
      </c>
      <c r="E155" s="6" t="n">
        <v>14</v>
      </c>
      <c r="F155" s="7" t="n">
        <v>29.8</v>
      </c>
      <c r="G155" s="7" t="n">
        <v>0</v>
      </c>
      <c r="H155" s="7" t="n">
        <v>5.4</v>
      </c>
      <c r="I155" s="7" t="n">
        <v>0.6</v>
      </c>
      <c r="J155" s="7" t="n">
        <v>1.2</v>
      </c>
      <c r="K155" s="7" t="n">
        <v>2</v>
      </c>
      <c r="L155" s="6" t="n">
        <v>42</v>
      </c>
      <c r="M155" s="6" t="n">
        <v>20</v>
      </c>
      <c r="N155" s="7" t="n">
        <v>9.7</v>
      </c>
      <c r="O155" s="6" t="s">
        <v>191</v>
      </c>
      <c r="P155" s="6" t="s">
        <v>192</v>
      </c>
      <c r="Q155" s="6" t="s">
        <v>379</v>
      </c>
      <c r="R155" s="6" t="s">
        <v>380</v>
      </c>
      <c r="S155" s="6"/>
    </row>
    <row r="156" customFormat="false" ht="15" hidden="false" customHeight="false" outlineLevel="0" collapsed="false">
      <c r="A156" s="6" t="s">
        <v>384</v>
      </c>
      <c r="B156" s="6" t="s">
        <v>51</v>
      </c>
      <c r="C156" s="6" t="s">
        <v>102</v>
      </c>
      <c r="D156" s="6" t="s">
        <v>152</v>
      </c>
      <c r="E156" s="6" t="n">
        <v>15</v>
      </c>
      <c r="F156" s="7" t="n">
        <v>30.4</v>
      </c>
      <c r="G156" s="7" t="n">
        <v>0</v>
      </c>
      <c r="H156" s="7" t="n">
        <v>5.4</v>
      </c>
      <c r="I156" s="7" t="n">
        <v>0.6</v>
      </c>
      <c r="J156" s="7" t="n">
        <v>1.2</v>
      </c>
      <c r="K156" s="7" t="n">
        <v>2</v>
      </c>
      <c r="L156" s="6" t="n">
        <v>42</v>
      </c>
      <c r="M156" s="6" t="n">
        <v>20</v>
      </c>
      <c r="N156" s="7" t="n">
        <v>9.2</v>
      </c>
      <c r="O156" s="6" t="s">
        <v>191</v>
      </c>
      <c r="P156" s="6" t="s">
        <v>192</v>
      </c>
      <c r="Q156" s="6" t="s">
        <v>379</v>
      </c>
      <c r="R156" s="6" t="s">
        <v>380</v>
      </c>
      <c r="S156" s="6"/>
    </row>
    <row r="157" customFormat="false" ht="15" hidden="false" customHeight="false" outlineLevel="0" collapsed="false">
      <c r="A157" s="6" t="s">
        <v>385</v>
      </c>
      <c r="B157" s="6" t="s">
        <v>51</v>
      </c>
      <c r="C157" s="6" t="s">
        <v>102</v>
      </c>
      <c r="D157" s="6" t="s">
        <v>152</v>
      </c>
      <c r="E157" s="6" t="n">
        <v>16</v>
      </c>
      <c r="F157" s="7" t="n">
        <v>31</v>
      </c>
      <c r="G157" s="7" t="n">
        <v>0</v>
      </c>
      <c r="H157" s="7" t="n">
        <v>5.4</v>
      </c>
      <c r="I157" s="7" t="n">
        <v>0.6</v>
      </c>
      <c r="J157" s="7" t="n">
        <v>1.2</v>
      </c>
      <c r="K157" s="7" t="n">
        <v>2</v>
      </c>
      <c r="L157" s="6" t="n">
        <v>42</v>
      </c>
      <c r="M157" s="6" t="n">
        <v>20</v>
      </c>
      <c r="N157" s="7" t="n">
        <v>0</v>
      </c>
      <c r="O157" s="6" t="s">
        <v>215</v>
      </c>
      <c r="P157" s="6"/>
      <c r="Q157" s="6" t="s">
        <v>379</v>
      </c>
      <c r="R157" s="6" t="s">
        <v>380</v>
      </c>
      <c r="S157" s="6"/>
    </row>
    <row r="158" customFormat="false" ht="15" hidden="false" customHeight="false" outlineLevel="0" collapsed="false">
      <c r="A158" s="6" t="s">
        <v>386</v>
      </c>
      <c r="B158" s="6" t="s">
        <v>51</v>
      </c>
      <c r="C158" s="6" t="s">
        <v>102</v>
      </c>
      <c r="D158" s="6" t="s">
        <v>152</v>
      </c>
      <c r="E158" s="6" t="n">
        <v>17</v>
      </c>
      <c r="F158" s="7" t="n">
        <v>31.6</v>
      </c>
      <c r="G158" s="7" t="n">
        <v>0</v>
      </c>
      <c r="H158" s="7" t="n">
        <v>5.4</v>
      </c>
      <c r="I158" s="7" t="n">
        <v>0.6</v>
      </c>
      <c r="J158" s="7" t="n">
        <v>1.2</v>
      </c>
      <c r="K158" s="7" t="n">
        <v>2</v>
      </c>
      <c r="L158" s="6" t="n">
        <v>42</v>
      </c>
      <c r="M158" s="6" t="n">
        <v>20</v>
      </c>
      <c r="N158" s="7" t="n">
        <v>0</v>
      </c>
      <c r="O158" s="6" t="s">
        <v>215</v>
      </c>
      <c r="P158" s="6"/>
      <c r="Q158" s="6" t="s">
        <v>379</v>
      </c>
      <c r="R158" s="6" t="s">
        <v>380</v>
      </c>
      <c r="S158" s="6"/>
    </row>
    <row r="159" customFormat="false" ht="15" hidden="false" customHeight="false" outlineLevel="0" collapsed="false">
      <c r="A159" s="6" t="s">
        <v>387</v>
      </c>
      <c r="B159" s="6" t="s">
        <v>51</v>
      </c>
      <c r="C159" s="6" t="s">
        <v>102</v>
      </c>
      <c r="D159" s="6" t="s">
        <v>152</v>
      </c>
      <c r="E159" s="6" t="n">
        <v>18</v>
      </c>
      <c r="F159" s="7" t="n">
        <v>32.2</v>
      </c>
      <c r="G159" s="7" t="n">
        <v>0</v>
      </c>
      <c r="H159" s="7" t="n">
        <v>5.4</v>
      </c>
      <c r="I159" s="7" t="n">
        <v>0.6</v>
      </c>
      <c r="J159" s="7" t="n">
        <v>1.2</v>
      </c>
      <c r="K159" s="7" t="n">
        <v>2</v>
      </c>
      <c r="L159" s="6" t="n">
        <v>42</v>
      </c>
      <c r="M159" s="6" t="n">
        <v>20</v>
      </c>
      <c r="N159" s="7" t="n">
        <v>0</v>
      </c>
      <c r="O159" s="6" t="s">
        <v>215</v>
      </c>
      <c r="P159" s="6"/>
      <c r="Q159" s="6" t="s">
        <v>379</v>
      </c>
      <c r="R159" s="6" t="s">
        <v>380</v>
      </c>
      <c r="S159" s="6"/>
    </row>
    <row r="160" customFormat="false" ht="15" hidden="false" customHeight="false" outlineLevel="0" collapsed="false">
      <c r="A160" s="6" t="s">
        <v>388</v>
      </c>
      <c r="B160" s="6" t="s">
        <v>51</v>
      </c>
      <c r="C160" s="6" t="s">
        <v>102</v>
      </c>
      <c r="D160" s="6" t="s">
        <v>152</v>
      </c>
      <c r="E160" s="6" t="n">
        <v>19</v>
      </c>
      <c r="F160" s="7" t="n">
        <v>32.8</v>
      </c>
      <c r="G160" s="7" t="n">
        <v>0</v>
      </c>
      <c r="H160" s="7" t="n">
        <v>5.4</v>
      </c>
      <c r="I160" s="7" t="n">
        <v>0.6</v>
      </c>
      <c r="J160" s="7" t="n">
        <v>1.2</v>
      </c>
      <c r="K160" s="7" t="n">
        <v>2</v>
      </c>
      <c r="L160" s="6" t="n">
        <v>42</v>
      </c>
      <c r="M160" s="6" t="n">
        <v>20</v>
      </c>
      <c r="N160" s="7" t="n">
        <v>0</v>
      </c>
      <c r="O160" s="6" t="s">
        <v>215</v>
      </c>
      <c r="P160" s="6"/>
      <c r="Q160" s="6" t="s">
        <v>379</v>
      </c>
      <c r="R160" s="6" t="s">
        <v>380</v>
      </c>
      <c r="S160" s="6"/>
    </row>
    <row r="161" customFormat="false" ht="15" hidden="false" customHeight="false" outlineLevel="0" collapsed="false">
      <c r="A161" s="6" t="s">
        <v>389</v>
      </c>
      <c r="B161" s="6" t="s">
        <v>51</v>
      </c>
      <c r="C161" s="6" t="s">
        <v>102</v>
      </c>
      <c r="D161" s="6" t="s">
        <v>152</v>
      </c>
      <c r="E161" s="6" t="n">
        <v>20</v>
      </c>
      <c r="F161" s="7" t="n">
        <v>33.4</v>
      </c>
      <c r="G161" s="7" t="n">
        <v>0</v>
      </c>
      <c r="H161" s="7" t="n">
        <v>5.4</v>
      </c>
      <c r="I161" s="7" t="n">
        <v>0.6</v>
      </c>
      <c r="J161" s="7" t="n">
        <v>1.2</v>
      </c>
      <c r="K161" s="7" t="n">
        <v>2</v>
      </c>
      <c r="L161" s="6" t="n">
        <v>42</v>
      </c>
      <c r="M161" s="6" t="n">
        <v>20</v>
      </c>
      <c r="N161" s="7" t="n">
        <v>0</v>
      </c>
      <c r="O161" s="6" t="s">
        <v>215</v>
      </c>
      <c r="P161" s="6"/>
      <c r="Q161" s="6" t="s">
        <v>379</v>
      </c>
      <c r="R161" s="6" t="s">
        <v>380</v>
      </c>
      <c r="S161" s="6"/>
    </row>
    <row r="162" customFormat="false" ht="15" hidden="false" customHeight="false" outlineLevel="0" collapsed="false">
      <c r="A162" s="6" t="s">
        <v>390</v>
      </c>
      <c r="B162" s="6" t="s">
        <v>51</v>
      </c>
      <c r="C162" s="6" t="s">
        <v>102</v>
      </c>
      <c r="D162" s="6" t="s">
        <v>153</v>
      </c>
      <c r="E162" s="6" t="n">
        <v>1</v>
      </c>
      <c r="F162" s="7" t="n">
        <v>22</v>
      </c>
      <c r="G162" s="7" t="n">
        <v>0</v>
      </c>
      <c r="H162" s="7" t="n">
        <v>7.8</v>
      </c>
      <c r="I162" s="7" t="n">
        <v>0.6</v>
      </c>
      <c r="J162" s="7" t="n">
        <v>1.2</v>
      </c>
      <c r="K162" s="7" t="n">
        <v>2</v>
      </c>
      <c r="L162" s="6" t="n">
        <v>42</v>
      </c>
      <c r="M162" s="6" t="n">
        <v>20</v>
      </c>
      <c r="N162" s="7" t="n">
        <v>9.5</v>
      </c>
      <c r="O162" s="6" t="s">
        <v>191</v>
      </c>
      <c r="P162" s="6" t="s">
        <v>242</v>
      </c>
      <c r="Q162" s="6" t="s">
        <v>391</v>
      </c>
      <c r="R162" s="6" t="s">
        <v>392</v>
      </c>
      <c r="S162" s="6"/>
    </row>
    <row r="163" customFormat="false" ht="15" hidden="false" customHeight="false" outlineLevel="0" collapsed="false">
      <c r="A163" s="6" t="s">
        <v>393</v>
      </c>
      <c r="B163" s="6" t="s">
        <v>51</v>
      </c>
      <c r="C163" s="6" t="s">
        <v>102</v>
      </c>
      <c r="D163" s="6" t="s">
        <v>153</v>
      </c>
      <c r="E163" s="6" t="n">
        <v>2</v>
      </c>
      <c r="F163" s="7" t="n">
        <v>22.6</v>
      </c>
      <c r="G163" s="7" t="n">
        <v>0</v>
      </c>
      <c r="H163" s="7" t="n">
        <v>7.8</v>
      </c>
      <c r="I163" s="7" t="n">
        <v>0.6</v>
      </c>
      <c r="J163" s="7" t="n">
        <v>1.2</v>
      </c>
      <c r="K163" s="7" t="n">
        <v>2</v>
      </c>
      <c r="L163" s="6" t="n">
        <v>42</v>
      </c>
      <c r="M163" s="6" t="n">
        <v>20</v>
      </c>
      <c r="N163" s="7" t="n">
        <v>9.5</v>
      </c>
      <c r="O163" s="6" t="s">
        <v>191</v>
      </c>
      <c r="P163" s="6" t="s">
        <v>242</v>
      </c>
      <c r="Q163" s="6" t="s">
        <v>391</v>
      </c>
      <c r="R163" s="6" t="s">
        <v>392</v>
      </c>
      <c r="S163" s="6"/>
    </row>
    <row r="164" customFormat="false" ht="15" hidden="false" customHeight="false" outlineLevel="0" collapsed="false">
      <c r="A164" s="6" t="s">
        <v>394</v>
      </c>
      <c r="B164" s="6" t="s">
        <v>51</v>
      </c>
      <c r="C164" s="6" t="s">
        <v>102</v>
      </c>
      <c r="D164" s="6" t="s">
        <v>153</v>
      </c>
      <c r="E164" s="6" t="n">
        <v>3</v>
      </c>
      <c r="F164" s="7" t="n">
        <v>23.2</v>
      </c>
      <c r="G164" s="7" t="n">
        <v>0</v>
      </c>
      <c r="H164" s="7" t="n">
        <v>7.8</v>
      </c>
      <c r="I164" s="7" t="n">
        <v>0.6</v>
      </c>
      <c r="J164" s="7" t="n">
        <v>1.2</v>
      </c>
      <c r="K164" s="7" t="n">
        <v>2</v>
      </c>
      <c r="L164" s="6" t="n">
        <v>42</v>
      </c>
      <c r="M164" s="6" t="n">
        <v>20</v>
      </c>
      <c r="N164" s="7" t="n">
        <v>9.5</v>
      </c>
      <c r="O164" s="6" t="s">
        <v>191</v>
      </c>
      <c r="P164" s="6" t="s">
        <v>242</v>
      </c>
      <c r="Q164" s="6" t="s">
        <v>391</v>
      </c>
      <c r="R164" s="6" t="s">
        <v>392</v>
      </c>
      <c r="S164" s="6"/>
    </row>
    <row r="165" customFormat="false" ht="15" hidden="false" customHeight="false" outlineLevel="0" collapsed="false">
      <c r="A165" s="6" t="s">
        <v>395</v>
      </c>
      <c r="B165" s="6" t="s">
        <v>51</v>
      </c>
      <c r="C165" s="6" t="s">
        <v>102</v>
      </c>
      <c r="D165" s="6" t="s">
        <v>153</v>
      </c>
      <c r="E165" s="6" t="n">
        <v>4</v>
      </c>
      <c r="F165" s="7" t="n">
        <v>23.8</v>
      </c>
      <c r="G165" s="7" t="n">
        <v>0</v>
      </c>
      <c r="H165" s="7" t="n">
        <v>7.8</v>
      </c>
      <c r="I165" s="7" t="n">
        <v>0.6</v>
      </c>
      <c r="J165" s="7" t="n">
        <v>1.2</v>
      </c>
      <c r="K165" s="7" t="n">
        <v>2</v>
      </c>
      <c r="L165" s="6" t="n">
        <v>42</v>
      </c>
      <c r="M165" s="6" t="n">
        <v>20</v>
      </c>
      <c r="N165" s="7" t="n">
        <v>9.5</v>
      </c>
      <c r="O165" s="6" t="s">
        <v>191</v>
      </c>
      <c r="P165" s="6" t="s">
        <v>242</v>
      </c>
      <c r="Q165" s="6" t="s">
        <v>391</v>
      </c>
      <c r="R165" s="6" t="s">
        <v>392</v>
      </c>
      <c r="S165" s="6"/>
    </row>
    <row r="166" customFormat="false" ht="15" hidden="false" customHeight="false" outlineLevel="0" collapsed="false">
      <c r="A166" s="6" t="s">
        <v>396</v>
      </c>
      <c r="B166" s="6" t="s">
        <v>51</v>
      </c>
      <c r="C166" s="6" t="s">
        <v>102</v>
      </c>
      <c r="D166" s="6" t="s">
        <v>153</v>
      </c>
      <c r="E166" s="6" t="n">
        <v>5</v>
      </c>
      <c r="F166" s="7" t="n">
        <v>24.4</v>
      </c>
      <c r="G166" s="7" t="n">
        <v>0</v>
      </c>
      <c r="H166" s="7" t="n">
        <v>7.8</v>
      </c>
      <c r="I166" s="7" t="n">
        <v>0.6</v>
      </c>
      <c r="J166" s="7" t="n">
        <v>1.2</v>
      </c>
      <c r="K166" s="7" t="n">
        <v>2</v>
      </c>
      <c r="L166" s="6" t="n">
        <v>42</v>
      </c>
      <c r="M166" s="6" t="n">
        <v>20</v>
      </c>
      <c r="N166" s="7" t="n">
        <v>9.5</v>
      </c>
      <c r="O166" s="6" t="s">
        <v>191</v>
      </c>
      <c r="P166" s="6" t="s">
        <v>242</v>
      </c>
      <c r="Q166" s="6" t="s">
        <v>391</v>
      </c>
      <c r="R166" s="6" t="s">
        <v>392</v>
      </c>
      <c r="S166" s="6"/>
    </row>
    <row r="167" customFormat="false" ht="15" hidden="false" customHeight="false" outlineLevel="0" collapsed="false">
      <c r="A167" s="6" t="s">
        <v>397</v>
      </c>
      <c r="B167" s="6" t="s">
        <v>51</v>
      </c>
      <c r="C167" s="6" t="s">
        <v>102</v>
      </c>
      <c r="D167" s="6" t="s">
        <v>153</v>
      </c>
      <c r="E167" s="6" t="n">
        <v>6</v>
      </c>
      <c r="F167" s="7" t="n">
        <v>25</v>
      </c>
      <c r="G167" s="7" t="n">
        <v>0</v>
      </c>
      <c r="H167" s="7" t="n">
        <v>7.8</v>
      </c>
      <c r="I167" s="7" t="n">
        <v>0.6</v>
      </c>
      <c r="J167" s="7" t="n">
        <v>1.2</v>
      </c>
      <c r="K167" s="7" t="n">
        <v>2</v>
      </c>
      <c r="L167" s="6" t="n">
        <v>42</v>
      </c>
      <c r="M167" s="6" t="n">
        <v>20</v>
      </c>
      <c r="N167" s="7" t="n">
        <v>9.5</v>
      </c>
      <c r="O167" s="6" t="s">
        <v>191</v>
      </c>
      <c r="P167" s="6" t="s">
        <v>242</v>
      </c>
      <c r="Q167" s="6" t="s">
        <v>391</v>
      </c>
      <c r="R167" s="6" t="s">
        <v>392</v>
      </c>
      <c r="S167" s="6"/>
    </row>
    <row r="168" customFormat="false" ht="15" hidden="false" customHeight="false" outlineLevel="0" collapsed="false">
      <c r="A168" s="6" t="s">
        <v>398</v>
      </c>
      <c r="B168" s="6" t="s">
        <v>51</v>
      </c>
      <c r="C168" s="6" t="s">
        <v>102</v>
      </c>
      <c r="D168" s="6" t="s">
        <v>153</v>
      </c>
      <c r="E168" s="6" t="n">
        <v>7</v>
      </c>
      <c r="F168" s="7" t="n">
        <v>25.6</v>
      </c>
      <c r="G168" s="7" t="n">
        <v>0</v>
      </c>
      <c r="H168" s="7" t="n">
        <v>7.8</v>
      </c>
      <c r="I168" s="7" t="n">
        <v>0.6</v>
      </c>
      <c r="J168" s="7" t="n">
        <v>1.2</v>
      </c>
      <c r="K168" s="7" t="n">
        <v>2</v>
      </c>
      <c r="L168" s="6" t="n">
        <v>42</v>
      </c>
      <c r="M168" s="6" t="n">
        <v>20</v>
      </c>
      <c r="N168" s="7" t="n">
        <v>9.5</v>
      </c>
      <c r="O168" s="6" t="s">
        <v>191</v>
      </c>
      <c r="P168" s="6" t="s">
        <v>242</v>
      </c>
      <c r="Q168" s="6" t="s">
        <v>391</v>
      </c>
      <c r="R168" s="6" t="s">
        <v>392</v>
      </c>
      <c r="S168" s="6"/>
    </row>
    <row r="169" customFormat="false" ht="15" hidden="false" customHeight="false" outlineLevel="0" collapsed="false">
      <c r="A169" s="6" t="s">
        <v>399</v>
      </c>
      <c r="B169" s="6" t="s">
        <v>51</v>
      </c>
      <c r="C169" s="6" t="s">
        <v>102</v>
      </c>
      <c r="D169" s="6" t="s">
        <v>153</v>
      </c>
      <c r="E169" s="6" t="n">
        <v>8</v>
      </c>
      <c r="F169" s="7" t="n">
        <v>26.2</v>
      </c>
      <c r="G169" s="7" t="n">
        <v>0</v>
      </c>
      <c r="H169" s="7" t="n">
        <v>7.8</v>
      </c>
      <c r="I169" s="7" t="n">
        <v>0.6</v>
      </c>
      <c r="J169" s="7" t="n">
        <v>1.2</v>
      </c>
      <c r="K169" s="7" t="n">
        <v>2</v>
      </c>
      <c r="L169" s="6" t="n">
        <v>42</v>
      </c>
      <c r="M169" s="6" t="n">
        <v>20</v>
      </c>
      <c r="N169" s="7" t="n">
        <v>9.5</v>
      </c>
      <c r="O169" s="6" t="s">
        <v>191</v>
      </c>
      <c r="P169" s="6" t="s">
        <v>242</v>
      </c>
      <c r="Q169" s="6" t="s">
        <v>391</v>
      </c>
      <c r="R169" s="6" t="s">
        <v>392</v>
      </c>
      <c r="S169" s="6"/>
    </row>
    <row r="170" customFormat="false" ht="15" hidden="false" customHeight="false" outlineLevel="0" collapsed="false">
      <c r="A170" s="6" t="s">
        <v>400</v>
      </c>
      <c r="B170" s="6" t="s">
        <v>51</v>
      </c>
      <c r="C170" s="6" t="s">
        <v>102</v>
      </c>
      <c r="D170" s="6" t="s">
        <v>153</v>
      </c>
      <c r="E170" s="6" t="n">
        <v>9</v>
      </c>
      <c r="F170" s="7" t="n">
        <v>26.8</v>
      </c>
      <c r="G170" s="7" t="n">
        <v>0</v>
      </c>
      <c r="H170" s="7" t="n">
        <v>7.8</v>
      </c>
      <c r="I170" s="7" t="n">
        <v>0.6</v>
      </c>
      <c r="J170" s="7" t="n">
        <v>1.2</v>
      </c>
      <c r="K170" s="7" t="n">
        <v>2</v>
      </c>
      <c r="L170" s="6" t="n">
        <v>42</v>
      </c>
      <c r="M170" s="6" t="n">
        <v>20</v>
      </c>
      <c r="N170" s="7" t="n">
        <v>9.5</v>
      </c>
      <c r="O170" s="6" t="s">
        <v>191</v>
      </c>
      <c r="P170" s="6" t="s">
        <v>242</v>
      </c>
      <c r="Q170" s="6" t="s">
        <v>391</v>
      </c>
      <c r="R170" s="6" t="s">
        <v>392</v>
      </c>
      <c r="S170" s="6"/>
    </row>
    <row r="171" customFormat="false" ht="15" hidden="false" customHeight="false" outlineLevel="0" collapsed="false">
      <c r="A171" s="6" t="s">
        <v>401</v>
      </c>
      <c r="B171" s="6" t="s">
        <v>51</v>
      </c>
      <c r="C171" s="6" t="s">
        <v>102</v>
      </c>
      <c r="D171" s="6" t="s">
        <v>153</v>
      </c>
      <c r="E171" s="6" t="n">
        <v>10</v>
      </c>
      <c r="F171" s="7" t="n">
        <v>27.4</v>
      </c>
      <c r="G171" s="7" t="n">
        <v>0</v>
      </c>
      <c r="H171" s="7" t="n">
        <v>7.8</v>
      </c>
      <c r="I171" s="7" t="n">
        <v>0.6</v>
      </c>
      <c r="J171" s="7" t="n">
        <v>1.2</v>
      </c>
      <c r="K171" s="7" t="n">
        <v>2</v>
      </c>
      <c r="L171" s="6" t="n">
        <v>42</v>
      </c>
      <c r="M171" s="6" t="n">
        <v>20</v>
      </c>
      <c r="N171" s="7" t="n">
        <v>9.5</v>
      </c>
      <c r="O171" s="6" t="s">
        <v>191</v>
      </c>
      <c r="P171" s="6" t="s">
        <v>242</v>
      </c>
      <c r="Q171" s="6" t="s">
        <v>391</v>
      </c>
      <c r="R171" s="6" t="s">
        <v>392</v>
      </c>
      <c r="S171" s="6"/>
    </row>
    <row r="172" customFormat="false" ht="15" hidden="false" customHeight="false" outlineLevel="0" collapsed="false">
      <c r="A172" s="6" t="s">
        <v>402</v>
      </c>
      <c r="B172" s="6" t="s">
        <v>51</v>
      </c>
      <c r="C172" s="6" t="s">
        <v>102</v>
      </c>
      <c r="D172" s="6" t="s">
        <v>153</v>
      </c>
      <c r="E172" s="6" t="n">
        <v>11</v>
      </c>
      <c r="F172" s="7" t="n">
        <v>28</v>
      </c>
      <c r="G172" s="7" t="n">
        <v>0</v>
      </c>
      <c r="H172" s="7" t="n">
        <v>7.8</v>
      </c>
      <c r="I172" s="7" t="n">
        <v>0.6</v>
      </c>
      <c r="J172" s="7" t="n">
        <v>1.2</v>
      </c>
      <c r="K172" s="7" t="n">
        <v>2</v>
      </c>
      <c r="L172" s="6" t="n">
        <v>42</v>
      </c>
      <c r="M172" s="6" t="n">
        <v>20</v>
      </c>
      <c r="N172" s="7" t="n">
        <v>9.5</v>
      </c>
      <c r="O172" s="6" t="s">
        <v>191</v>
      </c>
      <c r="P172" s="6" t="s">
        <v>242</v>
      </c>
      <c r="Q172" s="6" t="s">
        <v>403</v>
      </c>
      <c r="R172" s="6" t="s">
        <v>404</v>
      </c>
      <c r="S172" s="6"/>
    </row>
    <row r="173" customFormat="false" ht="15" hidden="false" customHeight="false" outlineLevel="0" collapsed="false">
      <c r="A173" s="6" t="s">
        <v>405</v>
      </c>
      <c r="B173" s="6" t="s">
        <v>51</v>
      </c>
      <c r="C173" s="6" t="s">
        <v>102</v>
      </c>
      <c r="D173" s="6" t="s">
        <v>153</v>
      </c>
      <c r="E173" s="6" t="n">
        <v>12</v>
      </c>
      <c r="F173" s="7" t="n">
        <v>28.6</v>
      </c>
      <c r="G173" s="7" t="n">
        <v>0</v>
      </c>
      <c r="H173" s="7" t="n">
        <v>7.8</v>
      </c>
      <c r="I173" s="7" t="n">
        <v>0.6</v>
      </c>
      <c r="J173" s="7" t="n">
        <v>1.2</v>
      </c>
      <c r="K173" s="7" t="n">
        <v>2</v>
      </c>
      <c r="L173" s="6" t="n">
        <v>42</v>
      </c>
      <c r="M173" s="6" t="n">
        <v>20</v>
      </c>
      <c r="N173" s="7" t="n">
        <v>9.5</v>
      </c>
      <c r="O173" s="6" t="s">
        <v>191</v>
      </c>
      <c r="P173" s="6" t="s">
        <v>242</v>
      </c>
      <c r="Q173" s="6" t="s">
        <v>403</v>
      </c>
      <c r="R173" s="6" t="s">
        <v>404</v>
      </c>
      <c r="S173" s="6"/>
    </row>
    <row r="174" customFormat="false" ht="15" hidden="false" customHeight="false" outlineLevel="0" collapsed="false">
      <c r="A174" s="6" t="s">
        <v>406</v>
      </c>
      <c r="B174" s="6" t="s">
        <v>51</v>
      </c>
      <c r="C174" s="6" t="s">
        <v>102</v>
      </c>
      <c r="D174" s="6" t="s">
        <v>153</v>
      </c>
      <c r="E174" s="6" t="n">
        <v>13</v>
      </c>
      <c r="F174" s="7" t="n">
        <v>29.2</v>
      </c>
      <c r="G174" s="7" t="n">
        <v>0</v>
      </c>
      <c r="H174" s="7" t="n">
        <v>7.8</v>
      </c>
      <c r="I174" s="7" t="n">
        <v>0.6</v>
      </c>
      <c r="J174" s="7" t="n">
        <v>1.2</v>
      </c>
      <c r="K174" s="7" t="n">
        <v>2</v>
      </c>
      <c r="L174" s="6" t="n">
        <v>42</v>
      </c>
      <c r="M174" s="6" t="n">
        <v>20</v>
      </c>
      <c r="N174" s="7" t="n">
        <v>9.5</v>
      </c>
      <c r="O174" s="6" t="s">
        <v>191</v>
      </c>
      <c r="P174" s="6" t="s">
        <v>242</v>
      </c>
      <c r="Q174" s="6" t="s">
        <v>403</v>
      </c>
      <c r="R174" s="6" t="s">
        <v>404</v>
      </c>
      <c r="S174" s="6"/>
    </row>
    <row r="175" customFormat="false" ht="15" hidden="false" customHeight="false" outlineLevel="0" collapsed="false">
      <c r="A175" s="6" t="s">
        <v>407</v>
      </c>
      <c r="B175" s="6" t="s">
        <v>51</v>
      </c>
      <c r="C175" s="6" t="s">
        <v>102</v>
      </c>
      <c r="D175" s="6" t="s">
        <v>153</v>
      </c>
      <c r="E175" s="6" t="n">
        <v>14</v>
      </c>
      <c r="F175" s="7" t="n">
        <v>29.8</v>
      </c>
      <c r="G175" s="7" t="n">
        <v>0</v>
      </c>
      <c r="H175" s="7" t="n">
        <v>7.8</v>
      </c>
      <c r="I175" s="7" t="n">
        <v>0.6</v>
      </c>
      <c r="J175" s="7" t="n">
        <v>1.2</v>
      </c>
      <c r="K175" s="7" t="n">
        <v>2</v>
      </c>
      <c r="L175" s="6" t="n">
        <v>42</v>
      </c>
      <c r="M175" s="6" t="n">
        <v>20</v>
      </c>
      <c r="N175" s="7" t="n">
        <v>9.5</v>
      </c>
      <c r="O175" s="6" t="s">
        <v>191</v>
      </c>
      <c r="P175" s="6" t="s">
        <v>242</v>
      </c>
      <c r="Q175" s="6" t="s">
        <v>403</v>
      </c>
      <c r="R175" s="6" t="s">
        <v>404</v>
      </c>
      <c r="S175" s="6"/>
    </row>
    <row r="176" customFormat="false" ht="15" hidden="false" customHeight="false" outlineLevel="0" collapsed="false">
      <c r="A176" s="6" t="s">
        <v>408</v>
      </c>
      <c r="B176" s="6" t="s">
        <v>51</v>
      </c>
      <c r="C176" s="6" t="s">
        <v>102</v>
      </c>
      <c r="D176" s="6" t="s">
        <v>153</v>
      </c>
      <c r="E176" s="6" t="n">
        <v>15</v>
      </c>
      <c r="F176" s="7" t="n">
        <v>30.4</v>
      </c>
      <c r="G176" s="7" t="n">
        <v>0</v>
      </c>
      <c r="H176" s="7" t="n">
        <v>7.8</v>
      </c>
      <c r="I176" s="7" t="n">
        <v>0.6</v>
      </c>
      <c r="J176" s="7" t="n">
        <v>1.2</v>
      </c>
      <c r="K176" s="7" t="n">
        <v>2</v>
      </c>
      <c r="L176" s="6" t="n">
        <v>42</v>
      </c>
      <c r="M176" s="6" t="n">
        <v>20</v>
      </c>
      <c r="N176" s="7" t="n">
        <v>9.5</v>
      </c>
      <c r="O176" s="6" t="s">
        <v>191</v>
      </c>
      <c r="P176" s="6" t="s">
        <v>242</v>
      </c>
      <c r="Q176" s="6" t="s">
        <v>403</v>
      </c>
      <c r="R176" s="6" t="s">
        <v>404</v>
      </c>
      <c r="S176" s="6"/>
    </row>
    <row r="177" customFormat="false" ht="15" hidden="false" customHeight="false" outlineLevel="0" collapsed="false">
      <c r="A177" s="6" t="s">
        <v>409</v>
      </c>
      <c r="B177" s="6" t="s">
        <v>51</v>
      </c>
      <c r="C177" s="6" t="s">
        <v>102</v>
      </c>
      <c r="D177" s="6" t="s">
        <v>153</v>
      </c>
      <c r="E177" s="6" t="n">
        <v>16</v>
      </c>
      <c r="F177" s="7" t="n">
        <v>31</v>
      </c>
      <c r="G177" s="7" t="n">
        <v>0</v>
      </c>
      <c r="H177" s="7" t="n">
        <v>7.8</v>
      </c>
      <c r="I177" s="7" t="n">
        <v>0.6</v>
      </c>
      <c r="J177" s="7" t="n">
        <v>1.2</v>
      </c>
      <c r="K177" s="7" t="n">
        <v>2</v>
      </c>
      <c r="L177" s="6" t="n">
        <v>42</v>
      </c>
      <c r="M177" s="6" t="n">
        <v>20</v>
      </c>
      <c r="N177" s="7" t="n">
        <v>9.5</v>
      </c>
      <c r="O177" s="6" t="s">
        <v>191</v>
      </c>
      <c r="P177" s="6" t="s">
        <v>242</v>
      </c>
      <c r="Q177" s="6" t="s">
        <v>403</v>
      </c>
      <c r="R177" s="6" t="s">
        <v>404</v>
      </c>
      <c r="S177" s="6"/>
    </row>
    <row r="178" customFormat="false" ht="15" hidden="false" customHeight="false" outlineLevel="0" collapsed="false">
      <c r="A178" s="6" t="s">
        <v>410</v>
      </c>
      <c r="B178" s="6" t="s">
        <v>51</v>
      </c>
      <c r="C178" s="6" t="s">
        <v>102</v>
      </c>
      <c r="D178" s="6" t="s">
        <v>153</v>
      </c>
      <c r="E178" s="6" t="n">
        <v>17</v>
      </c>
      <c r="F178" s="7" t="n">
        <v>31.6</v>
      </c>
      <c r="G178" s="7" t="n">
        <v>0</v>
      </c>
      <c r="H178" s="7" t="n">
        <v>7.8</v>
      </c>
      <c r="I178" s="7" t="n">
        <v>0.6</v>
      </c>
      <c r="J178" s="7" t="n">
        <v>1.2</v>
      </c>
      <c r="K178" s="7" t="n">
        <v>2</v>
      </c>
      <c r="L178" s="6" t="n">
        <v>42</v>
      </c>
      <c r="M178" s="6" t="n">
        <v>20</v>
      </c>
      <c r="N178" s="7" t="n">
        <v>0</v>
      </c>
      <c r="O178" s="6" t="s">
        <v>215</v>
      </c>
      <c r="P178" s="6"/>
      <c r="Q178" s="6" t="s">
        <v>403</v>
      </c>
      <c r="R178" s="6" t="s">
        <v>404</v>
      </c>
      <c r="S178" s="6"/>
    </row>
    <row r="179" customFormat="false" ht="15" hidden="false" customHeight="false" outlineLevel="0" collapsed="false">
      <c r="A179" s="6" t="s">
        <v>411</v>
      </c>
      <c r="B179" s="6" t="s">
        <v>51</v>
      </c>
      <c r="C179" s="6" t="s">
        <v>102</v>
      </c>
      <c r="D179" s="6" t="s">
        <v>153</v>
      </c>
      <c r="E179" s="6" t="n">
        <v>18</v>
      </c>
      <c r="F179" s="7" t="n">
        <v>32.2</v>
      </c>
      <c r="G179" s="7" t="n">
        <v>0</v>
      </c>
      <c r="H179" s="7" t="n">
        <v>7.8</v>
      </c>
      <c r="I179" s="7" t="n">
        <v>0.6</v>
      </c>
      <c r="J179" s="7" t="n">
        <v>1.2</v>
      </c>
      <c r="K179" s="7" t="n">
        <v>2</v>
      </c>
      <c r="L179" s="6" t="n">
        <v>42</v>
      </c>
      <c r="M179" s="6" t="n">
        <v>20</v>
      </c>
      <c r="N179" s="7" t="n">
        <v>0</v>
      </c>
      <c r="O179" s="6" t="s">
        <v>215</v>
      </c>
      <c r="P179" s="6"/>
      <c r="Q179" s="6" t="s">
        <v>403</v>
      </c>
      <c r="R179" s="6" t="s">
        <v>404</v>
      </c>
      <c r="S179" s="6"/>
    </row>
    <row r="180" customFormat="false" ht="15" hidden="false" customHeight="false" outlineLevel="0" collapsed="false">
      <c r="A180" s="6" t="s">
        <v>412</v>
      </c>
      <c r="B180" s="6" t="s">
        <v>51</v>
      </c>
      <c r="C180" s="6" t="s">
        <v>102</v>
      </c>
      <c r="D180" s="6" t="s">
        <v>153</v>
      </c>
      <c r="E180" s="6" t="n">
        <v>19</v>
      </c>
      <c r="F180" s="7" t="n">
        <v>32.8</v>
      </c>
      <c r="G180" s="7" t="n">
        <v>0</v>
      </c>
      <c r="H180" s="7" t="n">
        <v>7.8</v>
      </c>
      <c r="I180" s="7" t="n">
        <v>0.6</v>
      </c>
      <c r="J180" s="7" t="n">
        <v>1.2</v>
      </c>
      <c r="K180" s="7" t="n">
        <v>2</v>
      </c>
      <c r="L180" s="6" t="n">
        <v>42</v>
      </c>
      <c r="M180" s="6" t="n">
        <v>20</v>
      </c>
      <c r="N180" s="7" t="n">
        <v>0</v>
      </c>
      <c r="O180" s="6" t="s">
        <v>215</v>
      </c>
      <c r="P180" s="6"/>
      <c r="Q180" s="6" t="s">
        <v>403</v>
      </c>
      <c r="R180" s="6" t="s">
        <v>404</v>
      </c>
      <c r="S180" s="6"/>
    </row>
    <row r="181" customFormat="false" ht="15" hidden="false" customHeight="false" outlineLevel="0" collapsed="false">
      <c r="A181" s="6" t="s">
        <v>413</v>
      </c>
      <c r="B181" s="6" t="s">
        <v>51</v>
      </c>
      <c r="C181" s="6" t="s">
        <v>102</v>
      </c>
      <c r="D181" s="6" t="s">
        <v>153</v>
      </c>
      <c r="E181" s="6" t="n">
        <v>20</v>
      </c>
      <c r="F181" s="7" t="n">
        <v>33.4</v>
      </c>
      <c r="G181" s="7" t="n">
        <v>0</v>
      </c>
      <c r="H181" s="7" t="n">
        <v>7.8</v>
      </c>
      <c r="I181" s="7" t="n">
        <v>0.6</v>
      </c>
      <c r="J181" s="7" t="n">
        <v>1.2</v>
      </c>
      <c r="K181" s="7" t="n">
        <v>2</v>
      </c>
      <c r="L181" s="6" t="n">
        <v>42</v>
      </c>
      <c r="M181" s="6" t="n">
        <v>20</v>
      </c>
      <c r="N181" s="7" t="n">
        <v>0</v>
      </c>
      <c r="O181" s="6" t="s">
        <v>215</v>
      </c>
      <c r="P181" s="6"/>
      <c r="Q181" s="6" t="s">
        <v>403</v>
      </c>
      <c r="R181" s="6" t="s">
        <v>404</v>
      </c>
      <c r="S181" s="6"/>
    </row>
    <row r="182" customFormat="false" ht="15" hidden="false" customHeight="false" outlineLevel="0" collapsed="false">
      <c r="A182" s="6" t="s">
        <v>414</v>
      </c>
      <c r="B182" s="6" t="s">
        <v>51</v>
      </c>
      <c r="C182" s="6" t="s">
        <v>102</v>
      </c>
      <c r="D182" s="6" t="s">
        <v>154</v>
      </c>
      <c r="E182" s="6" t="n">
        <v>1</v>
      </c>
      <c r="F182" s="7" t="n">
        <v>22</v>
      </c>
      <c r="G182" s="7" t="n">
        <v>0</v>
      </c>
      <c r="H182" s="7" t="n">
        <v>10.2</v>
      </c>
      <c r="I182" s="7" t="n">
        <v>0.6</v>
      </c>
      <c r="J182" s="7" t="n">
        <v>1.2</v>
      </c>
      <c r="K182" s="7" t="n">
        <v>2</v>
      </c>
      <c r="L182" s="6" t="n">
        <v>42</v>
      </c>
      <c r="M182" s="6" t="n">
        <v>20</v>
      </c>
      <c r="N182" s="7" t="n">
        <v>9.9</v>
      </c>
      <c r="O182" s="6" t="s">
        <v>191</v>
      </c>
      <c r="P182" s="6" t="s">
        <v>293</v>
      </c>
      <c r="Q182" s="6" t="s">
        <v>415</v>
      </c>
      <c r="R182" s="6" t="s">
        <v>416</v>
      </c>
      <c r="S182" s="6"/>
    </row>
    <row r="183" customFormat="false" ht="15" hidden="false" customHeight="false" outlineLevel="0" collapsed="false">
      <c r="A183" s="6" t="s">
        <v>417</v>
      </c>
      <c r="B183" s="6" t="s">
        <v>51</v>
      </c>
      <c r="C183" s="6" t="s">
        <v>102</v>
      </c>
      <c r="D183" s="6" t="s">
        <v>154</v>
      </c>
      <c r="E183" s="6" t="n">
        <v>2</v>
      </c>
      <c r="F183" s="7" t="n">
        <v>22.6</v>
      </c>
      <c r="G183" s="7" t="n">
        <v>0</v>
      </c>
      <c r="H183" s="7" t="n">
        <v>10.2</v>
      </c>
      <c r="I183" s="7" t="n">
        <v>0.6</v>
      </c>
      <c r="J183" s="7" t="n">
        <v>1.2</v>
      </c>
      <c r="K183" s="7" t="n">
        <v>2</v>
      </c>
      <c r="L183" s="6" t="n">
        <v>42</v>
      </c>
      <c r="M183" s="6" t="n">
        <v>20</v>
      </c>
      <c r="N183" s="7" t="n">
        <v>9.9</v>
      </c>
      <c r="O183" s="6" t="s">
        <v>191</v>
      </c>
      <c r="P183" s="6" t="s">
        <v>293</v>
      </c>
      <c r="Q183" s="6" t="s">
        <v>415</v>
      </c>
      <c r="R183" s="6" t="s">
        <v>416</v>
      </c>
      <c r="S183" s="6"/>
    </row>
    <row r="184" customFormat="false" ht="15" hidden="false" customHeight="false" outlineLevel="0" collapsed="false">
      <c r="A184" s="6" t="s">
        <v>418</v>
      </c>
      <c r="B184" s="6" t="s">
        <v>51</v>
      </c>
      <c r="C184" s="6" t="s">
        <v>102</v>
      </c>
      <c r="D184" s="6" t="s">
        <v>154</v>
      </c>
      <c r="E184" s="6" t="n">
        <v>3</v>
      </c>
      <c r="F184" s="7" t="n">
        <v>23.2</v>
      </c>
      <c r="G184" s="7" t="n">
        <v>0</v>
      </c>
      <c r="H184" s="7" t="n">
        <v>10.2</v>
      </c>
      <c r="I184" s="7" t="n">
        <v>0.6</v>
      </c>
      <c r="J184" s="7" t="n">
        <v>1.2</v>
      </c>
      <c r="K184" s="7" t="n">
        <v>2</v>
      </c>
      <c r="L184" s="6" t="n">
        <v>42</v>
      </c>
      <c r="M184" s="6" t="n">
        <v>20</v>
      </c>
      <c r="N184" s="7" t="n">
        <v>9.9</v>
      </c>
      <c r="O184" s="6" t="s">
        <v>191</v>
      </c>
      <c r="P184" s="6" t="s">
        <v>293</v>
      </c>
      <c r="Q184" s="6" t="s">
        <v>415</v>
      </c>
      <c r="R184" s="6" t="s">
        <v>416</v>
      </c>
      <c r="S184" s="6"/>
    </row>
    <row r="185" customFormat="false" ht="15" hidden="false" customHeight="false" outlineLevel="0" collapsed="false">
      <c r="A185" s="6" t="s">
        <v>419</v>
      </c>
      <c r="B185" s="6" t="s">
        <v>51</v>
      </c>
      <c r="C185" s="6" t="s">
        <v>102</v>
      </c>
      <c r="D185" s="6" t="s">
        <v>154</v>
      </c>
      <c r="E185" s="6" t="n">
        <v>4</v>
      </c>
      <c r="F185" s="7" t="n">
        <v>23.8</v>
      </c>
      <c r="G185" s="7" t="n">
        <v>0</v>
      </c>
      <c r="H185" s="7" t="n">
        <v>10.2</v>
      </c>
      <c r="I185" s="7" t="n">
        <v>0.6</v>
      </c>
      <c r="J185" s="7" t="n">
        <v>1.2</v>
      </c>
      <c r="K185" s="7" t="n">
        <v>2</v>
      </c>
      <c r="L185" s="6" t="n">
        <v>42</v>
      </c>
      <c r="M185" s="6" t="n">
        <v>20</v>
      </c>
      <c r="N185" s="7" t="n">
        <v>9.9</v>
      </c>
      <c r="O185" s="6" t="s">
        <v>191</v>
      </c>
      <c r="P185" s="6" t="s">
        <v>293</v>
      </c>
      <c r="Q185" s="6" t="s">
        <v>415</v>
      </c>
      <c r="R185" s="6" t="s">
        <v>416</v>
      </c>
      <c r="S185" s="6"/>
    </row>
    <row r="186" customFormat="false" ht="15" hidden="false" customHeight="false" outlineLevel="0" collapsed="false">
      <c r="A186" s="6" t="s">
        <v>420</v>
      </c>
      <c r="B186" s="6" t="s">
        <v>51</v>
      </c>
      <c r="C186" s="6" t="s">
        <v>102</v>
      </c>
      <c r="D186" s="6" t="s">
        <v>154</v>
      </c>
      <c r="E186" s="6" t="n">
        <v>5</v>
      </c>
      <c r="F186" s="7" t="n">
        <v>24.4</v>
      </c>
      <c r="G186" s="7" t="n">
        <v>0</v>
      </c>
      <c r="H186" s="7" t="n">
        <v>10.2</v>
      </c>
      <c r="I186" s="7" t="n">
        <v>0.6</v>
      </c>
      <c r="J186" s="7" t="n">
        <v>1.2</v>
      </c>
      <c r="K186" s="7" t="n">
        <v>2</v>
      </c>
      <c r="L186" s="6" t="n">
        <v>42</v>
      </c>
      <c r="M186" s="6" t="n">
        <v>20</v>
      </c>
      <c r="N186" s="7" t="n">
        <v>9.9</v>
      </c>
      <c r="O186" s="6" t="s">
        <v>191</v>
      </c>
      <c r="P186" s="6" t="s">
        <v>293</v>
      </c>
      <c r="Q186" s="6" t="s">
        <v>415</v>
      </c>
      <c r="R186" s="6" t="s">
        <v>416</v>
      </c>
      <c r="S186" s="6"/>
    </row>
    <row r="187" customFormat="false" ht="15" hidden="false" customHeight="false" outlineLevel="0" collapsed="false">
      <c r="A187" s="6" t="s">
        <v>421</v>
      </c>
      <c r="B187" s="6" t="s">
        <v>51</v>
      </c>
      <c r="C187" s="6" t="s">
        <v>102</v>
      </c>
      <c r="D187" s="6" t="s">
        <v>154</v>
      </c>
      <c r="E187" s="6" t="n">
        <v>6</v>
      </c>
      <c r="F187" s="7" t="n">
        <v>25</v>
      </c>
      <c r="G187" s="7" t="n">
        <v>0</v>
      </c>
      <c r="H187" s="7" t="n">
        <v>10.2</v>
      </c>
      <c r="I187" s="7" t="n">
        <v>0.6</v>
      </c>
      <c r="J187" s="7" t="n">
        <v>1.2</v>
      </c>
      <c r="K187" s="7" t="n">
        <v>2</v>
      </c>
      <c r="L187" s="6" t="n">
        <v>42</v>
      </c>
      <c r="M187" s="6" t="n">
        <v>20</v>
      </c>
      <c r="N187" s="7" t="n">
        <v>9.9</v>
      </c>
      <c r="O187" s="6" t="s">
        <v>191</v>
      </c>
      <c r="P187" s="6" t="s">
        <v>293</v>
      </c>
      <c r="Q187" s="6" t="s">
        <v>415</v>
      </c>
      <c r="R187" s="6" t="s">
        <v>416</v>
      </c>
      <c r="S187" s="6"/>
    </row>
    <row r="188" customFormat="false" ht="15" hidden="false" customHeight="false" outlineLevel="0" collapsed="false">
      <c r="A188" s="6" t="s">
        <v>422</v>
      </c>
      <c r="B188" s="6" t="s">
        <v>51</v>
      </c>
      <c r="C188" s="6" t="s">
        <v>102</v>
      </c>
      <c r="D188" s="6" t="s">
        <v>154</v>
      </c>
      <c r="E188" s="6" t="n">
        <v>7</v>
      </c>
      <c r="F188" s="7" t="n">
        <v>25.6</v>
      </c>
      <c r="G188" s="7" t="n">
        <v>0</v>
      </c>
      <c r="H188" s="7" t="n">
        <v>10.2</v>
      </c>
      <c r="I188" s="7" t="n">
        <v>0.6</v>
      </c>
      <c r="J188" s="7" t="n">
        <v>1.2</v>
      </c>
      <c r="K188" s="7" t="n">
        <v>2</v>
      </c>
      <c r="L188" s="6" t="n">
        <v>42</v>
      </c>
      <c r="M188" s="6" t="n">
        <v>20</v>
      </c>
      <c r="N188" s="7" t="n">
        <v>9.9</v>
      </c>
      <c r="O188" s="6" t="s">
        <v>191</v>
      </c>
      <c r="P188" s="6" t="s">
        <v>293</v>
      </c>
      <c r="Q188" s="6" t="s">
        <v>415</v>
      </c>
      <c r="R188" s="6" t="s">
        <v>416</v>
      </c>
      <c r="S188" s="6"/>
    </row>
    <row r="189" customFormat="false" ht="15" hidden="false" customHeight="false" outlineLevel="0" collapsed="false">
      <c r="A189" s="6" t="s">
        <v>423</v>
      </c>
      <c r="B189" s="6" t="s">
        <v>51</v>
      </c>
      <c r="C189" s="6" t="s">
        <v>102</v>
      </c>
      <c r="D189" s="6" t="s">
        <v>154</v>
      </c>
      <c r="E189" s="6" t="n">
        <v>8</v>
      </c>
      <c r="F189" s="7" t="n">
        <v>26.2</v>
      </c>
      <c r="G189" s="7" t="n">
        <v>0</v>
      </c>
      <c r="H189" s="7" t="n">
        <v>10.2</v>
      </c>
      <c r="I189" s="7" t="n">
        <v>0.6</v>
      </c>
      <c r="J189" s="7" t="n">
        <v>1.2</v>
      </c>
      <c r="K189" s="7" t="n">
        <v>2</v>
      </c>
      <c r="L189" s="6" t="n">
        <v>42</v>
      </c>
      <c r="M189" s="6" t="n">
        <v>20</v>
      </c>
      <c r="N189" s="7" t="n">
        <v>9.9</v>
      </c>
      <c r="O189" s="6" t="s">
        <v>191</v>
      </c>
      <c r="P189" s="6" t="s">
        <v>293</v>
      </c>
      <c r="Q189" s="6" t="s">
        <v>415</v>
      </c>
      <c r="R189" s="6" t="s">
        <v>416</v>
      </c>
      <c r="S189" s="6"/>
    </row>
    <row r="190" customFormat="false" ht="15" hidden="false" customHeight="false" outlineLevel="0" collapsed="false">
      <c r="A190" s="6" t="s">
        <v>424</v>
      </c>
      <c r="B190" s="6" t="s">
        <v>51</v>
      </c>
      <c r="C190" s="6" t="s">
        <v>102</v>
      </c>
      <c r="D190" s="6" t="s">
        <v>154</v>
      </c>
      <c r="E190" s="6" t="n">
        <v>9</v>
      </c>
      <c r="F190" s="7" t="n">
        <v>26.8</v>
      </c>
      <c r="G190" s="7" t="n">
        <v>0</v>
      </c>
      <c r="H190" s="7" t="n">
        <v>10.2</v>
      </c>
      <c r="I190" s="7" t="n">
        <v>0.6</v>
      </c>
      <c r="J190" s="7" t="n">
        <v>1.2</v>
      </c>
      <c r="K190" s="7" t="n">
        <v>2</v>
      </c>
      <c r="L190" s="6" t="n">
        <v>42</v>
      </c>
      <c r="M190" s="6" t="n">
        <v>20</v>
      </c>
      <c r="N190" s="7" t="n">
        <v>9.9</v>
      </c>
      <c r="O190" s="6" t="s">
        <v>191</v>
      </c>
      <c r="P190" s="6" t="s">
        <v>293</v>
      </c>
      <c r="Q190" s="6" t="s">
        <v>415</v>
      </c>
      <c r="R190" s="6" t="s">
        <v>416</v>
      </c>
      <c r="S190" s="6"/>
    </row>
    <row r="191" customFormat="false" ht="15" hidden="false" customHeight="false" outlineLevel="0" collapsed="false">
      <c r="A191" s="6" t="s">
        <v>425</v>
      </c>
      <c r="B191" s="6" t="s">
        <v>51</v>
      </c>
      <c r="C191" s="6" t="s">
        <v>102</v>
      </c>
      <c r="D191" s="6" t="s">
        <v>154</v>
      </c>
      <c r="E191" s="6" t="n">
        <v>10</v>
      </c>
      <c r="F191" s="7" t="n">
        <v>27.4</v>
      </c>
      <c r="G191" s="7" t="n">
        <v>0</v>
      </c>
      <c r="H191" s="7" t="n">
        <v>10.2</v>
      </c>
      <c r="I191" s="7" t="n">
        <v>0.6</v>
      </c>
      <c r="J191" s="7" t="n">
        <v>1.2</v>
      </c>
      <c r="K191" s="7" t="n">
        <v>2</v>
      </c>
      <c r="L191" s="6" t="n">
        <v>42</v>
      </c>
      <c r="M191" s="6" t="n">
        <v>20</v>
      </c>
      <c r="N191" s="7" t="n">
        <v>9.9</v>
      </c>
      <c r="O191" s="6" t="s">
        <v>191</v>
      </c>
      <c r="P191" s="6" t="s">
        <v>293</v>
      </c>
      <c r="Q191" s="6" t="s">
        <v>415</v>
      </c>
      <c r="R191" s="6" t="s">
        <v>416</v>
      </c>
      <c r="S191" s="6"/>
    </row>
    <row r="192" customFormat="false" ht="15" hidden="false" customHeight="false" outlineLevel="0" collapsed="false">
      <c r="A192" s="6" t="s">
        <v>426</v>
      </c>
      <c r="B192" s="6" t="s">
        <v>51</v>
      </c>
      <c r="C192" s="6" t="s">
        <v>102</v>
      </c>
      <c r="D192" s="6" t="s">
        <v>154</v>
      </c>
      <c r="E192" s="6" t="n">
        <v>11</v>
      </c>
      <c r="F192" s="7" t="n">
        <v>28</v>
      </c>
      <c r="G192" s="7" t="n">
        <v>0</v>
      </c>
      <c r="H192" s="7" t="n">
        <v>10.2</v>
      </c>
      <c r="I192" s="7" t="n">
        <v>0.6</v>
      </c>
      <c r="J192" s="7" t="n">
        <v>1.2</v>
      </c>
      <c r="K192" s="7" t="n">
        <v>2</v>
      </c>
      <c r="L192" s="6" t="n">
        <v>42</v>
      </c>
      <c r="M192" s="6" t="n">
        <v>20</v>
      </c>
      <c r="N192" s="7" t="n">
        <v>9.9</v>
      </c>
      <c r="O192" s="6" t="s">
        <v>191</v>
      </c>
      <c r="P192" s="6" t="s">
        <v>293</v>
      </c>
      <c r="Q192" s="6" t="s">
        <v>427</v>
      </c>
      <c r="R192" s="6" t="s">
        <v>428</v>
      </c>
      <c r="S192" s="6"/>
    </row>
    <row r="193" customFormat="false" ht="15" hidden="false" customHeight="false" outlineLevel="0" collapsed="false">
      <c r="A193" s="6" t="s">
        <v>429</v>
      </c>
      <c r="B193" s="6" t="s">
        <v>51</v>
      </c>
      <c r="C193" s="6" t="s">
        <v>102</v>
      </c>
      <c r="D193" s="6" t="s">
        <v>154</v>
      </c>
      <c r="E193" s="6" t="n">
        <v>12</v>
      </c>
      <c r="F193" s="7" t="n">
        <v>28.6</v>
      </c>
      <c r="G193" s="7" t="n">
        <v>0</v>
      </c>
      <c r="H193" s="7" t="n">
        <v>10.2</v>
      </c>
      <c r="I193" s="7" t="n">
        <v>0.6</v>
      </c>
      <c r="J193" s="7" t="n">
        <v>1.2</v>
      </c>
      <c r="K193" s="7" t="n">
        <v>2</v>
      </c>
      <c r="L193" s="6" t="n">
        <v>42</v>
      </c>
      <c r="M193" s="6" t="n">
        <v>20</v>
      </c>
      <c r="N193" s="7" t="n">
        <v>9.9</v>
      </c>
      <c r="O193" s="6" t="s">
        <v>191</v>
      </c>
      <c r="P193" s="6" t="s">
        <v>293</v>
      </c>
      <c r="Q193" s="6" t="s">
        <v>427</v>
      </c>
      <c r="R193" s="6" t="s">
        <v>428</v>
      </c>
      <c r="S193" s="6"/>
    </row>
    <row r="194" customFormat="false" ht="15" hidden="false" customHeight="false" outlineLevel="0" collapsed="false">
      <c r="A194" s="6" t="s">
        <v>430</v>
      </c>
      <c r="B194" s="6" t="s">
        <v>51</v>
      </c>
      <c r="C194" s="6" t="s">
        <v>102</v>
      </c>
      <c r="D194" s="6" t="s">
        <v>154</v>
      </c>
      <c r="E194" s="6" t="n">
        <v>13</v>
      </c>
      <c r="F194" s="7" t="n">
        <v>29.2</v>
      </c>
      <c r="G194" s="7" t="n">
        <v>0</v>
      </c>
      <c r="H194" s="7" t="n">
        <v>10.2</v>
      </c>
      <c r="I194" s="7" t="n">
        <v>0.6</v>
      </c>
      <c r="J194" s="7" t="n">
        <v>1.2</v>
      </c>
      <c r="K194" s="7" t="n">
        <v>2</v>
      </c>
      <c r="L194" s="6" t="n">
        <v>42</v>
      </c>
      <c r="M194" s="6" t="n">
        <v>20</v>
      </c>
      <c r="N194" s="7" t="n">
        <v>9.9</v>
      </c>
      <c r="O194" s="6" t="s">
        <v>191</v>
      </c>
      <c r="P194" s="6" t="s">
        <v>293</v>
      </c>
      <c r="Q194" s="6" t="s">
        <v>427</v>
      </c>
      <c r="R194" s="6" t="s">
        <v>428</v>
      </c>
      <c r="S194" s="6"/>
    </row>
    <row r="195" customFormat="false" ht="15" hidden="false" customHeight="false" outlineLevel="0" collapsed="false">
      <c r="A195" s="6" t="s">
        <v>431</v>
      </c>
      <c r="B195" s="6" t="s">
        <v>51</v>
      </c>
      <c r="C195" s="6" t="s">
        <v>102</v>
      </c>
      <c r="D195" s="6" t="s">
        <v>154</v>
      </c>
      <c r="E195" s="6" t="n">
        <v>14</v>
      </c>
      <c r="F195" s="7" t="n">
        <v>29.8</v>
      </c>
      <c r="G195" s="7" t="n">
        <v>0</v>
      </c>
      <c r="H195" s="7" t="n">
        <v>10.2</v>
      </c>
      <c r="I195" s="7" t="n">
        <v>0.6</v>
      </c>
      <c r="J195" s="7" t="n">
        <v>1.2</v>
      </c>
      <c r="K195" s="7" t="n">
        <v>2</v>
      </c>
      <c r="L195" s="6" t="n">
        <v>42</v>
      </c>
      <c r="M195" s="6" t="n">
        <v>20</v>
      </c>
      <c r="N195" s="7" t="n">
        <v>9.3</v>
      </c>
      <c r="O195" s="6" t="s">
        <v>191</v>
      </c>
      <c r="P195" s="6" t="s">
        <v>293</v>
      </c>
      <c r="Q195" s="6" t="s">
        <v>427</v>
      </c>
      <c r="R195" s="6" t="s">
        <v>428</v>
      </c>
      <c r="S195" s="6"/>
    </row>
    <row r="196" customFormat="false" ht="15" hidden="false" customHeight="false" outlineLevel="0" collapsed="false">
      <c r="A196" s="6" t="s">
        <v>432</v>
      </c>
      <c r="B196" s="6" t="s">
        <v>51</v>
      </c>
      <c r="C196" s="6" t="s">
        <v>102</v>
      </c>
      <c r="D196" s="6" t="s">
        <v>154</v>
      </c>
      <c r="E196" s="6" t="n">
        <v>15</v>
      </c>
      <c r="F196" s="7" t="n">
        <v>30.4</v>
      </c>
      <c r="G196" s="7" t="n">
        <v>0</v>
      </c>
      <c r="H196" s="7" t="n">
        <v>10.2</v>
      </c>
      <c r="I196" s="7" t="n">
        <v>0.6</v>
      </c>
      <c r="J196" s="7" t="n">
        <v>1.2</v>
      </c>
      <c r="K196" s="7" t="n">
        <v>2</v>
      </c>
      <c r="L196" s="6" t="n">
        <v>42</v>
      </c>
      <c r="M196" s="6" t="n">
        <v>20</v>
      </c>
      <c r="N196" s="7" t="n">
        <v>0</v>
      </c>
      <c r="O196" s="6" t="s">
        <v>215</v>
      </c>
      <c r="P196" s="6"/>
      <c r="Q196" s="6" t="s">
        <v>427</v>
      </c>
      <c r="R196" s="6" t="s">
        <v>428</v>
      </c>
      <c r="S196" s="6"/>
    </row>
    <row r="197" customFormat="false" ht="15" hidden="false" customHeight="false" outlineLevel="0" collapsed="false">
      <c r="A197" s="6" t="s">
        <v>433</v>
      </c>
      <c r="B197" s="6" t="s">
        <v>51</v>
      </c>
      <c r="C197" s="6" t="s">
        <v>102</v>
      </c>
      <c r="D197" s="6" t="s">
        <v>154</v>
      </c>
      <c r="E197" s="6" t="n">
        <v>16</v>
      </c>
      <c r="F197" s="7" t="n">
        <v>31</v>
      </c>
      <c r="G197" s="7" t="n">
        <v>0</v>
      </c>
      <c r="H197" s="7" t="n">
        <v>10.2</v>
      </c>
      <c r="I197" s="7" t="n">
        <v>0.6</v>
      </c>
      <c r="J197" s="7" t="n">
        <v>1.2</v>
      </c>
      <c r="K197" s="7" t="n">
        <v>2</v>
      </c>
      <c r="L197" s="6" t="n">
        <v>42</v>
      </c>
      <c r="M197" s="6" t="n">
        <v>20</v>
      </c>
      <c r="N197" s="7" t="n">
        <v>0</v>
      </c>
      <c r="O197" s="6" t="s">
        <v>215</v>
      </c>
      <c r="P197" s="6"/>
      <c r="Q197" s="6" t="s">
        <v>427</v>
      </c>
      <c r="R197" s="6" t="s">
        <v>428</v>
      </c>
      <c r="S197" s="6"/>
    </row>
    <row r="198" customFormat="false" ht="15" hidden="false" customHeight="false" outlineLevel="0" collapsed="false">
      <c r="A198" s="6" t="s">
        <v>434</v>
      </c>
      <c r="B198" s="6" t="s">
        <v>51</v>
      </c>
      <c r="C198" s="6" t="s">
        <v>102</v>
      </c>
      <c r="D198" s="6" t="s">
        <v>154</v>
      </c>
      <c r="E198" s="6" t="n">
        <v>17</v>
      </c>
      <c r="F198" s="7" t="n">
        <v>31.6</v>
      </c>
      <c r="G198" s="7" t="n">
        <v>0</v>
      </c>
      <c r="H198" s="7" t="n">
        <v>10.2</v>
      </c>
      <c r="I198" s="7" t="n">
        <v>0.6</v>
      </c>
      <c r="J198" s="7" t="n">
        <v>1.2</v>
      </c>
      <c r="K198" s="7" t="n">
        <v>2</v>
      </c>
      <c r="L198" s="6" t="n">
        <v>42</v>
      </c>
      <c r="M198" s="6" t="n">
        <v>20</v>
      </c>
      <c r="N198" s="7" t="n">
        <v>0</v>
      </c>
      <c r="O198" s="6" t="s">
        <v>215</v>
      </c>
      <c r="P198" s="6"/>
      <c r="Q198" s="6" t="s">
        <v>427</v>
      </c>
      <c r="R198" s="6" t="s">
        <v>428</v>
      </c>
      <c r="S198" s="6"/>
    </row>
    <row r="199" customFormat="false" ht="15" hidden="false" customHeight="false" outlineLevel="0" collapsed="false">
      <c r="A199" s="6" t="s">
        <v>435</v>
      </c>
      <c r="B199" s="6" t="s">
        <v>51</v>
      </c>
      <c r="C199" s="6" t="s">
        <v>102</v>
      </c>
      <c r="D199" s="6" t="s">
        <v>154</v>
      </c>
      <c r="E199" s="6" t="n">
        <v>18</v>
      </c>
      <c r="F199" s="7" t="n">
        <v>32.2</v>
      </c>
      <c r="G199" s="7" t="n">
        <v>0</v>
      </c>
      <c r="H199" s="7" t="n">
        <v>10.2</v>
      </c>
      <c r="I199" s="7" t="n">
        <v>0.6</v>
      </c>
      <c r="J199" s="7" t="n">
        <v>1.2</v>
      </c>
      <c r="K199" s="7" t="n">
        <v>2</v>
      </c>
      <c r="L199" s="6" t="n">
        <v>42</v>
      </c>
      <c r="M199" s="6" t="n">
        <v>20</v>
      </c>
      <c r="N199" s="7" t="n">
        <v>0</v>
      </c>
      <c r="O199" s="6" t="s">
        <v>215</v>
      </c>
      <c r="P199" s="6"/>
      <c r="Q199" s="6" t="s">
        <v>427</v>
      </c>
      <c r="R199" s="6" t="s">
        <v>428</v>
      </c>
      <c r="S199" s="6"/>
    </row>
    <row r="200" customFormat="false" ht="15" hidden="false" customHeight="false" outlineLevel="0" collapsed="false">
      <c r="A200" s="6" t="s">
        <v>436</v>
      </c>
      <c r="B200" s="6" t="s">
        <v>51</v>
      </c>
      <c r="C200" s="6" t="s">
        <v>102</v>
      </c>
      <c r="D200" s="6" t="s">
        <v>154</v>
      </c>
      <c r="E200" s="6" t="n">
        <v>19</v>
      </c>
      <c r="F200" s="7" t="n">
        <v>32.8</v>
      </c>
      <c r="G200" s="7" t="n">
        <v>0</v>
      </c>
      <c r="H200" s="7" t="n">
        <v>10.2</v>
      </c>
      <c r="I200" s="7" t="n">
        <v>0.6</v>
      </c>
      <c r="J200" s="7" t="n">
        <v>1.2</v>
      </c>
      <c r="K200" s="7" t="n">
        <v>2</v>
      </c>
      <c r="L200" s="6" t="n">
        <v>42</v>
      </c>
      <c r="M200" s="6" t="n">
        <v>20</v>
      </c>
      <c r="N200" s="7" t="n">
        <v>0</v>
      </c>
      <c r="O200" s="6" t="s">
        <v>215</v>
      </c>
      <c r="P200" s="6"/>
      <c r="Q200" s="6" t="s">
        <v>427</v>
      </c>
      <c r="R200" s="6" t="s">
        <v>428</v>
      </c>
      <c r="S200" s="6"/>
    </row>
    <row r="201" customFormat="false" ht="15" hidden="false" customHeight="false" outlineLevel="0" collapsed="false">
      <c r="A201" s="6" t="s">
        <v>437</v>
      </c>
      <c r="B201" s="6" t="s">
        <v>51</v>
      </c>
      <c r="C201" s="6" t="s">
        <v>102</v>
      </c>
      <c r="D201" s="6" t="s">
        <v>154</v>
      </c>
      <c r="E201" s="6" t="n">
        <v>20</v>
      </c>
      <c r="F201" s="7" t="n">
        <v>33.4</v>
      </c>
      <c r="G201" s="7" t="n">
        <v>0</v>
      </c>
      <c r="H201" s="7" t="n">
        <v>10.2</v>
      </c>
      <c r="I201" s="7" t="n">
        <v>0.6</v>
      </c>
      <c r="J201" s="7" t="n">
        <v>1.2</v>
      </c>
      <c r="K201" s="7" t="n">
        <v>2</v>
      </c>
      <c r="L201" s="6" t="n">
        <v>42</v>
      </c>
      <c r="M201" s="6" t="n">
        <v>20</v>
      </c>
      <c r="N201" s="7" t="n">
        <v>0</v>
      </c>
      <c r="O201" s="6" t="s">
        <v>215</v>
      </c>
      <c r="P201" s="6"/>
      <c r="Q201" s="6" t="s">
        <v>427</v>
      </c>
      <c r="R201" s="6" t="s">
        <v>428</v>
      </c>
      <c r="S201" s="6"/>
    </row>
    <row r="202" customFormat="false" ht="15" hidden="false" customHeight="false" outlineLevel="0" collapsed="false">
      <c r="A202" s="6" t="s">
        <v>438</v>
      </c>
      <c r="B202" s="6" t="s">
        <v>51</v>
      </c>
      <c r="C202" s="6" t="s">
        <v>102</v>
      </c>
      <c r="D202" s="6" t="s">
        <v>155</v>
      </c>
      <c r="E202" s="6" t="n">
        <v>1</v>
      </c>
      <c r="F202" s="7" t="n">
        <v>22</v>
      </c>
      <c r="G202" s="7" t="n">
        <v>0</v>
      </c>
      <c r="H202" s="7" t="n">
        <v>12.6</v>
      </c>
      <c r="I202" s="7" t="n">
        <v>0.6</v>
      </c>
      <c r="J202" s="7" t="n">
        <v>1.2</v>
      </c>
      <c r="K202" s="7" t="n">
        <v>2</v>
      </c>
      <c r="L202" s="6" t="n">
        <v>42</v>
      </c>
      <c r="M202" s="6" t="n">
        <v>20</v>
      </c>
      <c r="N202" s="7" t="n">
        <v>45</v>
      </c>
      <c r="O202" s="6" t="s">
        <v>191</v>
      </c>
      <c r="P202" s="6" t="s">
        <v>439</v>
      </c>
      <c r="Q202" s="6" t="s">
        <v>440</v>
      </c>
      <c r="R202" s="6" t="s">
        <v>441</v>
      </c>
      <c r="S202" s="6"/>
    </row>
    <row r="203" customFormat="false" ht="15" hidden="false" customHeight="false" outlineLevel="0" collapsed="false">
      <c r="A203" s="6" t="s">
        <v>442</v>
      </c>
      <c r="B203" s="6" t="s">
        <v>51</v>
      </c>
      <c r="C203" s="6" t="s">
        <v>102</v>
      </c>
      <c r="D203" s="6" t="s">
        <v>155</v>
      </c>
      <c r="E203" s="6" t="n">
        <v>2</v>
      </c>
      <c r="F203" s="7" t="n">
        <v>22.6</v>
      </c>
      <c r="G203" s="7" t="n">
        <v>0</v>
      </c>
      <c r="H203" s="7" t="n">
        <v>12.6</v>
      </c>
      <c r="I203" s="7" t="n">
        <v>0.6</v>
      </c>
      <c r="J203" s="7" t="n">
        <v>1.2</v>
      </c>
      <c r="K203" s="7" t="n">
        <v>2</v>
      </c>
      <c r="L203" s="6" t="n">
        <v>42</v>
      </c>
      <c r="M203" s="6" t="n">
        <v>20</v>
      </c>
      <c r="N203" s="7" t="n">
        <v>45</v>
      </c>
      <c r="O203" s="6" t="s">
        <v>191</v>
      </c>
      <c r="P203" s="6" t="s">
        <v>439</v>
      </c>
      <c r="Q203" s="6" t="s">
        <v>440</v>
      </c>
      <c r="R203" s="6" t="s">
        <v>441</v>
      </c>
      <c r="S203" s="6"/>
    </row>
    <row r="204" customFormat="false" ht="15" hidden="false" customHeight="false" outlineLevel="0" collapsed="false">
      <c r="A204" s="6" t="s">
        <v>443</v>
      </c>
      <c r="B204" s="6" t="s">
        <v>51</v>
      </c>
      <c r="C204" s="6" t="s">
        <v>102</v>
      </c>
      <c r="D204" s="6" t="s">
        <v>155</v>
      </c>
      <c r="E204" s="6" t="n">
        <v>3</v>
      </c>
      <c r="F204" s="7" t="n">
        <v>23.2</v>
      </c>
      <c r="G204" s="7" t="n">
        <v>0</v>
      </c>
      <c r="H204" s="7" t="n">
        <v>12.6</v>
      </c>
      <c r="I204" s="7" t="n">
        <v>0.6</v>
      </c>
      <c r="J204" s="7" t="n">
        <v>1.2</v>
      </c>
      <c r="K204" s="7" t="n">
        <v>2</v>
      </c>
      <c r="L204" s="6" t="n">
        <v>42</v>
      </c>
      <c r="M204" s="6" t="n">
        <v>20</v>
      </c>
      <c r="N204" s="7" t="n">
        <v>45</v>
      </c>
      <c r="O204" s="6" t="s">
        <v>191</v>
      </c>
      <c r="P204" s="6" t="s">
        <v>439</v>
      </c>
      <c r="Q204" s="6" t="s">
        <v>440</v>
      </c>
      <c r="R204" s="6" t="s">
        <v>441</v>
      </c>
      <c r="S204" s="6"/>
    </row>
    <row r="205" customFormat="false" ht="15" hidden="false" customHeight="false" outlineLevel="0" collapsed="false">
      <c r="A205" s="6" t="s">
        <v>444</v>
      </c>
      <c r="B205" s="6" t="s">
        <v>51</v>
      </c>
      <c r="C205" s="6" t="s">
        <v>102</v>
      </c>
      <c r="D205" s="6" t="s">
        <v>155</v>
      </c>
      <c r="E205" s="6" t="n">
        <v>4</v>
      </c>
      <c r="F205" s="7" t="n">
        <v>23.8</v>
      </c>
      <c r="G205" s="7" t="n">
        <v>0</v>
      </c>
      <c r="H205" s="7" t="n">
        <v>12.6</v>
      </c>
      <c r="I205" s="7" t="n">
        <v>0.6</v>
      </c>
      <c r="J205" s="7" t="n">
        <v>1.2</v>
      </c>
      <c r="K205" s="7" t="n">
        <v>2</v>
      </c>
      <c r="L205" s="6" t="n">
        <v>42</v>
      </c>
      <c r="M205" s="6" t="n">
        <v>20</v>
      </c>
      <c r="N205" s="7" t="n">
        <v>45</v>
      </c>
      <c r="O205" s="6" t="s">
        <v>191</v>
      </c>
      <c r="P205" s="6" t="s">
        <v>439</v>
      </c>
      <c r="Q205" s="6" t="s">
        <v>440</v>
      </c>
      <c r="R205" s="6" t="s">
        <v>441</v>
      </c>
      <c r="S205" s="6"/>
    </row>
    <row r="206" customFormat="false" ht="15" hidden="false" customHeight="false" outlineLevel="0" collapsed="false">
      <c r="A206" s="6" t="s">
        <v>445</v>
      </c>
      <c r="B206" s="6" t="s">
        <v>51</v>
      </c>
      <c r="C206" s="6" t="s">
        <v>102</v>
      </c>
      <c r="D206" s="6" t="s">
        <v>155</v>
      </c>
      <c r="E206" s="6" t="n">
        <v>5</v>
      </c>
      <c r="F206" s="7" t="n">
        <v>24.4</v>
      </c>
      <c r="G206" s="7" t="n">
        <v>0</v>
      </c>
      <c r="H206" s="7" t="n">
        <v>12.6</v>
      </c>
      <c r="I206" s="7" t="n">
        <v>0.6</v>
      </c>
      <c r="J206" s="7" t="n">
        <v>1.2</v>
      </c>
      <c r="K206" s="7" t="n">
        <v>2</v>
      </c>
      <c r="L206" s="6" t="n">
        <v>42</v>
      </c>
      <c r="M206" s="6" t="n">
        <v>20</v>
      </c>
      <c r="N206" s="7" t="n">
        <v>0</v>
      </c>
      <c r="O206" s="6" t="s">
        <v>215</v>
      </c>
      <c r="P206" s="6"/>
      <c r="Q206" s="6" t="s">
        <v>440</v>
      </c>
      <c r="R206" s="6" t="s">
        <v>441</v>
      </c>
      <c r="S206" s="6"/>
    </row>
    <row r="207" customFormat="false" ht="15" hidden="false" customHeight="false" outlineLevel="0" collapsed="false">
      <c r="A207" s="6" t="s">
        <v>446</v>
      </c>
      <c r="B207" s="6" t="s">
        <v>51</v>
      </c>
      <c r="C207" s="6" t="s">
        <v>102</v>
      </c>
      <c r="D207" s="6" t="s">
        <v>155</v>
      </c>
      <c r="E207" s="6" t="n">
        <v>6</v>
      </c>
      <c r="F207" s="7" t="n">
        <v>25</v>
      </c>
      <c r="G207" s="7" t="n">
        <v>0</v>
      </c>
      <c r="H207" s="7" t="n">
        <v>12.6</v>
      </c>
      <c r="I207" s="7" t="n">
        <v>0.6</v>
      </c>
      <c r="J207" s="7" t="n">
        <v>1.2</v>
      </c>
      <c r="K207" s="7" t="n">
        <v>2</v>
      </c>
      <c r="L207" s="6" t="n">
        <v>42</v>
      </c>
      <c r="M207" s="6" t="n">
        <v>20</v>
      </c>
      <c r="N207" s="7" t="n">
        <v>0</v>
      </c>
      <c r="O207" s="6" t="s">
        <v>215</v>
      </c>
      <c r="P207" s="6"/>
      <c r="Q207" s="6" t="s">
        <v>440</v>
      </c>
      <c r="R207" s="6" t="s">
        <v>441</v>
      </c>
      <c r="S207" s="6"/>
    </row>
    <row r="208" customFormat="false" ht="15" hidden="false" customHeight="false" outlineLevel="0" collapsed="false">
      <c r="A208" s="6" t="s">
        <v>447</v>
      </c>
      <c r="B208" s="6" t="s">
        <v>51</v>
      </c>
      <c r="C208" s="6" t="s">
        <v>102</v>
      </c>
      <c r="D208" s="6" t="s">
        <v>155</v>
      </c>
      <c r="E208" s="6" t="n">
        <v>7</v>
      </c>
      <c r="F208" s="7" t="n">
        <v>25.6</v>
      </c>
      <c r="G208" s="7" t="n">
        <v>0</v>
      </c>
      <c r="H208" s="7" t="n">
        <v>12.6</v>
      </c>
      <c r="I208" s="7" t="n">
        <v>0.6</v>
      </c>
      <c r="J208" s="7" t="n">
        <v>1.2</v>
      </c>
      <c r="K208" s="7" t="n">
        <v>2</v>
      </c>
      <c r="L208" s="6" t="n">
        <v>42</v>
      </c>
      <c r="M208" s="6" t="n">
        <v>20</v>
      </c>
      <c r="N208" s="7" t="n">
        <v>0</v>
      </c>
      <c r="O208" s="6" t="s">
        <v>215</v>
      </c>
      <c r="P208" s="6"/>
      <c r="Q208" s="6" t="s">
        <v>440</v>
      </c>
      <c r="R208" s="6" t="s">
        <v>441</v>
      </c>
      <c r="S208" s="6"/>
    </row>
    <row r="209" customFormat="false" ht="15" hidden="false" customHeight="false" outlineLevel="0" collapsed="false">
      <c r="A209" s="6" t="s">
        <v>448</v>
      </c>
      <c r="B209" s="6" t="s">
        <v>51</v>
      </c>
      <c r="C209" s="6" t="s">
        <v>102</v>
      </c>
      <c r="D209" s="6" t="s">
        <v>155</v>
      </c>
      <c r="E209" s="6" t="n">
        <v>8</v>
      </c>
      <c r="F209" s="7" t="n">
        <v>26.2</v>
      </c>
      <c r="G209" s="7" t="n">
        <v>0</v>
      </c>
      <c r="H209" s="7" t="n">
        <v>12.6</v>
      </c>
      <c r="I209" s="7" t="n">
        <v>0.6</v>
      </c>
      <c r="J209" s="7" t="n">
        <v>1.2</v>
      </c>
      <c r="K209" s="7" t="n">
        <v>2</v>
      </c>
      <c r="L209" s="6" t="n">
        <v>42</v>
      </c>
      <c r="M209" s="6" t="n">
        <v>20</v>
      </c>
      <c r="N209" s="7" t="n">
        <v>0</v>
      </c>
      <c r="O209" s="6" t="s">
        <v>215</v>
      </c>
      <c r="P209" s="6"/>
      <c r="Q209" s="6" t="s">
        <v>440</v>
      </c>
      <c r="R209" s="6" t="s">
        <v>441</v>
      </c>
      <c r="S209" s="6"/>
    </row>
    <row r="210" customFormat="false" ht="15" hidden="false" customHeight="false" outlineLevel="0" collapsed="false">
      <c r="A210" s="6" t="s">
        <v>449</v>
      </c>
      <c r="B210" s="6" t="s">
        <v>51</v>
      </c>
      <c r="C210" s="6" t="s">
        <v>102</v>
      </c>
      <c r="D210" s="6" t="s">
        <v>155</v>
      </c>
      <c r="E210" s="6" t="n">
        <v>9</v>
      </c>
      <c r="F210" s="7" t="n">
        <v>26.8</v>
      </c>
      <c r="G210" s="7" t="n">
        <v>0</v>
      </c>
      <c r="H210" s="7" t="n">
        <v>12.6</v>
      </c>
      <c r="I210" s="7" t="n">
        <v>0.6</v>
      </c>
      <c r="J210" s="7" t="n">
        <v>1.2</v>
      </c>
      <c r="K210" s="7" t="n">
        <v>2</v>
      </c>
      <c r="L210" s="6" t="n">
        <v>42</v>
      </c>
      <c r="M210" s="6" t="n">
        <v>20</v>
      </c>
      <c r="N210" s="7" t="n">
        <v>0</v>
      </c>
      <c r="O210" s="6" t="s">
        <v>215</v>
      </c>
      <c r="P210" s="6"/>
      <c r="Q210" s="6" t="s">
        <v>440</v>
      </c>
      <c r="R210" s="6" t="s">
        <v>441</v>
      </c>
      <c r="S210" s="6"/>
    </row>
    <row r="211" customFormat="false" ht="15" hidden="false" customHeight="false" outlineLevel="0" collapsed="false">
      <c r="A211" s="6" t="s">
        <v>450</v>
      </c>
      <c r="B211" s="6" t="s">
        <v>51</v>
      </c>
      <c r="C211" s="6" t="s">
        <v>102</v>
      </c>
      <c r="D211" s="6" t="s">
        <v>155</v>
      </c>
      <c r="E211" s="6" t="n">
        <v>10</v>
      </c>
      <c r="F211" s="7" t="n">
        <v>27.4</v>
      </c>
      <c r="G211" s="7" t="n">
        <v>0</v>
      </c>
      <c r="H211" s="7" t="n">
        <v>12.6</v>
      </c>
      <c r="I211" s="7" t="n">
        <v>0.6</v>
      </c>
      <c r="J211" s="7" t="n">
        <v>1.2</v>
      </c>
      <c r="K211" s="7" t="n">
        <v>2</v>
      </c>
      <c r="L211" s="6" t="n">
        <v>42</v>
      </c>
      <c r="M211" s="6" t="n">
        <v>20</v>
      </c>
      <c r="N211" s="7" t="n">
        <v>0</v>
      </c>
      <c r="O211" s="6" t="s">
        <v>215</v>
      </c>
      <c r="P211" s="6"/>
      <c r="Q211" s="6" t="s">
        <v>440</v>
      </c>
      <c r="R211" s="6" t="s">
        <v>441</v>
      </c>
      <c r="S211" s="6"/>
    </row>
    <row r="212" customFormat="false" ht="15" hidden="false" customHeight="false" outlineLevel="0" collapsed="false">
      <c r="A212" s="6" t="s">
        <v>451</v>
      </c>
      <c r="B212" s="6" t="s">
        <v>51</v>
      </c>
      <c r="C212" s="6" t="s">
        <v>102</v>
      </c>
      <c r="D212" s="6" t="s">
        <v>155</v>
      </c>
      <c r="E212" s="6" t="n">
        <v>11</v>
      </c>
      <c r="F212" s="7" t="n">
        <v>28</v>
      </c>
      <c r="G212" s="7" t="n">
        <v>0</v>
      </c>
      <c r="H212" s="7" t="n">
        <v>12.6</v>
      </c>
      <c r="I212" s="7" t="n">
        <v>0.6</v>
      </c>
      <c r="J212" s="7" t="n">
        <v>1.2</v>
      </c>
      <c r="K212" s="7" t="n">
        <v>2</v>
      </c>
      <c r="L212" s="6" t="n">
        <v>42</v>
      </c>
      <c r="M212" s="6" t="n">
        <v>20</v>
      </c>
      <c r="N212" s="7" t="n">
        <v>0</v>
      </c>
      <c r="O212" s="6" t="s">
        <v>215</v>
      </c>
      <c r="P212" s="6"/>
      <c r="Q212" s="6" t="s">
        <v>452</v>
      </c>
      <c r="R212" s="6" t="s">
        <v>453</v>
      </c>
      <c r="S212" s="6"/>
    </row>
    <row r="213" customFormat="false" ht="15" hidden="false" customHeight="false" outlineLevel="0" collapsed="false">
      <c r="A213" s="6" t="s">
        <v>454</v>
      </c>
      <c r="B213" s="6" t="s">
        <v>51</v>
      </c>
      <c r="C213" s="6" t="s">
        <v>102</v>
      </c>
      <c r="D213" s="6" t="s">
        <v>155</v>
      </c>
      <c r="E213" s="6" t="n">
        <v>12</v>
      </c>
      <c r="F213" s="7" t="n">
        <v>28.6</v>
      </c>
      <c r="G213" s="7" t="n">
        <v>0</v>
      </c>
      <c r="H213" s="7" t="n">
        <v>12.6</v>
      </c>
      <c r="I213" s="7" t="n">
        <v>0.6</v>
      </c>
      <c r="J213" s="7" t="n">
        <v>1.2</v>
      </c>
      <c r="K213" s="7" t="n">
        <v>2</v>
      </c>
      <c r="L213" s="6" t="n">
        <v>42</v>
      </c>
      <c r="M213" s="6" t="n">
        <v>20</v>
      </c>
      <c r="N213" s="7" t="n">
        <v>0</v>
      </c>
      <c r="O213" s="6" t="s">
        <v>215</v>
      </c>
      <c r="P213" s="6"/>
      <c r="Q213" s="6" t="s">
        <v>452</v>
      </c>
      <c r="R213" s="6" t="s">
        <v>453</v>
      </c>
      <c r="S213" s="6"/>
    </row>
    <row r="214" customFormat="false" ht="15" hidden="false" customHeight="false" outlineLevel="0" collapsed="false">
      <c r="A214" s="6" t="s">
        <v>455</v>
      </c>
      <c r="B214" s="6" t="s">
        <v>51</v>
      </c>
      <c r="C214" s="6" t="s">
        <v>102</v>
      </c>
      <c r="D214" s="6" t="s">
        <v>155</v>
      </c>
      <c r="E214" s="6" t="n">
        <v>13</v>
      </c>
      <c r="F214" s="7" t="n">
        <v>29.2</v>
      </c>
      <c r="G214" s="7" t="n">
        <v>0</v>
      </c>
      <c r="H214" s="7" t="n">
        <v>12.6</v>
      </c>
      <c r="I214" s="7" t="n">
        <v>0.6</v>
      </c>
      <c r="J214" s="7" t="n">
        <v>1.2</v>
      </c>
      <c r="K214" s="7" t="n">
        <v>2</v>
      </c>
      <c r="L214" s="6" t="n">
        <v>42</v>
      </c>
      <c r="M214" s="6" t="n">
        <v>20</v>
      </c>
      <c r="N214" s="7" t="n">
        <v>0</v>
      </c>
      <c r="O214" s="6" t="s">
        <v>215</v>
      </c>
      <c r="P214" s="6"/>
      <c r="Q214" s="6" t="s">
        <v>452</v>
      </c>
      <c r="R214" s="6" t="s">
        <v>453</v>
      </c>
      <c r="S214" s="6"/>
    </row>
    <row r="215" customFormat="false" ht="15" hidden="false" customHeight="false" outlineLevel="0" collapsed="false">
      <c r="A215" s="6" t="s">
        <v>456</v>
      </c>
      <c r="B215" s="6" t="s">
        <v>51</v>
      </c>
      <c r="C215" s="6" t="s">
        <v>102</v>
      </c>
      <c r="D215" s="6" t="s">
        <v>155</v>
      </c>
      <c r="E215" s="6" t="n">
        <v>14</v>
      </c>
      <c r="F215" s="7" t="n">
        <v>29.8</v>
      </c>
      <c r="G215" s="7" t="n">
        <v>0</v>
      </c>
      <c r="H215" s="7" t="n">
        <v>12.6</v>
      </c>
      <c r="I215" s="7" t="n">
        <v>0.6</v>
      </c>
      <c r="J215" s="7" t="n">
        <v>1.2</v>
      </c>
      <c r="K215" s="7" t="n">
        <v>2</v>
      </c>
      <c r="L215" s="6" t="n">
        <v>42</v>
      </c>
      <c r="M215" s="6" t="n">
        <v>20</v>
      </c>
      <c r="N215" s="7" t="n">
        <v>0</v>
      </c>
      <c r="O215" s="6" t="s">
        <v>215</v>
      </c>
      <c r="P215" s="6"/>
      <c r="Q215" s="6" t="s">
        <v>452</v>
      </c>
      <c r="R215" s="6" t="s">
        <v>453</v>
      </c>
      <c r="S215" s="6"/>
    </row>
    <row r="216" customFormat="false" ht="15" hidden="false" customHeight="false" outlineLevel="0" collapsed="false">
      <c r="A216" s="6" t="s">
        <v>457</v>
      </c>
      <c r="B216" s="6" t="s">
        <v>51</v>
      </c>
      <c r="C216" s="6" t="s">
        <v>102</v>
      </c>
      <c r="D216" s="6" t="s">
        <v>155</v>
      </c>
      <c r="E216" s="6" t="n">
        <v>15</v>
      </c>
      <c r="F216" s="7" t="n">
        <v>30.4</v>
      </c>
      <c r="G216" s="7" t="n">
        <v>0</v>
      </c>
      <c r="H216" s="7" t="n">
        <v>12.6</v>
      </c>
      <c r="I216" s="7" t="n">
        <v>0.6</v>
      </c>
      <c r="J216" s="7" t="n">
        <v>1.2</v>
      </c>
      <c r="K216" s="7" t="n">
        <v>2</v>
      </c>
      <c r="L216" s="6" t="n">
        <v>42</v>
      </c>
      <c r="M216" s="6" t="n">
        <v>20</v>
      </c>
      <c r="N216" s="7" t="n">
        <v>0</v>
      </c>
      <c r="O216" s="6" t="s">
        <v>215</v>
      </c>
      <c r="P216" s="6"/>
      <c r="Q216" s="6" t="s">
        <v>452</v>
      </c>
      <c r="R216" s="6" t="s">
        <v>453</v>
      </c>
      <c r="S216" s="6"/>
    </row>
    <row r="217" customFormat="false" ht="15" hidden="false" customHeight="false" outlineLevel="0" collapsed="false">
      <c r="A217" s="6" t="s">
        <v>458</v>
      </c>
      <c r="B217" s="6" t="s">
        <v>51</v>
      </c>
      <c r="C217" s="6" t="s">
        <v>102</v>
      </c>
      <c r="D217" s="6" t="s">
        <v>155</v>
      </c>
      <c r="E217" s="6" t="n">
        <v>16</v>
      </c>
      <c r="F217" s="7" t="n">
        <v>31</v>
      </c>
      <c r="G217" s="7" t="n">
        <v>0</v>
      </c>
      <c r="H217" s="7" t="n">
        <v>12.6</v>
      </c>
      <c r="I217" s="7" t="n">
        <v>0.6</v>
      </c>
      <c r="J217" s="7" t="n">
        <v>1.2</v>
      </c>
      <c r="K217" s="7" t="n">
        <v>2</v>
      </c>
      <c r="L217" s="6" t="n">
        <v>42</v>
      </c>
      <c r="M217" s="6" t="n">
        <v>20</v>
      </c>
      <c r="N217" s="7" t="n">
        <v>0</v>
      </c>
      <c r="O217" s="6" t="s">
        <v>215</v>
      </c>
      <c r="P217" s="6"/>
      <c r="Q217" s="6" t="s">
        <v>452</v>
      </c>
      <c r="R217" s="6" t="s">
        <v>453</v>
      </c>
      <c r="S217" s="6"/>
    </row>
    <row r="218" customFormat="false" ht="15" hidden="false" customHeight="false" outlineLevel="0" collapsed="false">
      <c r="A218" s="6" t="s">
        <v>459</v>
      </c>
      <c r="B218" s="6" t="s">
        <v>51</v>
      </c>
      <c r="C218" s="6" t="s">
        <v>102</v>
      </c>
      <c r="D218" s="6" t="s">
        <v>155</v>
      </c>
      <c r="E218" s="6" t="n">
        <v>17</v>
      </c>
      <c r="F218" s="7" t="n">
        <v>31.6</v>
      </c>
      <c r="G218" s="7" t="n">
        <v>0</v>
      </c>
      <c r="H218" s="7" t="n">
        <v>12.6</v>
      </c>
      <c r="I218" s="7" t="n">
        <v>0.6</v>
      </c>
      <c r="J218" s="7" t="n">
        <v>1.2</v>
      </c>
      <c r="K218" s="7" t="n">
        <v>2</v>
      </c>
      <c r="L218" s="6" t="n">
        <v>42</v>
      </c>
      <c r="M218" s="6" t="n">
        <v>20</v>
      </c>
      <c r="N218" s="7" t="n">
        <v>0</v>
      </c>
      <c r="O218" s="6" t="s">
        <v>215</v>
      </c>
      <c r="P218" s="6"/>
      <c r="Q218" s="6" t="s">
        <v>452</v>
      </c>
      <c r="R218" s="6" t="s">
        <v>453</v>
      </c>
      <c r="S218" s="6"/>
    </row>
    <row r="219" customFormat="false" ht="15" hidden="false" customHeight="false" outlineLevel="0" collapsed="false">
      <c r="A219" s="6" t="s">
        <v>460</v>
      </c>
      <c r="B219" s="6" t="s">
        <v>51</v>
      </c>
      <c r="C219" s="6" t="s">
        <v>102</v>
      </c>
      <c r="D219" s="6" t="s">
        <v>155</v>
      </c>
      <c r="E219" s="6" t="n">
        <v>18</v>
      </c>
      <c r="F219" s="7" t="n">
        <v>32.2</v>
      </c>
      <c r="G219" s="7" t="n">
        <v>0</v>
      </c>
      <c r="H219" s="7" t="n">
        <v>12.6</v>
      </c>
      <c r="I219" s="7" t="n">
        <v>0.6</v>
      </c>
      <c r="J219" s="7" t="n">
        <v>1.2</v>
      </c>
      <c r="K219" s="7" t="n">
        <v>2</v>
      </c>
      <c r="L219" s="6" t="n">
        <v>42</v>
      </c>
      <c r="M219" s="6" t="n">
        <v>20</v>
      </c>
      <c r="N219" s="7" t="n">
        <v>0</v>
      </c>
      <c r="O219" s="6" t="s">
        <v>215</v>
      </c>
      <c r="P219" s="6"/>
      <c r="Q219" s="6" t="s">
        <v>452</v>
      </c>
      <c r="R219" s="6" t="s">
        <v>453</v>
      </c>
      <c r="S219" s="6"/>
    </row>
    <row r="220" customFormat="false" ht="15" hidden="false" customHeight="false" outlineLevel="0" collapsed="false">
      <c r="A220" s="6" t="s">
        <v>461</v>
      </c>
      <c r="B220" s="6" t="s">
        <v>51</v>
      </c>
      <c r="C220" s="6" t="s">
        <v>102</v>
      </c>
      <c r="D220" s="6" t="s">
        <v>155</v>
      </c>
      <c r="E220" s="6" t="n">
        <v>19</v>
      </c>
      <c r="F220" s="7" t="n">
        <v>32.8</v>
      </c>
      <c r="G220" s="7" t="n">
        <v>0</v>
      </c>
      <c r="H220" s="7" t="n">
        <v>12.6</v>
      </c>
      <c r="I220" s="7" t="n">
        <v>0.6</v>
      </c>
      <c r="J220" s="7" t="n">
        <v>1.2</v>
      </c>
      <c r="K220" s="7" t="n">
        <v>2</v>
      </c>
      <c r="L220" s="6" t="n">
        <v>42</v>
      </c>
      <c r="M220" s="6" t="n">
        <v>20</v>
      </c>
      <c r="N220" s="7" t="n">
        <v>0</v>
      </c>
      <c r="O220" s="6" t="s">
        <v>215</v>
      </c>
      <c r="P220" s="6"/>
      <c r="Q220" s="6" t="s">
        <v>452</v>
      </c>
      <c r="R220" s="6" t="s">
        <v>453</v>
      </c>
      <c r="S220" s="6"/>
    </row>
    <row r="221" customFormat="false" ht="15" hidden="false" customHeight="false" outlineLevel="0" collapsed="false">
      <c r="A221" s="6" t="s">
        <v>462</v>
      </c>
      <c r="B221" s="6" t="s">
        <v>51</v>
      </c>
      <c r="C221" s="6" t="s">
        <v>102</v>
      </c>
      <c r="D221" s="6" t="s">
        <v>155</v>
      </c>
      <c r="E221" s="6" t="n">
        <v>20</v>
      </c>
      <c r="F221" s="7" t="n">
        <v>33.4</v>
      </c>
      <c r="G221" s="7" t="n">
        <v>0</v>
      </c>
      <c r="H221" s="7" t="n">
        <v>12.6</v>
      </c>
      <c r="I221" s="7" t="n">
        <v>0.6</v>
      </c>
      <c r="J221" s="7" t="n">
        <v>1.2</v>
      </c>
      <c r="K221" s="7" t="n">
        <v>2</v>
      </c>
      <c r="L221" s="6" t="n">
        <v>42</v>
      </c>
      <c r="M221" s="6" t="n">
        <v>20</v>
      </c>
      <c r="N221" s="7" t="n">
        <v>0</v>
      </c>
      <c r="O221" s="6" t="s">
        <v>215</v>
      </c>
      <c r="P221" s="6"/>
      <c r="Q221" s="6" t="s">
        <v>452</v>
      </c>
      <c r="R221" s="6" t="s">
        <v>453</v>
      </c>
      <c r="S221" s="6"/>
    </row>
    <row r="222" customFormat="false" ht="15" hidden="false" customHeight="false" outlineLevel="0" collapsed="false">
      <c r="A222" s="6" t="s">
        <v>463</v>
      </c>
      <c r="B222" s="6" t="s">
        <v>51</v>
      </c>
      <c r="C222" s="6" t="s">
        <v>102</v>
      </c>
      <c r="D222" s="6" t="s">
        <v>158</v>
      </c>
      <c r="E222" s="6" t="n">
        <v>1</v>
      </c>
      <c r="F222" s="7" t="n">
        <v>22</v>
      </c>
      <c r="G222" s="7" t="n">
        <v>0</v>
      </c>
      <c r="H222" s="7" t="n">
        <v>15</v>
      </c>
      <c r="I222" s="7" t="n">
        <v>0.6</v>
      </c>
      <c r="J222" s="7" t="n">
        <v>1.2</v>
      </c>
      <c r="K222" s="7" t="n">
        <v>2</v>
      </c>
      <c r="L222" s="6" t="n">
        <v>42</v>
      </c>
      <c r="M222" s="6" t="n">
        <v>20</v>
      </c>
      <c r="N222" s="7" t="n">
        <v>9.5</v>
      </c>
      <c r="O222" s="6" t="s">
        <v>191</v>
      </c>
      <c r="P222" s="6" t="s">
        <v>318</v>
      </c>
      <c r="Q222" s="6" t="s">
        <v>464</v>
      </c>
      <c r="R222" s="6" t="s">
        <v>465</v>
      </c>
      <c r="S222" s="6"/>
    </row>
    <row r="223" customFormat="false" ht="15" hidden="false" customHeight="false" outlineLevel="0" collapsed="false">
      <c r="A223" s="6" t="s">
        <v>466</v>
      </c>
      <c r="B223" s="6" t="s">
        <v>51</v>
      </c>
      <c r="C223" s="6" t="s">
        <v>102</v>
      </c>
      <c r="D223" s="6" t="s">
        <v>158</v>
      </c>
      <c r="E223" s="6" t="n">
        <v>2</v>
      </c>
      <c r="F223" s="7" t="n">
        <v>22.6</v>
      </c>
      <c r="G223" s="7" t="n">
        <v>0</v>
      </c>
      <c r="H223" s="7" t="n">
        <v>15</v>
      </c>
      <c r="I223" s="7" t="n">
        <v>0.6</v>
      </c>
      <c r="J223" s="7" t="n">
        <v>1.2</v>
      </c>
      <c r="K223" s="7" t="n">
        <v>2</v>
      </c>
      <c r="L223" s="6" t="n">
        <v>42</v>
      </c>
      <c r="M223" s="6" t="n">
        <v>20</v>
      </c>
      <c r="N223" s="7" t="n">
        <v>9.5</v>
      </c>
      <c r="O223" s="6" t="s">
        <v>191</v>
      </c>
      <c r="P223" s="6" t="s">
        <v>318</v>
      </c>
      <c r="Q223" s="6" t="s">
        <v>464</v>
      </c>
      <c r="R223" s="6" t="s">
        <v>465</v>
      </c>
      <c r="S223" s="6"/>
    </row>
    <row r="224" customFormat="false" ht="15" hidden="false" customHeight="false" outlineLevel="0" collapsed="false">
      <c r="A224" s="6" t="s">
        <v>467</v>
      </c>
      <c r="B224" s="6" t="s">
        <v>51</v>
      </c>
      <c r="C224" s="6" t="s">
        <v>102</v>
      </c>
      <c r="D224" s="6" t="s">
        <v>158</v>
      </c>
      <c r="E224" s="6" t="n">
        <v>3</v>
      </c>
      <c r="F224" s="7" t="n">
        <v>23.2</v>
      </c>
      <c r="G224" s="7" t="n">
        <v>0</v>
      </c>
      <c r="H224" s="7" t="n">
        <v>15</v>
      </c>
      <c r="I224" s="7" t="n">
        <v>0.6</v>
      </c>
      <c r="J224" s="7" t="n">
        <v>1.2</v>
      </c>
      <c r="K224" s="7" t="n">
        <v>2</v>
      </c>
      <c r="L224" s="6" t="n">
        <v>42</v>
      </c>
      <c r="M224" s="6" t="n">
        <v>20</v>
      </c>
      <c r="N224" s="7" t="n">
        <v>9.5</v>
      </c>
      <c r="O224" s="6" t="s">
        <v>191</v>
      </c>
      <c r="P224" s="6" t="s">
        <v>318</v>
      </c>
      <c r="Q224" s="6" t="s">
        <v>464</v>
      </c>
      <c r="R224" s="6" t="s">
        <v>465</v>
      </c>
      <c r="S224" s="6"/>
    </row>
    <row r="225" customFormat="false" ht="15" hidden="false" customHeight="false" outlineLevel="0" collapsed="false">
      <c r="A225" s="6" t="s">
        <v>468</v>
      </c>
      <c r="B225" s="6" t="s">
        <v>51</v>
      </c>
      <c r="C225" s="6" t="s">
        <v>102</v>
      </c>
      <c r="D225" s="6" t="s">
        <v>158</v>
      </c>
      <c r="E225" s="6" t="n">
        <v>4</v>
      </c>
      <c r="F225" s="7" t="n">
        <v>23.8</v>
      </c>
      <c r="G225" s="7" t="n">
        <v>0</v>
      </c>
      <c r="H225" s="7" t="n">
        <v>15</v>
      </c>
      <c r="I225" s="7" t="n">
        <v>0.6</v>
      </c>
      <c r="J225" s="7" t="n">
        <v>1.2</v>
      </c>
      <c r="K225" s="7" t="n">
        <v>2</v>
      </c>
      <c r="L225" s="6" t="n">
        <v>42</v>
      </c>
      <c r="M225" s="6" t="n">
        <v>20</v>
      </c>
      <c r="N225" s="7" t="n">
        <v>9.5</v>
      </c>
      <c r="O225" s="6" t="s">
        <v>191</v>
      </c>
      <c r="P225" s="6" t="s">
        <v>318</v>
      </c>
      <c r="Q225" s="6" t="s">
        <v>464</v>
      </c>
      <c r="R225" s="6" t="s">
        <v>465</v>
      </c>
      <c r="S225" s="6"/>
    </row>
    <row r="226" customFormat="false" ht="15" hidden="false" customHeight="false" outlineLevel="0" collapsed="false">
      <c r="A226" s="6" t="s">
        <v>469</v>
      </c>
      <c r="B226" s="6" t="s">
        <v>51</v>
      </c>
      <c r="C226" s="6" t="s">
        <v>102</v>
      </c>
      <c r="D226" s="6" t="s">
        <v>158</v>
      </c>
      <c r="E226" s="6" t="n">
        <v>5</v>
      </c>
      <c r="F226" s="7" t="n">
        <v>24.4</v>
      </c>
      <c r="G226" s="7" t="n">
        <v>0</v>
      </c>
      <c r="H226" s="7" t="n">
        <v>15</v>
      </c>
      <c r="I226" s="7" t="n">
        <v>0.6</v>
      </c>
      <c r="J226" s="7" t="n">
        <v>1.2</v>
      </c>
      <c r="K226" s="7" t="n">
        <v>2</v>
      </c>
      <c r="L226" s="6" t="n">
        <v>42</v>
      </c>
      <c r="M226" s="6" t="n">
        <v>20</v>
      </c>
      <c r="N226" s="7" t="n">
        <v>9.5</v>
      </c>
      <c r="O226" s="6" t="s">
        <v>191</v>
      </c>
      <c r="P226" s="6" t="s">
        <v>318</v>
      </c>
      <c r="Q226" s="6" t="s">
        <v>464</v>
      </c>
      <c r="R226" s="6" t="s">
        <v>465</v>
      </c>
      <c r="S226" s="6"/>
    </row>
    <row r="227" customFormat="false" ht="15" hidden="false" customHeight="false" outlineLevel="0" collapsed="false">
      <c r="A227" s="6" t="s">
        <v>470</v>
      </c>
      <c r="B227" s="6" t="s">
        <v>51</v>
      </c>
      <c r="C227" s="6" t="s">
        <v>102</v>
      </c>
      <c r="D227" s="6" t="s">
        <v>158</v>
      </c>
      <c r="E227" s="6" t="n">
        <v>6</v>
      </c>
      <c r="F227" s="7" t="n">
        <v>25</v>
      </c>
      <c r="G227" s="7" t="n">
        <v>0</v>
      </c>
      <c r="H227" s="7" t="n">
        <v>15</v>
      </c>
      <c r="I227" s="7" t="n">
        <v>0.6</v>
      </c>
      <c r="J227" s="7" t="n">
        <v>1.2</v>
      </c>
      <c r="K227" s="7" t="n">
        <v>2</v>
      </c>
      <c r="L227" s="6" t="n">
        <v>42</v>
      </c>
      <c r="M227" s="6" t="n">
        <v>20</v>
      </c>
      <c r="N227" s="7" t="n">
        <v>9.5</v>
      </c>
      <c r="O227" s="6" t="s">
        <v>191</v>
      </c>
      <c r="P227" s="6" t="s">
        <v>318</v>
      </c>
      <c r="Q227" s="6" t="s">
        <v>464</v>
      </c>
      <c r="R227" s="6" t="s">
        <v>465</v>
      </c>
      <c r="S227" s="6"/>
    </row>
    <row r="228" customFormat="false" ht="15" hidden="false" customHeight="false" outlineLevel="0" collapsed="false">
      <c r="A228" s="6" t="s">
        <v>471</v>
      </c>
      <c r="B228" s="6" t="s">
        <v>51</v>
      </c>
      <c r="C228" s="6" t="s">
        <v>102</v>
      </c>
      <c r="D228" s="6" t="s">
        <v>158</v>
      </c>
      <c r="E228" s="6" t="n">
        <v>7</v>
      </c>
      <c r="F228" s="7" t="n">
        <v>25.6</v>
      </c>
      <c r="G228" s="7" t="n">
        <v>0</v>
      </c>
      <c r="H228" s="7" t="n">
        <v>15</v>
      </c>
      <c r="I228" s="7" t="n">
        <v>0.6</v>
      </c>
      <c r="J228" s="7" t="n">
        <v>1.2</v>
      </c>
      <c r="K228" s="7" t="n">
        <v>2</v>
      </c>
      <c r="L228" s="6" t="n">
        <v>42</v>
      </c>
      <c r="M228" s="6" t="n">
        <v>20</v>
      </c>
      <c r="N228" s="7" t="n">
        <v>9.5</v>
      </c>
      <c r="O228" s="6" t="s">
        <v>191</v>
      </c>
      <c r="P228" s="6" t="s">
        <v>318</v>
      </c>
      <c r="Q228" s="6" t="s">
        <v>464</v>
      </c>
      <c r="R228" s="6" t="s">
        <v>465</v>
      </c>
      <c r="S228" s="6"/>
    </row>
    <row r="229" customFormat="false" ht="15" hidden="false" customHeight="false" outlineLevel="0" collapsed="false">
      <c r="A229" s="6" t="s">
        <v>472</v>
      </c>
      <c r="B229" s="6" t="s">
        <v>51</v>
      </c>
      <c r="C229" s="6" t="s">
        <v>102</v>
      </c>
      <c r="D229" s="6" t="s">
        <v>158</v>
      </c>
      <c r="E229" s="6" t="n">
        <v>8</v>
      </c>
      <c r="F229" s="7" t="n">
        <v>26.2</v>
      </c>
      <c r="G229" s="7" t="n">
        <v>0</v>
      </c>
      <c r="H229" s="7" t="n">
        <v>15</v>
      </c>
      <c r="I229" s="7" t="n">
        <v>0.6</v>
      </c>
      <c r="J229" s="7" t="n">
        <v>1.2</v>
      </c>
      <c r="K229" s="7" t="n">
        <v>2</v>
      </c>
      <c r="L229" s="6" t="n">
        <v>42</v>
      </c>
      <c r="M229" s="6" t="n">
        <v>20</v>
      </c>
      <c r="N229" s="7" t="n">
        <v>9.5</v>
      </c>
      <c r="O229" s="6" t="s">
        <v>191</v>
      </c>
      <c r="P229" s="6" t="s">
        <v>318</v>
      </c>
      <c r="Q229" s="6" t="s">
        <v>464</v>
      </c>
      <c r="R229" s="6" t="s">
        <v>465</v>
      </c>
      <c r="S229" s="6"/>
    </row>
    <row r="230" customFormat="false" ht="15" hidden="false" customHeight="false" outlineLevel="0" collapsed="false">
      <c r="A230" s="6" t="s">
        <v>473</v>
      </c>
      <c r="B230" s="6" t="s">
        <v>51</v>
      </c>
      <c r="C230" s="6" t="s">
        <v>102</v>
      </c>
      <c r="D230" s="6" t="s">
        <v>158</v>
      </c>
      <c r="E230" s="6" t="n">
        <v>9</v>
      </c>
      <c r="F230" s="7" t="n">
        <v>26.8</v>
      </c>
      <c r="G230" s="7" t="n">
        <v>0</v>
      </c>
      <c r="H230" s="7" t="n">
        <v>15</v>
      </c>
      <c r="I230" s="7" t="n">
        <v>0.6</v>
      </c>
      <c r="J230" s="7" t="n">
        <v>1.2</v>
      </c>
      <c r="K230" s="7" t="n">
        <v>2</v>
      </c>
      <c r="L230" s="6" t="n">
        <v>42</v>
      </c>
      <c r="M230" s="6" t="n">
        <v>20</v>
      </c>
      <c r="N230" s="7" t="n">
        <v>9.5</v>
      </c>
      <c r="O230" s="6" t="s">
        <v>191</v>
      </c>
      <c r="P230" s="6" t="s">
        <v>318</v>
      </c>
      <c r="Q230" s="6" t="s">
        <v>464</v>
      </c>
      <c r="R230" s="6" t="s">
        <v>465</v>
      </c>
      <c r="S230" s="6"/>
    </row>
    <row r="231" customFormat="false" ht="15" hidden="false" customHeight="false" outlineLevel="0" collapsed="false">
      <c r="A231" s="6" t="s">
        <v>474</v>
      </c>
      <c r="B231" s="6" t="s">
        <v>51</v>
      </c>
      <c r="C231" s="6" t="s">
        <v>102</v>
      </c>
      <c r="D231" s="6" t="s">
        <v>158</v>
      </c>
      <c r="E231" s="6" t="n">
        <v>10</v>
      </c>
      <c r="F231" s="7" t="n">
        <v>27.4</v>
      </c>
      <c r="G231" s="7" t="n">
        <v>0</v>
      </c>
      <c r="H231" s="7" t="n">
        <v>15</v>
      </c>
      <c r="I231" s="7" t="n">
        <v>0.6</v>
      </c>
      <c r="J231" s="7" t="n">
        <v>1.2</v>
      </c>
      <c r="K231" s="7" t="n">
        <v>2</v>
      </c>
      <c r="L231" s="6" t="n">
        <v>42</v>
      </c>
      <c r="M231" s="6" t="n">
        <v>20</v>
      </c>
      <c r="N231" s="7" t="n">
        <v>9.5</v>
      </c>
      <c r="O231" s="6" t="s">
        <v>191</v>
      </c>
      <c r="P231" s="6" t="s">
        <v>318</v>
      </c>
      <c r="Q231" s="6" t="s">
        <v>464</v>
      </c>
      <c r="R231" s="6" t="s">
        <v>465</v>
      </c>
      <c r="S231" s="6"/>
    </row>
    <row r="232" customFormat="false" ht="15" hidden="false" customHeight="false" outlineLevel="0" collapsed="false">
      <c r="A232" s="6" t="s">
        <v>475</v>
      </c>
      <c r="B232" s="6" t="s">
        <v>51</v>
      </c>
      <c r="C232" s="6" t="s">
        <v>102</v>
      </c>
      <c r="D232" s="6" t="s">
        <v>158</v>
      </c>
      <c r="E232" s="6" t="n">
        <v>11</v>
      </c>
      <c r="F232" s="7" t="n">
        <v>28</v>
      </c>
      <c r="G232" s="7" t="n">
        <v>0</v>
      </c>
      <c r="H232" s="7" t="n">
        <v>15</v>
      </c>
      <c r="I232" s="7" t="n">
        <v>0.6</v>
      </c>
      <c r="J232" s="7" t="n">
        <v>1.2</v>
      </c>
      <c r="K232" s="7" t="n">
        <v>2</v>
      </c>
      <c r="L232" s="6" t="n">
        <v>42</v>
      </c>
      <c r="M232" s="6" t="n">
        <v>20</v>
      </c>
      <c r="N232" s="7" t="n">
        <v>9.5</v>
      </c>
      <c r="O232" s="6" t="s">
        <v>191</v>
      </c>
      <c r="P232" s="6" t="s">
        <v>318</v>
      </c>
      <c r="Q232" s="6" t="s">
        <v>476</v>
      </c>
      <c r="R232" s="6" t="s">
        <v>477</v>
      </c>
      <c r="S232" s="6"/>
    </row>
    <row r="233" customFormat="false" ht="15" hidden="false" customHeight="false" outlineLevel="0" collapsed="false">
      <c r="A233" s="6" t="s">
        <v>478</v>
      </c>
      <c r="B233" s="6" t="s">
        <v>51</v>
      </c>
      <c r="C233" s="6" t="s">
        <v>102</v>
      </c>
      <c r="D233" s="6" t="s">
        <v>158</v>
      </c>
      <c r="E233" s="6" t="n">
        <v>12</v>
      </c>
      <c r="F233" s="7" t="n">
        <v>28.6</v>
      </c>
      <c r="G233" s="7" t="n">
        <v>0</v>
      </c>
      <c r="H233" s="7" t="n">
        <v>15</v>
      </c>
      <c r="I233" s="7" t="n">
        <v>0.6</v>
      </c>
      <c r="J233" s="7" t="n">
        <v>1.2</v>
      </c>
      <c r="K233" s="7" t="n">
        <v>2</v>
      </c>
      <c r="L233" s="6" t="n">
        <v>42</v>
      </c>
      <c r="M233" s="6" t="n">
        <v>20</v>
      </c>
      <c r="N233" s="7" t="n">
        <v>9.5</v>
      </c>
      <c r="O233" s="6" t="s">
        <v>191</v>
      </c>
      <c r="P233" s="6" t="s">
        <v>318</v>
      </c>
      <c r="Q233" s="6" t="s">
        <v>476</v>
      </c>
      <c r="R233" s="6" t="s">
        <v>477</v>
      </c>
      <c r="S233" s="6"/>
    </row>
    <row r="234" customFormat="false" ht="15" hidden="false" customHeight="false" outlineLevel="0" collapsed="false">
      <c r="A234" s="6" t="s">
        <v>479</v>
      </c>
      <c r="B234" s="6" t="s">
        <v>51</v>
      </c>
      <c r="C234" s="6" t="s">
        <v>102</v>
      </c>
      <c r="D234" s="6" t="s">
        <v>158</v>
      </c>
      <c r="E234" s="6" t="n">
        <v>13</v>
      </c>
      <c r="F234" s="7" t="n">
        <v>29.2</v>
      </c>
      <c r="G234" s="7" t="n">
        <v>0</v>
      </c>
      <c r="H234" s="7" t="n">
        <v>15</v>
      </c>
      <c r="I234" s="7" t="n">
        <v>0.6</v>
      </c>
      <c r="J234" s="7" t="n">
        <v>1.2</v>
      </c>
      <c r="K234" s="7" t="n">
        <v>2</v>
      </c>
      <c r="L234" s="6" t="n">
        <v>42</v>
      </c>
      <c r="M234" s="6" t="n">
        <v>20</v>
      </c>
      <c r="N234" s="7" t="n">
        <v>9.5</v>
      </c>
      <c r="O234" s="6" t="s">
        <v>191</v>
      </c>
      <c r="P234" s="6" t="s">
        <v>318</v>
      </c>
      <c r="Q234" s="6" t="s">
        <v>476</v>
      </c>
      <c r="R234" s="6" t="s">
        <v>477</v>
      </c>
      <c r="S234" s="6"/>
    </row>
    <row r="235" customFormat="false" ht="15" hidden="false" customHeight="false" outlineLevel="0" collapsed="false">
      <c r="A235" s="6" t="s">
        <v>480</v>
      </c>
      <c r="B235" s="6" t="s">
        <v>51</v>
      </c>
      <c r="C235" s="6" t="s">
        <v>102</v>
      </c>
      <c r="D235" s="6" t="s">
        <v>158</v>
      </c>
      <c r="E235" s="6" t="n">
        <v>14</v>
      </c>
      <c r="F235" s="7" t="n">
        <v>29.8</v>
      </c>
      <c r="G235" s="7" t="n">
        <v>0</v>
      </c>
      <c r="H235" s="7" t="n">
        <v>15</v>
      </c>
      <c r="I235" s="7" t="n">
        <v>0.6</v>
      </c>
      <c r="J235" s="7" t="n">
        <v>1.2</v>
      </c>
      <c r="K235" s="7" t="n">
        <v>2</v>
      </c>
      <c r="L235" s="6" t="n">
        <v>42</v>
      </c>
      <c r="M235" s="6" t="n">
        <v>20</v>
      </c>
      <c r="N235" s="7" t="n">
        <v>9.5</v>
      </c>
      <c r="O235" s="6" t="s">
        <v>191</v>
      </c>
      <c r="P235" s="6" t="s">
        <v>318</v>
      </c>
      <c r="Q235" s="6" t="s">
        <v>476</v>
      </c>
      <c r="R235" s="6" t="s">
        <v>477</v>
      </c>
      <c r="S235" s="6"/>
    </row>
    <row r="236" customFormat="false" ht="15" hidden="false" customHeight="false" outlineLevel="0" collapsed="false">
      <c r="A236" s="6" t="s">
        <v>481</v>
      </c>
      <c r="B236" s="6" t="s">
        <v>51</v>
      </c>
      <c r="C236" s="6" t="s">
        <v>102</v>
      </c>
      <c r="D236" s="6" t="s">
        <v>158</v>
      </c>
      <c r="E236" s="6" t="n">
        <v>15</v>
      </c>
      <c r="F236" s="7" t="n">
        <v>30.4</v>
      </c>
      <c r="G236" s="7" t="n">
        <v>0</v>
      </c>
      <c r="H236" s="7" t="n">
        <v>15</v>
      </c>
      <c r="I236" s="7" t="n">
        <v>0.6</v>
      </c>
      <c r="J236" s="7" t="n">
        <v>1.2</v>
      </c>
      <c r="K236" s="7" t="n">
        <v>2</v>
      </c>
      <c r="L236" s="6" t="n">
        <v>42</v>
      </c>
      <c r="M236" s="6" t="n">
        <v>20</v>
      </c>
      <c r="N236" s="7" t="n">
        <v>9.5</v>
      </c>
      <c r="O236" s="6" t="s">
        <v>191</v>
      </c>
      <c r="P236" s="6" t="s">
        <v>318</v>
      </c>
      <c r="Q236" s="6" t="s">
        <v>476</v>
      </c>
      <c r="R236" s="6" t="s">
        <v>477</v>
      </c>
      <c r="S236" s="6"/>
    </row>
    <row r="237" customFormat="false" ht="15" hidden="false" customHeight="false" outlineLevel="0" collapsed="false">
      <c r="A237" s="6" t="s">
        <v>482</v>
      </c>
      <c r="B237" s="6" t="s">
        <v>51</v>
      </c>
      <c r="C237" s="6" t="s">
        <v>102</v>
      </c>
      <c r="D237" s="6" t="s">
        <v>158</v>
      </c>
      <c r="E237" s="6" t="n">
        <v>16</v>
      </c>
      <c r="F237" s="7" t="n">
        <v>31</v>
      </c>
      <c r="G237" s="7" t="n">
        <v>0</v>
      </c>
      <c r="H237" s="7" t="n">
        <v>15</v>
      </c>
      <c r="I237" s="7" t="n">
        <v>0.6</v>
      </c>
      <c r="J237" s="7" t="n">
        <v>1.2</v>
      </c>
      <c r="K237" s="7" t="n">
        <v>2</v>
      </c>
      <c r="L237" s="6" t="n">
        <v>42</v>
      </c>
      <c r="M237" s="6" t="n">
        <v>20</v>
      </c>
      <c r="N237" s="7" t="n">
        <v>9.5</v>
      </c>
      <c r="O237" s="6" t="s">
        <v>191</v>
      </c>
      <c r="P237" s="6" t="s">
        <v>318</v>
      </c>
      <c r="Q237" s="6" t="s">
        <v>476</v>
      </c>
      <c r="R237" s="6" t="s">
        <v>477</v>
      </c>
      <c r="S237" s="6"/>
    </row>
    <row r="238" customFormat="false" ht="15" hidden="false" customHeight="false" outlineLevel="0" collapsed="false">
      <c r="A238" s="6" t="s">
        <v>483</v>
      </c>
      <c r="B238" s="6" t="s">
        <v>51</v>
      </c>
      <c r="C238" s="6" t="s">
        <v>102</v>
      </c>
      <c r="D238" s="6" t="s">
        <v>158</v>
      </c>
      <c r="E238" s="6" t="n">
        <v>17</v>
      </c>
      <c r="F238" s="7" t="n">
        <v>31.6</v>
      </c>
      <c r="G238" s="7" t="n">
        <v>0</v>
      </c>
      <c r="H238" s="7" t="n">
        <v>15</v>
      </c>
      <c r="I238" s="7" t="n">
        <v>0.6</v>
      </c>
      <c r="J238" s="7" t="n">
        <v>1.2</v>
      </c>
      <c r="K238" s="7" t="n">
        <v>2</v>
      </c>
      <c r="L238" s="6" t="n">
        <v>42</v>
      </c>
      <c r="M238" s="6" t="n">
        <v>20</v>
      </c>
      <c r="N238" s="7" t="n">
        <v>9</v>
      </c>
      <c r="O238" s="6" t="s">
        <v>191</v>
      </c>
      <c r="P238" s="6" t="s">
        <v>318</v>
      </c>
      <c r="Q238" s="6" t="s">
        <v>476</v>
      </c>
      <c r="R238" s="6" t="s">
        <v>477</v>
      </c>
      <c r="S238" s="6"/>
    </row>
    <row r="239" customFormat="false" ht="15" hidden="false" customHeight="false" outlineLevel="0" collapsed="false">
      <c r="A239" s="6" t="s">
        <v>484</v>
      </c>
      <c r="B239" s="6" t="s">
        <v>51</v>
      </c>
      <c r="C239" s="6" t="s">
        <v>102</v>
      </c>
      <c r="D239" s="6" t="s">
        <v>158</v>
      </c>
      <c r="E239" s="6" t="n">
        <v>18</v>
      </c>
      <c r="F239" s="7" t="n">
        <v>32.2</v>
      </c>
      <c r="G239" s="7" t="n">
        <v>0</v>
      </c>
      <c r="H239" s="7" t="n">
        <v>15</v>
      </c>
      <c r="I239" s="7" t="n">
        <v>0.6</v>
      </c>
      <c r="J239" s="7" t="n">
        <v>1.2</v>
      </c>
      <c r="K239" s="7" t="n">
        <v>2</v>
      </c>
      <c r="L239" s="6" t="n">
        <v>42</v>
      </c>
      <c r="M239" s="6" t="n">
        <v>20</v>
      </c>
      <c r="N239" s="7" t="n">
        <v>0</v>
      </c>
      <c r="O239" s="6" t="s">
        <v>215</v>
      </c>
      <c r="P239" s="6"/>
      <c r="Q239" s="6" t="s">
        <v>476</v>
      </c>
      <c r="R239" s="6" t="s">
        <v>477</v>
      </c>
      <c r="S239" s="6"/>
    </row>
    <row r="240" customFormat="false" ht="15" hidden="false" customHeight="false" outlineLevel="0" collapsed="false">
      <c r="A240" s="6" t="s">
        <v>485</v>
      </c>
      <c r="B240" s="6" t="s">
        <v>51</v>
      </c>
      <c r="C240" s="6" t="s">
        <v>102</v>
      </c>
      <c r="D240" s="6" t="s">
        <v>158</v>
      </c>
      <c r="E240" s="6" t="n">
        <v>19</v>
      </c>
      <c r="F240" s="7" t="n">
        <v>32.8</v>
      </c>
      <c r="G240" s="7" t="n">
        <v>0</v>
      </c>
      <c r="H240" s="7" t="n">
        <v>15</v>
      </c>
      <c r="I240" s="7" t="n">
        <v>0.6</v>
      </c>
      <c r="J240" s="7" t="n">
        <v>1.2</v>
      </c>
      <c r="K240" s="7" t="n">
        <v>2</v>
      </c>
      <c r="L240" s="6" t="n">
        <v>42</v>
      </c>
      <c r="M240" s="6" t="n">
        <v>20</v>
      </c>
      <c r="N240" s="7" t="n">
        <v>0</v>
      </c>
      <c r="O240" s="6" t="s">
        <v>215</v>
      </c>
      <c r="P240" s="6"/>
      <c r="Q240" s="6" t="s">
        <v>476</v>
      </c>
      <c r="R240" s="6" t="s">
        <v>477</v>
      </c>
      <c r="S240" s="6"/>
    </row>
    <row r="241" customFormat="false" ht="15" hidden="false" customHeight="false" outlineLevel="0" collapsed="false">
      <c r="A241" s="6" t="s">
        <v>486</v>
      </c>
      <c r="B241" s="6" t="s">
        <v>51</v>
      </c>
      <c r="C241" s="6" t="s">
        <v>102</v>
      </c>
      <c r="D241" s="6" t="s">
        <v>158</v>
      </c>
      <c r="E241" s="6" t="n">
        <v>20</v>
      </c>
      <c r="F241" s="7" t="n">
        <v>33.4</v>
      </c>
      <c r="G241" s="7" t="n">
        <v>0</v>
      </c>
      <c r="H241" s="7" t="n">
        <v>15</v>
      </c>
      <c r="I241" s="7" t="n">
        <v>0.6</v>
      </c>
      <c r="J241" s="7" t="n">
        <v>1.2</v>
      </c>
      <c r="K241" s="7" t="n">
        <v>2</v>
      </c>
      <c r="L241" s="6" t="n">
        <v>42</v>
      </c>
      <c r="M241" s="6" t="n">
        <v>20</v>
      </c>
      <c r="N241" s="7" t="n">
        <v>0</v>
      </c>
      <c r="O241" s="6" t="s">
        <v>215</v>
      </c>
      <c r="P241" s="6"/>
      <c r="Q241" s="6" t="s">
        <v>476</v>
      </c>
      <c r="R241" s="6" t="s">
        <v>477</v>
      </c>
      <c r="S241" s="6"/>
    </row>
    <row r="242" customFormat="false" ht="15" hidden="false" customHeight="false" outlineLevel="0" collapsed="false">
      <c r="A242" s="6" t="s">
        <v>487</v>
      </c>
      <c r="B242" s="6" t="s">
        <v>51</v>
      </c>
      <c r="C242" s="6" t="s">
        <v>104</v>
      </c>
      <c r="D242" s="6" t="s">
        <v>159</v>
      </c>
      <c r="E242" s="6" t="n">
        <v>1</v>
      </c>
      <c r="F242" s="7" t="n">
        <v>2</v>
      </c>
      <c r="G242" s="7" t="n">
        <v>0</v>
      </c>
      <c r="H242" s="7" t="n">
        <v>25</v>
      </c>
      <c r="I242" s="7" t="n">
        <v>0.6</v>
      </c>
      <c r="J242" s="7" t="n">
        <v>1.2</v>
      </c>
      <c r="K242" s="7" t="n">
        <v>2</v>
      </c>
      <c r="L242" s="6" t="n">
        <v>42</v>
      </c>
      <c r="M242" s="6" t="n">
        <v>20</v>
      </c>
      <c r="N242" s="7" t="n">
        <v>8.5</v>
      </c>
      <c r="O242" s="6" t="s">
        <v>191</v>
      </c>
      <c r="P242" s="6" t="s">
        <v>192</v>
      </c>
      <c r="Q242" s="6" t="s">
        <v>488</v>
      </c>
      <c r="R242" s="6" t="s">
        <v>489</v>
      </c>
      <c r="S242" s="6"/>
    </row>
    <row r="243" customFormat="false" ht="15" hidden="false" customHeight="false" outlineLevel="0" collapsed="false">
      <c r="A243" s="6" t="s">
        <v>490</v>
      </c>
      <c r="B243" s="6" t="s">
        <v>51</v>
      </c>
      <c r="C243" s="6" t="s">
        <v>104</v>
      </c>
      <c r="D243" s="6" t="s">
        <v>159</v>
      </c>
      <c r="E243" s="6" t="n">
        <v>2</v>
      </c>
      <c r="F243" s="7" t="n">
        <v>2.6</v>
      </c>
      <c r="G243" s="7" t="n">
        <v>0</v>
      </c>
      <c r="H243" s="7" t="n">
        <v>25</v>
      </c>
      <c r="I243" s="7" t="n">
        <v>0.6</v>
      </c>
      <c r="J243" s="7" t="n">
        <v>1.2</v>
      </c>
      <c r="K243" s="7" t="n">
        <v>2</v>
      </c>
      <c r="L243" s="6" t="n">
        <v>42</v>
      </c>
      <c r="M243" s="6" t="n">
        <v>20</v>
      </c>
      <c r="N243" s="7" t="n">
        <v>8.5</v>
      </c>
      <c r="O243" s="6" t="s">
        <v>191</v>
      </c>
      <c r="P243" s="6" t="s">
        <v>192</v>
      </c>
      <c r="Q243" s="6" t="s">
        <v>488</v>
      </c>
      <c r="R243" s="6" t="s">
        <v>489</v>
      </c>
      <c r="S243" s="6"/>
    </row>
    <row r="244" customFormat="false" ht="15" hidden="false" customHeight="false" outlineLevel="0" collapsed="false">
      <c r="A244" s="6" t="s">
        <v>491</v>
      </c>
      <c r="B244" s="6" t="s">
        <v>51</v>
      </c>
      <c r="C244" s="6" t="s">
        <v>104</v>
      </c>
      <c r="D244" s="6" t="s">
        <v>159</v>
      </c>
      <c r="E244" s="6" t="n">
        <v>3</v>
      </c>
      <c r="F244" s="7" t="n">
        <v>3.2</v>
      </c>
      <c r="G244" s="7" t="n">
        <v>0</v>
      </c>
      <c r="H244" s="7" t="n">
        <v>25</v>
      </c>
      <c r="I244" s="7" t="n">
        <v>0.6</v>
      </c>
      <c r="J244" s="7" t="n">
        <v>1.2</v>
      </c>
      <c r="K244" s="7" t="n">
        <v>2</v>
      </c>
      <c r="L244" s="6" t="n">
        <v>42</v>
      </c>
      <c r="M244" s="6" t="n">
        <v>20</v>
      </c>
      <c r="N244" s="7" t="n">
        <v>8.5</v>
      </c>
      <c r="O244" s="6" t="s">
        <v>191</v>
      </c>
      <c r="P244" s="6" t="s">
        <v>192</v>
      </c>
      <c r="Q244" s="6" t="s">
        <v>488</v>
      </c>
      <c r="R244" s="6" t="s">
        <v>489</v>
      </c>
      <c r="S244" s="6"/>
    </row>
    <row r="245" customFormat="false" ht="15" hidden="false" customHeight="false" outlineLevel="0" collapsed="false">
      <c r="A245" s="6" t="s">
        <v>492</v>
      </c>
      <c r="B245" s="6" t="s">
        <v>51</v>
      </c>
      <c r="C245" s="6" t="s">
        <v>104</v>
      </c>
      <c r="D245" s="6" t="s">
        <v>159</v>
      </c>
      <c r="E245" s="6" t="n">
        <v>4</v>
      </c>
      <c r="F245" s="7" t="n">
        <v>3.8</v>
      </c>
      <c r="G245" s="7" t="n">
        <v>0</v>
      </c>
      <c r="H245" s="7" t="n">
        <v>25</v>
      </c>
      <c r="I245" s="7" t="n">
        <v>0.6</v>
      </c>
      <c r="J245" s="7" t="n">
        <v>1.2</v>
      </c>
      <c r="K245" s="7" t="n">
        <v>2</v>
      </c>
      <c r="L245" s="6" t="n">
        <v>42</v>
      </c>
      <c r="M245" s="6" t="n">
        <v>20</v>
      </c>
      <c r="N245" s="7" t="n">
        <v>8.5</v>
      </c>
      <c r="O245" s="6" t="s">
        <v>191</v>
      </c>
      <c r="P245" s="6" t="s">
        <v>192</v>
      </c>
      <c r="Q245" s="6" t="s">
        <v>488</v>
      </c>
      <c r="R245" s="6" t="s">
        <v>489</v>
      </c>
      <c r="S245" s="6"/>
    </row>
    <row r="246" customFormat="false" ht="15" hidden="false" customHeight="false" outlineLevel="0" collapsed="false">
      <c r="A246" s="6" t="s">
        <v>493</v>
      </c>
      <c r="B246" s="6" t="s">
        <v>51</v>
      </c>
      <c r="C246" s="6" t="s">
        <v>104</v>
      </c>
      <c r="D246" s="6" t="s">
        <v>159</v>
      </c>
      <c r="E246" s="6" t="n">
        <v>5</v>
      </c>
      <c r="F246" s="7" t="n">
        <v>4.4</v>
      </c>
      <c r="G246" s="7" t="n">
        <v>0</v>
      </c>
      <c r="H246" s="7" t="n">
        <v>25</v>
      </c>
      <c r="I246" s="7" t="n">
        <v>0.6</v>
      </c>
      <c r="J246" s="7" t="n">
        <v>1.2</v>
      </c>
      <c r="K246" s="7" t="n">
        <v>2</v>
      </c>
      <c r="L246" s="6" t="n">
        <v>42</v>
      </c>
      <c r="M246" s="6" t="n">
        <v>20</v>
      </c>
      <c r="N246" s="7" t="n">
        <v>8.5</v>
      </c>
      <c r="O246" s="6" t="s">
        <v>191</v>
      </c>
      <c r="P246" s="6" t="s">
        <v>192</v>
      </c>
      <c r="Q246" s="6" t="s">
        <v>488</v>
      </c>
      <c r="R246" s="6" t="s">
        <v>489</v>
      </c>
      <c r="S246" s="6"/>
    </row>
    <row r="247" customFormat="false" ht="15" hidden="false" customHeight="false" outlineLevel="0" collapsed="false">
      <c r="A247" s="6" t="s">
        <v>494</v>
      </c>
      <c r="B247" s="6" t="s">
        <v>51</v>
      </c>
      <c r="C247" s="6" t="s">
        <v>104</v>
      </c>
      <c r="D247" s="6" t="s">
        <v>159</v>
      </c>
      <c r="E247" s="6" t="n">
        <v>6</v>
      </c>
      <c r="F247" s="7" t="n">
        <v>5</v>
      </c>
      <c r="G247" s="7" t="n">
        <v>0</v>
      </c>
      <c r="H247" s="7" t="n">
        <v>25</v>
      </c>
      <c r="I247" s="7" t="n">
        <v>0.6</v>
      </c>
      <c r="J247" s="7" t="n">
        <v>1.2</v>
      </c>
      <c r="K247" s="7" t="n">
        <v>2</v>
      </c>
      <c r="L247" s="6" t="n">
        <v>42</v>
      </c>
      <c r="M247" s="6" t="n">
        <v>20</v>
      </c>
      <c r="N247" s="7" t="n">
        <v>8.5</v>
      </c>
      <c r="O247" s="6" t="s">
        <v>191</v>
      </c>
      <c r="P247" s="6" t="s">
        <v>192</v>
      </c>
      <c r="Q247" s="6" t="s">
        <v>488</v>
      </c>
      <c r="R247" s="6" t="s">
        <v>489</v>
      </c>
      <c r="S247" s="6"/>
    </row>
    <row r="248" customFormat="false" ht="15" hidden="false" customHeight="false" outlineLevel="0" collapsed="false">
      <c r="A248" s="6" t="s">
        <v>495</v>
      </c>
      <c r="B248" s="6" t="s">
        <v>51</v>
      </c>
      <c r="C248" s="6" t="s">
        <v>104</v>
      </c>
      <c r="D248" s="6" t="s">
        <v>159</v>
      </c>
      <c r="E248" s="6" t="n">
        <v>7</v>
      </c>
      <c r="F248" s="7" t="n">
        <v>5.6</v>
      </c>
      <c r="G248" s="7" t="n">
        <v>0</v>
      </c>
      <c r="H248" s="7" t="n">
        <v>25</v>
      </c>
      <c r="I248" s="7" t="n">
        <v>0.6</v>
      </c>
      <c r="J248" s="7" t="n">
        <v>1.2</v>
      </c>
      <c r="K248" s="7" t="n">
        <v>2</v>
      </c>
      <c r="L248" s="6" t="n">
        <v>42</v>
      </c>
      <c r="M248" s="6" t="n">
        <v>20</v>
      </c>
      <c r="N248" s="7" t="n">
        <v>8.5</v>
      </c>
      <c r="O248" s="6" t="s">
        <v>191</v>
      </c>
      <c r="P248" s="6" t="s">
        <v>192</v>
      </c>
      <c r="Q248" s="6" t="s">
        <v>488</v>
      </c>
      <c r="R248" s="6" t="s">
        <v>489</v>
      </c>
      <c r="S248" s="6"/>
    </row>
    <row r="249" customFormat="false" ht="15" hidden="false" customHeight="false" outlineLevel="0" collapsed="false">
      <c r="A249" s="6" t="s">
        <v>496</v>
      </c>
      <c r="B249" s="6" t="s">
        <v>51</v>
      </c>
      <c r="C249" s="6" t="s">
        <v>104</v>
      </c>
      <c r="D249" s="6" t="s">
        <v>159</v>
      </c>
      <c r="E249" s="6" t="n">
        <v>8</v>
      </c>
      <c r="F249" s="7" t="n">
        <v>6.2</v>
      </c>
      <c r="G249" s="7" t="n">
        <v>0</v>
      </c>
      <c r="H249" s="7" t="n">
        <v>25</v>
      </c>
      <c r="I249" s="7" t="n">
        <v>0.6</v>
      </c>
      <c r="J249" s="7" t="n">
        <v>1.2</v>
      </c>
      <c r="K249" s="7" t="n">
        <v>2</v>
      </c>
      <c r="L249" s="6" t="n">
        <v>42</v>
      </c>
      <c r="M249" s="6" t="n">
        <v>20</v>
      </c>
      <c r="N249" s="7" t="n">
        <v>8.5</v>
      </c>
      <c r="O249" s="6" t="s">
        <v>191</v>
      </c>
      <c r="P249" s="6" t="s">
        <v>192</v>
      </c>
      <c r="Q249" s="6" t="s">
        <v>488</v>
      </c>
      <c r="R249" s="6" t="s">
        <v>489</v>
      </c>
      <c r="S249" s="6"/>
    </row>
    <row r="250" customFormat="false" ht="15" hidden="false" customHeight="false" outlineLevel="0" collapsed="false">
      <c r="A250" s="6" t="s">
        <v>497</v>
      </c>
      <c r="B250" s="6" t="s">
        <v>51</v>
      </c>
      <c r="C250" s="6" t="s">
        <v>104</v>
      </c>
      <c r="D250" s="6" t="s">
        <v>159</v>
      </c>
      <c r="E250" s="6" t="n">
        <v>9</v>
      </c>
      <c r="F250" s="7" t="n">
        <v>6.8</v>
      </c>
      <c r="G250" s="7" t="n">
        <v>0</v>
      </c>
      <c r="H250" s="7" t="n">
        <v>25</v>
      </c>
      <c r="I250" s="7" t="n">
        <v>0.6</v>
      </c>
      <c r="J250" s="7" t="n">
        <v>1.2</v>
      </c>
      <c r="K250" s="7" t="n">
        <v>2</v>
      </c>
      <c r="L250" s="6" t="n">
        <v>42</v>
      </c>
      <c r="M250" s="6" t="n">
        <v>20</v>
      </c>
      <c r="N250" s="7" t="n">
        <v>8.5</v>
      </c>
      <c r="O250" s="6" t="s">
        <v>191</v>
      </c>
      <c r="P250" s="6" t="s">
        <v>192</v>
      </c>
      <c r="Q250" s="6" t="s">
        <v>488</v>
      </c>
      <c r="R250" s="6" t="s">
        <v>489</v>
      </c>
      <c r="S250" s="6"/>
    </row>
    <row r="251" customFormat="false" ht="15" hidden="false" customHeight="false" outlineLevel="0" collapsed="false">
      <c r="A251" s="6" t="s">
        <v>498</v>
      </c>
      <c r="B251" s="6" t="s">
        <v>51</v>
      </c>
      <c r="C251" s="6" t="s">
        <v>104</v>
      </c>
      <c r="D251" s="6" t="s">
        <v>159</v>
      </c>
      <c r="E251" s="6" t="n">
        <v>10</v>
      </c>
      <c r="F251" s="7" t="n">
        <v>7.4</v>
      </c>
      <c r="G251" s="7" t="n">
        <v>0</v>
      </c>
      <c r="H251" s="7" t="n">
        <v>25</v>
      </c>
      <c r="I251" s="7" t="n">
        <v>0.6</v>
      </c>
      <c r="J251" s="7" t="n">
        <v>1.2</v>
      </c>
      <c r="K251" s="7" t="n">
        <v>2</v>
      </c>
      <c r="L251" s="6" t="n">
        <v>42</v>
      </c>
      <c r="M251" s="6" t="n">
        <v>20</v>
      </c>
      <c r="N251" s="7" t="n">
        <v>8.5</v>
      </c>
      <c r="O251" s="6" t="s">
        <v>191</v>
      </c>
      <c r="P251" s="6" t="s">
        <v>192</v>
      </c>
      <c r="Q251" s="6" t="s">
        <v>488</v>
      </c>
      <c r="R251" s="6" t="s">
        <v>489</v>
      </c>
      <c r="S251" s="6"/>
    </row>
    <row r="252" customFormat="false" ht="15" hidden="false" customHeight="false" outlineLevel="0" collapsed="false">
      <c r="A252" s="6" t="s">
        <v>499</v>
      </c>
      <c r="B252" s="6" t="s">
        <v>51</v>
      </c>
      <c r="C252" s="6" t="s">
        <v>104</v>
      </c>
      <c r="D252" s="6" t="s">
        <v>159</v>
      </c>
      <c r="E252" s="6" t="n">
        <v>11</v>
      </c>
      <c r="F252" s="7" t="n">
        <v>8</v>
      </c>
      <c r="G252" s="7" t="n">
        <v>0</v>
      </c>
      <c r="H252" s="7" t="n">
        <v>25</v>
      </c>
      <c r="I252" s="7" t="n">
        <v>0.6</v>
      </c>
      <c r="J252" s="7" t="n">
        <v>1.2</v>
      </c>
      <c r="K252" s="7" t="n">
        <v>2</v>
      </c>
      <c r="L252" s="6" t="n">
        <v>42</v>
      </c>
      <c r="M252" s="6" t="n">
        <v>20</v>
      </c>
      <c r="N252" s="7" t="n">
        <v>8.5</v>
      </c>
      <c r="O252" s="6" t="s">
        <v>191</v>
      </c>
      <c r="P252" s="6" t="s">
        <v>192</v>
      </c>
      <c r="Q252" s="6" t="s">
        <v>500</v>
      </c>
      <c r="R252" s="6" t="s">
        <v>501</v>
      </c>
      <c r="S252" s="6"/>
    </row>
    <row r="253" customFormat="false" ht="15" hidden="false" customHeight="false" outlineLevel="0" collapsed="false">
      <c r="A253" s="6" t="s">
        <v>502</v>
      </c>
      <c r="B253" s="6" t="s">
        <v>51</v>
      </c>
      <c r="C253" s="6" t="s">
        <v>104</v>
      </c>
      <c r="D253" s="6" t="s">
        <v>159</v>
      </c>
      <c r="E253" s="6" t="n">
        <v>12</v>
      </c>
      <c r="F253" s="7" t="n">
        <v>8.6</v>
      </c>
      <c r="G253" s="7" t="n">
        <v>0</v>
      </c>
      <c r="H253" s="7" t="n">
        <v>25</v>
      </c>
      <c r="I253" s="7" t="n">
        <v>0.6</v>
      </c>
      <c r="J253" s="7" t="n">
        <v>1.2</v>
      </c>
      <c r="K253" s="7" t="n">
        <v>2</v>
      </c>
      <c r="L253" s="6" t="n">
        <v>42</v>
      </c>
      <c r="M253" s="6" t="n">
        <v>20</v>
      </c>
      <c r="N253" s="7" t="n">
        <v>8.5</v>
      </c>
      <c r="O253" s="6" t="s">
        <v>191</v>
      </c>
      <c r="P253" s="6" t="s">
        <v>192</v>
      </c>
      <c r="Q253" s="6" t="s">
        <v>500</v>
      </c>
      <c r="R253" s="6" t="s">
        <v>501</v>
      </c>
      <c r="S253" s="6"/>
    </row>
    <row r="254" customFormat="false" ht="15" hidden="false" customHeight="false" outlineLevel="0" collapsed="false">
      <c r="A254" s="6" t="s">
        <v>503</v>
      </c>
      <c r="B254" s="6" t="s">
        <v>51</v>
      </c>
      <c r="C254" s="6" t="s">
        <v>104</v>
      </c>
      <c r="D254" s="6" t="s">
        <v>159</v>
      </c>
      <c r="E254" s="6" t="n">
        <v>13</v>
      </c>
      <c r="F254" s="7" t="n">
        <v>9.2</v>
      </c>
      <c r="G254" s="7" t="n">
        <v>0</v>
      </c>
      <c r="H254" s="7" t="n">
        <v>25</v>
      </c>
      <c r="I254" s="7" t="n">
        <v>0.6</v>
      </c>
      <c r="J254" s="7" t="n">
        <v>1.2</v>
      </c>
      <c r="K254" s="7" t="n">
        <v>2</v>
      </c>
      <c r="L254" s="6" t="n">
        <v>42</v>
      </c>
      <c r="M254" s="6" t="n">
        <v>20</v>
      </c>
      <c r="N254" s="7" t="n">
        <v>8.5</v>
      </c>
      <c r="O254" s="6" t="s">
        <v>191</v>
      </c>
      <c r="P254" s="6" t="s">
        <v>192</v>
      </c>
      <c r="Q254" s="6" t="s">
        <v>500</v>
      </c>
      <c r="R254" s="6" t="s">
        <v>501</v>
      </c>
      <c r="S254" s="6"/>
    </row>
    <row r="255" customFormat="false" ht="15" hidden="false" customHeight="false" outlineLevel="0" collapsed="false">
      <c r="A255" s="6" t="s">
        <v>504</v>
      </c>
      <c r="B255" s="6" t="s">
        <v>51</v>
      </c>
      <c r="C255" s="6" t="s">
        <v>104</v>
      </c>
      <c r="D255" s="6" t="s">
        <v>159</v>
      </c>
      <c r="E255" s="6" t="n">
        <v>14</v>
      </c>
      <c r="F255" s="7" t="n">
        <v>9.8</v>
      </c>
      <c r="G255" s="7" t="n">
        <v>0</v>
      </c>
      <c r="H255" s="7" t="n">
        <v>25</v>
      </c>
      <c r="I255" s="7" t="n">
        <v>0.6</v>
      </c>
      <c r="J255" s="7" t="n">
        <v>1.2</v>
      </c>
      <c r="K255" s="7" t="n">
        <v>2</v>
      </c>
      <c r="L255" s="6" t="n">
        <v>42</v>
      </c>
      <c r="M255" s="6" t="n">
        <v>20</v>
      </c>
      <c r="N255" s="7" t="n">
        <v>8.5</v>
      </c>
      <c r="O255" s="6" t="s">
        <v>191</v>
      </c>
      <c r="P255" s="6" t="s">
        <v>192</v>
      </c>
      <c r="Q255" s="6" t="s">
        <v>500</v>
      </c>
      <c r="R255" s="6" t="s">
        <v>501</v>
      </c>
      <c r="S255" s="6"/>
    </row>
    <row r="256" customFormat="false" ht="15" hidden="false" customHeight="false" outlineLevel="0" collapsed="false">
      <c r="A256" s="6" t="s">
        <v>505</v>
      </c>
      <c r="B256" s="6" t="s">
        <v>51</v>
      </c>
      <c r="C256" s="6" t="s">
        <v>104</v>
      </c>
      <c r="D256" s="6" t="s">
        <v>159</v>
      </c>
      <c r="E256" s="6" t="n">
        <v>15</v>
      </c>
      <c r="F256" s="7" t="n">
        <v>10.4</v>
      </c>
      <c r="G256" s="7" t="n">
        <v>0</v>
      </c>
      <c r="H256" s="7" t="n">
        <v>25</v>
      </c>
      <c r="I256" s="7" t="n">
        <v>0.6</v>
      </c>
      <c r="J256" s="7" t="n">
        <v>1.2</v>
      </c>
      <c r="K256" s="7" t="n">
        <v>2</v>
      </c>
      <c r="L256" s="6" t="n">
        <v>42</v>
      </c>
      <c r="M256" s="6" t="n">
        <v>20</v>
      </c>
      <c r="N256" s="7" t="n">
        <v>8.5</v>
      </c>
      <c r="O256" s="6" t="s">
        <v>191</v>
      </c>
      <c r="P256" s="6" t="s">
        <v>192</v>
      </c>
      <c r="Q256" s="6" t="s">
        <v>500</v>
      </c>
      <c r="R256" s="6" t="s">
        <v>501</v>
      </c>
      <c r="S256" s="6"/>
    </row>
    <row r="257" customFormat="false" ht="15" hidden="false" customHeight="false" outlineLevel="0" collapsed="false">
      <c r="A257" s="6" t="s">
        <v>506</v>
      </c>
      <c r="B257" s="6" t="s">
        <v>51</v>
      </c>
      <c r="C257" s="6" t="s">
        <v>104</v>
      </c>
      <c r="D257" s="6" t="s">
        <v>159</v>
      </c>
      <c r="E257" s="6" t="n">
        <v>16</v>
      </c>
      <c r="F257" s="7" t="n">
        <v>11</v>
      </c>
      <c r="G257" s="7" t="n">
        <v>0</v>
      </c>
      <c r="H257" s="7" t="n">
        <v>25</v>
      </c>
      <c r="I257" s="7" t="n">
        <v>0.6</v>
      </c>
      <c r="J257" s="7" t="n">
        <v>1.2</v>
      </c>
      <c r="K257" s="7" t="n">
        <v>2</v>
      </c>
      <c r="L257" s="6" t="n">
        <v>42</v>
      </c>
      <c r="M257" s="6" t="n">
        <v>20</v>
      </c>
      <c r="N257" s="7" t="n">
        <v>8.5</v>
      </c>
      <c r="O257" s="6" t="s">
        <v>191</v>
      </c>
      <c r="P257" s="6" t="s">
        <v>192</v>
      </c>
      <c r="Q257" s="6" t="s">
        <v>500</v>
      </c>
      <c r="R257" s="6" t="s">
        <v>501</v>
      </c>
      <c r="S257" s="6"/>
    </row>
    <row r="258" customFormat="false" ht="15" hidden="false" customHeight="false" outlineLevel="0" collapsed="false">
      <c r="A258" s="6" t="s">
        <v>507</v>
      </c>
      <c r="B258" s="6" t="s">
        <v>51</v>
      </c>
      <c r="C258" s="6" t="s">
        <v>104</v>
      </c>
      <c r="D258" s="6" t="s">
        <v>159</v>
      </c>
      <c r="E258" s="6" t="n">
        <v>17</v>
      </c>
      <c r="F258" s="7" t="n">
        <v>11.6</v>
      </c>
      <c r="G258" s="7" t="n">
        <v>0</v>
      </c>
      <c r="H258" s="7" t="n">
        <v>25</v>
      </c>
      <c r="I258" s="7" t="n">
        <v>0.6</v>
      </c>
      <c r="J258" s="7" t="n">
        <v>1.2</v>
      </c>
      <c r="K258" s="7" t="n">
        <v>2</v>
      </c>
      <c r="L258" s="6" t="n">
        <v>42</v>
      </c>
      <c r="M258" s="6" t="n">
        <v>20</v>
      </c>
      <c r="N258" s="7" t="n">
        <v>0</v>
      </c>
      <c r="O258" s="6" t="s">
        <v>215</v>
      </c>
      <c r="P258" s="6"/>
      <c r="Q258" s="6" t="s">
        <v>500</v>
      </c>
      <c r="R258" s="6" t="s">
        <v>501</v>
      </c>
      <c r="S258" s="6"/>
    </row>
    <row r="259" customFormat="false" ht="15" hidden="false" customHeight="false" outlineLevel="0" collapsed="false">
      <c r="A259" s="6" t="s">
        <v>508</v>
      </c>
      <c r="B259" s="6" t="s">
        <v>51</v>
      </c>
      <c r="C259" s="6" t="s">
        <v>104</v>
      </c>
      <c r="D259" s="6" t="s">
        <v>159</v>
      </c>
      <c r="E259" s="6" t="n">
        <v>18</v>
      </c>
      <c r="F259" s="7" t="n">
        <v>12.2</v>
      </c>
      <c r="G259" s="7" t="n">
        <v>0</v>
      </c>
      <c r="H259" s="7" t="n">
        <v>25</v>
      </c>
      <c r="I259" s="7" t="n">
        <v>0.6</v>
      </c>
      <c r="J259" s="7" t="n">
        <v>1.2</v>
      </c>
      <c r="K259" s="7" t="n">
        <v>2</v>
      </c>
      <c r="L259" s="6" t="n">
        <v>42</v>
      </c>
      <c r="M259" s="6" t="n">
        <v>20</v>
      </c>
      <c r="N259" s="7" t="n">
        <v>0</v>
      </c>
      <c r="O259" s="6" t="s">
        <v>215</v>
      </c>
      <c r="P259" s="6"/>
      <c r="Q259" s="6" t="s">
        <v>500</v>
      </c>
      <c r="R259" s="6" t="s">
        <v>501</v>
      </c>
      <c r="S259" s="6"/>
    </row>
    <row r="260" customFormat="false" ht="15" hidden="false" customHeight="false" outlineLevel="0" collapsed="false">
      <c r="A260" s="6" t="s">
        <v>509</v>
      </c>
      <c r="B260" s="6" t="s">
        <v>51</v>
      </c>
      <c r="C260" s="6" t="s">
        <v>104</v>
      </c>
      <c r="D260" s="6" t="s">
        <v>159</v>
      </c>
      <c r="E260" s="6" t="n">
        <v>19</v>
      </c>
      <c r="F260" s="7" t="n">
        <v>12.8</v>
      </c>
      <c r="G260" s="7" t="n">
        <v>0</v>
      </c>
      <c r="H260" s="7" t="n">
        <v>25</v>
      </c>
      <c r="I260" s="7" t="n">
        <v>0.6</v>
      </c>
      <c r="J260" s="7" t="n">
        <v>1.2</v>
      </c>
      <c r="K260" s="7" t="n">
        <v>2</v>
      </c>
      <c r="L260" s="6" t="n">
        <v>42</v>
      </c>
      <c r="M260" s="6" t="n">
        <v>20</v>
      </c>
      <c r="N260" s="7" t="n">
        <v>0</v>
      </c>
      <c r="O260" s="6" t="s">
        <v>215</v>
      </c>
      <c r="P260" s="6"/>
      <c r="Q260" s="6" t="s">
        <v>500</v>
      </c>
      <c r="R260" s="6" t="s">
        <v>501</v>
      </c>
      <c r="S260" s="6"/>
    </row>
    <row r="261" customFormat="false" ht="15" hidden="false" customHeight="false" outlineLevel="0" collapsed="false">
      <c r="A261" s="6" t="s">
        <v>510</v>
      </c>
      <c r="B261" s="6" t="s">
        <v>51</v>
      </c>
      <c r="C261" s="6" t="s">
        <v>104</v>
      </c>
      <c r="D261" s="6" t="s">
        <v>159</v>
      </c>
      <c r="E261" s="6" t="n">
        <v>20</v>
      </c>
      <c r="F261" s="7" t="n">
        <v>13.4</v>
      </c>
      <c r="G261" s="7" t="n">
        <v>0</v>
      </c>
      <c r="H261" s="7" t="n">
        <v>25</v>
      </c>
      <c r="I261" s="7" t="n">
        <v>0.6</v>
      </c>
      <c r="J261" s="7" t="n">
        <v>1.2</v>
      </c>
      <c r="K261" s="7" t="n">
        <v>2</v>
      </c>
      <c r="L261" s="6" t="n">
        <v>42</v>
      </c>
      <c r="M261" s="6" t="n">
        <v>20</v>
      </c>
      <c r="N261" s="7" t="n">
        <v>0</v>
      </c>
      <c r="O261" s="6" t="s">
        <v>215</v>
      </c>
      <c r="P261" s="6"/>
      <c r="Q261" s="6" t="s">
        <v>500</v>
      </c>
      <c r="R261" s="6" t="s">
        <v>501</v>
      </c>
      <c r="S261" s="6"/>
    </row>
    <row r="262" customFormat="false" ht="15" hidden="false" customHeight="false" outlineLevel="0" collapsed="false">
      <c r="A262" s="6" t="s">
        <v>511</v>
      </c>
      <c r="B262" s="6" t="s">
        <v>51</v>
      </c>
      <c r="C262" s="6" t="s">
        <v>104</v>
      </c>
      <c r="D262" s="6" t="s">
        <v>160</v>
      </c>
      <c r="E262" s="6" t="n">
        <v>1</v>
      </c>
      <c r="F262" s="7" t="n">
        <v>2</v>
      </c>
      <c r="G262" s="7" t="n">
        <v>0</v>
      </c>
      <c r="H262" s="7" t="n">
        <v>27.4</v>
      </c>
      <c r="I262" s="7" t="n">
        <v>0.6</v>
      </c>
      <c r="J262" s="7" t="n">
        <v>1.2</v>
      </c>
      <c r="K262" s="7" t="n">
        <v>2</v>
      </c>
      <c r="L262" s="6" t="n">
        <v>42</v>
      </c>
      <c r="M262" s="6" t="n">
        <v>20</v>
      </c>
      <c r="N262" s="7" t="n">
        <v>8.6</v>
      </c>
      <c r="O262" s="6" t="s">
        <v>191</v>
      </c>
      <c r="P262" s="6" t="s">
        <v>242</v>
      </c>
      <c r="Q262" s="6" t="s">
        <v>512</v>
      </c>
      <c r="R262" s="6" t="s">
        <v>513</v>
      </c>
      <c r="S262" s="6"/>
    </row>
    <row r="263" customFormat="false" ht="15" hidden="false" customHeight="false" outlineLevel="0" collapsed="false">
      <c r="A263" s="6" t="s">
        <v>514</v>
      </c>
      <c r="B263" s="6" t="s">
        <v>51</v>
      </c>
      <c r="C263" s="6" t="s">
        <v>104</v>
      </c>
      <c r="D263" s="6" t="s">
        <v>160</v>
      </c>
      <c r="E263" s="6" t="n">
        <v>2</v>
      </c>
      <c r="F263" s="7" t="n">
        <v>2.6</v>
      </c>
      <c r="G263" s="7" t="n">
        <v>0</v>
      </c>
      <c r="H263" s="7" t="n">
        <v>27.4</v>
      </c>
      <c r="I263" s="7" t="n">
        <v>0.6</v>
      </c>
      <c r="J263" s="7" t="n">
        <v>1.2</v>
      </c>
      <c r="K263" s="7" t="n">
        <v>2</v>
      </c>
      <c r="L263" s="6" t="n">
        <v>42</v>
      </c>
      <c r="M263" s="6" t="n">
        <v>20</v>
      </c>
      <c r="N263" s="7" t="n">
        <v>8.6</v>
      </c>
      <c r="O263" s="6" t="s">
        <v>191</v>
      </c>
      <c r="P263" s="6" t="s">
        <v>242</v>
      </c>
      <c r="Q263" s="6" t="s">
        <v>512</v>
      </c>
      <c r="R263" s="6" t="s">
        <v>513</v>
      </c>
      <c r="S263" s="6"/>
    </row>
    <row r="264" customFormat="false" ht="15" hidden="false" customHeight="false" outlineLevel="0" collapsed="false">
      <c r="A264" s="6" t="s">
        <v>515</v>
      </c>
      <c r="B264" s="6" t="s">
        <v>51</v>
      </c>
      <c r="C264" s="6" t="s">
        <v>104</v>
      </c>
      <c r="D264" s="6" t="s">
        <v>160</v>
      </c>
      <c r="E264" s="6" t="n">
        <v>3</v>
      </c>
      <c r="F264" s="7" t="n">
        <v>3.2</v>
      </c>
      <c r="G264" s="7" t="n">
        <v>0</v>
      </c>
      <c r="H264" s="7" t="n">
        <v>27.4</v>
      </c>
      <c r="I264" s="7" t="n">
        <v>0.6</v>
      </c>
      <c r="J264" s="7" t="n">
        <v>1.2</v>
      </c>
      <c r="K264" s="7" t="n">
        <v>2</v>
      </c>
      <c r="L264" s="6" t="n">
        <v>42</v>
      </c>
      <c r="M264" s="6" t="n">
        <v>20</v>
      </c>
      <c r="N264" s="7" t="n">
        <v>8.6</v>
      </c>
      <c r="O264" s="6" t="s">
        <v>191</v>
      </c>
      <c r="P264" s="6" t="s">
        <v>242</v>
      </c>
      <c r="Q264" s="6" t="s">
        <v>512</v>
      </c>
      <c r="R264" s="6" t="s">
        <v>513</v>
      </c>
      <c r="S264" s="6"/>
    </row>
    <row r="265" customFormat="false" ht="15" hidden="false" customHeight="false" outlineLevel="0" collapsed="false">
      <c r="A265" s="6" t="s">
        <v>516</v>
      </c>
      <c r="B265" s="6" t="s">
        <v>51</v>
      </c>
      <c r="C265" s="6" t="s">
        <v>104</v>
      </c>
      <c r="D265" s="6" t="s">
        <v>160</v>
      </c>
      <c r="E265" s="6" t="n">
        <v>4</v>
      </c>
      <c r="F265" s="7" t="n">
        <v>3.8</v>
      </c>
      <c r="G265" s="7" t="n">
        <v>0</v>
      </c>
      <c r="H265" s="7" t="n">
        <v>27.4</v>
      </c>
      <c r="I265" s="7" t="n">
        <v>0.6</v>
      </c>
      <c r="J265" s="7" t="n">
        <v>1.2</v>
      </c>
      <c r="K265" s="7" t="n">
        <v>2</v>
      </c>
      <c r="L265" s="6" t="n">
        <v>42</v>
      </c>
      <c r="M265" s="6" t="n">
        <v>20</v>
      </c>
      <c r="N265" s="7" t="n">
        <v>8.6</v>
      </c>
      <c r="O265" s="6" t="s">
        <v>191</v>
      </c>
      <c r="P265" s="6" t="s">
        <v>242</v>
      </c>
      <c r="Q265" s="6" t="s">
        <v>512</v>
      </c>
      <c r="R265" s="6" t="s">
        <v>513</v>
      </c>
      <c r="S265" s="6"/>
    </row>
    <row r="266" customFormat="false" ht="15" hidden="false" customHeight="false" outlineLevel="0" collapsed="false">
      <c r="A266" s="6" t="s">
        <v>517</v>
      </c>
      <c r="B266" s="6" t="s">
        <v>51</v>
      </c>
      <c r="C266" s="6" t="s">
        <v>104</v>
      </c>
      <c r="D266" s="6" t="s">
        <v>160</v>
      </c>
      <c r="E266" s="6" t="n">
        <v>5</v>
      </c>
      <c r="F266" s="7" t="n">
        <v>4.4</v>
      </c>
      <c r="G266" s="7" t="n">
        <v>0</v>
      </c>
      <c r="H266" s="7" t="n">
        <v>27.4</v>
      </c>
      <c r="I266" s="7" t="n">
        <v>0.6</v>
      </c>
      <c r="J266" s="7" t="n">
        <v>1.2</v>
      </c>
      <c r="K266" s="7" t="n">
        <v>2</v>
      </c>
      <c r="L266" s="6" t="n">
        <v>42</v>
      </c>
      <c r="M266" s="6" t="n">
        <v>20</v>
      </c>
      <c r="N266" s="7" t="n">
        <v>8.6</v>
      </c>
      <c r="O266" s="6" t="s">
        <v>191</v>
      </c>
      <c r="P266" s="6" t="s">
        <v>242</v>
      </c>
      <c r="Q266" s="6" t="s">
        <v>512</v>
      </c>
      <c r="R266" s="6" t="s">
        <v>513</v>
      </c>
      <c r="S266" s="6"/>
    </row>
    <row r="267" customFormat="false" ht="15" hidden="false" customHeight="false" outlineLevel="0" collapsed="false">
      <c r="A267" s="6" t="s">
        <v>518</v>
      </c>
      <c r="B267" s="6" t="s">
        <v>51</v>
      </c>
      <c r="C267" s="6" t="s">
        <v>104</v>
      </c>
      <c r="D267" s="6" t="s">
        <v>160</v>
      </c>
      <c r="E267" s="6" t="n">
        <v>6</v>
      </c>
      <c r="F267" s="7" t="n">
        <v>5</v>
      </c>
      <c r="G267" s="7" t="n">
        <v>0</v>
      </c>
      <c r="H267" s="7" t="n">
        <v>27.4</v>
      </c>
      <c r="I267" s="7" t="n">
        <v>0.6</v>
      </c>
      <c r="J267" s="7" t="n">
        <v>1.2</v>
      </c>
      <c r="K267" s="7" t="n">
        <v>2</v>
      </c>
      <c r="L267" s="6" t="n">
        <v>42</v>
      </c>
      <c r="M267" s="6" t="n">
        <v>20</v>
      </c>
      <c r="N267" s="7" t="n">
        <v>8.6</v>
      </c>
      <c r="O267" s="6" t="s">
        <v>191</v>
      </c>
      <c r="P267" s="6" t="s">
        <v>242</v>
      </c>
      <c r="Q267" s="6" t="s">
        <v>512</v>
      </c>
      <c r="R267" s="6" t="s">
        <v>513</v>
      </c>
      <c r="S267" s="6"/>
    </row>
    <row r="268" customFormat="false" ht="15" hidden="false" customHeight="false" outlineLevel="0" collapsed="false">
      <c r="A268" s="6" t="s">
        <v>519</v>
      </c>
      <c r="B268" s="6" t="s">
        <v>51</v>
      </c>
      <c r="C268" s="6" t="s">
        <v>104</v>
      </c>
      <c r="D268" s="6" t="s">
        <v>160</v>
      </c>
      <c r="E268" s="6" t="n">
        <v>7</v>
      </c>
      <c r="F268" s="7" t="n">
        <v>5.6</v>
      </c>
      <c r="G268" s="7" t="n">
        <v>0</v>
      </c>
      <c r="H268" s="7" t="n">
        <v>27.4</v>
      </c>
      <c r="I268" s="7" t="n">
        <v>0.6</v>
      </c>
      <c r="J268" s="7" t="n">
        <v>1.2</v>
      </c>
      <c r="K268" s="7" t="n">
        <v>2</v>
      </c>
      <c r="L268" s="6" t="n">
        <v>42</v>
      </c>
      <c r="M268" s="6" t="n">
        <v>20</v>
      </c>
      <c r="N268" s="7" t="n">
        <v>8.6</v>
      </c>
      <c r="O268" s="6" t="s">
        <v>191</v>
      </c>
      <c r="P268" s="6" t="s">
        <v>242</v>
      </c>
      <c r="Q268" s="6" t="s">
        <v>512</v>
      </c>
      <c r="R268" s="6" t="s">
        <v>513</v>
      </c>
      <c r="S268" s="6"/>
    </row>
    <row r="269" customFormat="false" ht="15" hidden="false" customHeight="false" outlineLevel="0" collapsed="false">
      <c r="A269" s="6" t="s">
        <v>520</v>
      </c>
      <c r="B269" s="6" t="s">
        <v>51</v>
      </c>
      <c r="C269" s="6" t="s">
        <v>104</v>
      </c>
      <c r="D269" s="6" t="s">
        <v>160</v>
      </c>
      <c r="E269" s="6" t="n">
        <v>8</v>
      </c>
      <c r="F269" s="7" t="n">
        <v>6.2</v>
      </c>
      <c r="G269" s="7" t="n">
        <v>0</v>
      </c>
      <c r="H269" s="7" t="n">
        <v>27.4</v>
      </c>
      <c r="I269" s="7" t="n">
        <v>0.6</v>
      </c>
      <c r="J269" s="7" t="n">
        <v>1.2</v>
      </c>
      <c r="K269" s="7" t="n">
        <v>2</v>
      </c>
      <c r="L269" s="6" t="n">
        <v>42</v>
      </c>
      <c r="M269" s="6" t="n">
        <v>20</v>
      </c>
      <c r="N269" s="7" t="n">
        <v>8.6</v>
      </c>
      <c r="O269" s="6" t="s">
        <v>191</v>
      </c>
      <c r="P269" s="6" t="s">
        <v>242</v>
      </c>
      <c r="Q269" s="6" t="s">
        <v>512</v>
      </c>
      <c r="R269" s="6" t="s">
        <v>513</v>
      </c>
      <c r="S269" s="6"/>
    </row>
    <row r="270" customFormat="false" ht="15" hidden="false" customHeight="false" outlineLevel="0" collapsed="false">
      <c r="A270" s="6" t="s">
        <v>521</v>
      </c>
      <c r="B270" s="6" t="s">
        <v>51</v>
      </c>
      <c r="C270" s="6" t="s">
        <v>104</v>
      </c>
      <c r="D270" s="6" t="s">
        <v>160</v>
      </c>
      <c r="E270" s="6" t="n">
        <v>9</v>
      </c>
      <c r="F270" s="7" t="n">
        <v>6.8</v>
      </c>
      <c r="G270" s="7" t="n">
        <v>0</v>
      </c>
      <c r="H270" s="7" t="n">
        <v>27.4</v>
      </c>
      <c r="I270" s="7" t="n">
        <v>0.6</v>
      </c>
      <c r="J270" s="7" t="n">
        <v>1.2</v>
      </c>
      <c r="K270" s="7" t="n">
        <v>2</v>
      </c>
      <c r="L270" s="6" t="n">
        <v>42</v>
      </c>
      <c r="M270" s="6" t="n">
        <v>20</v>
      </c>
      <c r="N270" s="7" t="n">
        <v>8.6</v>
      </c>
      <c r="O270" s="6" t="s">
        <v>191</v>
      </c>
      <c r="P270" s="6" t="s">
        <v>242</v>
      </c>
      <c r="Q270" s="6" t="s">
        <v>512</v>
      </c>
      <c r="R270" s="6" t="s">
        <v>513</v>
      </c>
      <c r="S270" s="6"/>
    </row>
    <row r="271" customFormat="false" ht="15" hidden="false" customHeight="false" outlineLevel="0" collapsed="false">
      <c r="A271" s="6" t="s">
        <v>522</v>
      </c>
      <c r="B271" s="6" t="s">
        <v>51</v>
      </c>
      <c r="C271" s="6" t="s">
        <v>104</v>
      </c>
      <c r="D271" s="6" t="s">
        <v>160</v>
      </c>
      <c r="E271" s="6" t="n">
        <v>10</v>
      </c>
      <c r="F271" s="7" t="n">
        <v>7.4</v>
      </c>
      <c r="G271" s="7" t="n">
        <v>0</v>
      </c>
      <c r="H271" s="7" t="n">
        <v>27.4</v>
      </c>
      <c r="I271" s="7" t="n">
        <v>0.6</v>
      </c>
      <c r="J271" s="7" t="n">
        <v>1.2</v>
      </c>
      <c r="K271" s="7" t="n">
        <v>2</v>
      </c>
      <c r="L271" s="6" t="n">
        <v>42</v>
      </c>
      <c r="M271" s="6" t="n">
        <v>20</v>
      </c>
      <c r="N271" s="7" t="n">
        <v>8.6</v>
      </c>
      <c r="O271" s="6" t="s">
        <v>191</v>
      </c>
      <c r="P271" s="6" t="s">
        <v>242</v>
      </c>
      <c r="Q271" s="6" t="s">
        <v>512</v>
      </c>
      <c r="R271" s="6" t="s">
        <v>513</v>
      </c>
      <c r="S271" s="6"/>
    </row>
    <row r="272" customFormat="false" ht="15" hidden="false" customHeight="false" outlineLevel="0" collapsed="false">
      <c r="A272" s="6" t="s">
        <v>523</v>
      </c>
      <c r="B272" s="6" t="s">
        <v>51</v>
      </c>
      <c r="C272" s="6" t="s">
        <v>104</v>
      </c>
      <c r="D272" s="6" t="s">
        <v>160</v>
      </c>
      <c r="E272" s="6" t="n">
        <v>11</v>
      </c>
      <c r="F272" s="7" t="n">
        <v>8</v>
      </c>
      <c r="G272" s="7" t="n">
        <v>0</v>
      </c>
      <c r="H272" s="7" t="n">
        <v>27.4</v>
      </c>
      <c r="I272" s="7" t="n">
        <v>0.6</v>
      </c>
      <c r="J272" s="7" t="n">
        <v>1.2</v>
      </c>
      <c r="K272" s="7" t="n">
        <v>2</v>
      </c>
      <c r="L272" s="6" t="n">
        <v>42</v>
      </c>
      <c r="M272" s="6" t="n">
        <v>20</v>
      </c>
      <c r="N272" s="7" t="n">
        <v>8.6</v>
      </c>
      <c r="O272" s="6" t="s">
        <v>191</v>
      </c>
      <c r="P272" s="6" t="s">
        <v>242</v>
      </c>
      <c r="Q272" s="6" t="s">
        <v>524</v>
      </c>
      <c r="R272" s="6" t="s">
        <v>525</v>
      </c>
      <c r="S272" s="6"/>
    </row>
    <row r="273" customFormat="false" ht="15" hidden="false" customHeight="false" outlineLevel="0" collapsed="false">
      <c r="A273" s="6" t="s">
        <v>526</v>
      </c>
      <c r="B273" s="6" t="s">
        <v>51</v>
      </c>
      <c r="C273" s="6" t="s">
        <v>104</v>
      </c>
      <c r="D273" s="6" t="s">
        <v>160</v>
      </c>
      <c r="E273" s="6" t="n">
        <v>12</v>
      </c>
      <c r="F273" s="7" t="n">
        <v>8.6</v>
      </c>
      <c r="G273" s="7" t="n">
        <v>0</v>
      </c>
      <c r="H273" s="7" t="n">
        <v>27.4</v>
      </c>
      <c r="I273" s="7" t="n">
        <v>0.6</v>
      </c>
      <c r="J273" s="7" t="n">
        <v>1.2</v>
      </c>
      <c r="K273" s="7" t="n">
        <v>2</v>
      </c>
      <c r="L273" s="6" t="n">
        <v>42</v>
      </c>
      <c r="M273" s="6" t="n">
        <v>20</v>
      </c>
      <c r="N273" s="7" t="n">
        <v>8.6</v>
      </c>
      <c r="O273" s="6" t="s">
        <v>191</v>
      </c>
      <c r="P273" s="6" t="s">
        <v>242</v>
      </c>
      <c r="Q273" s="6" t="s">
        <v>524</v>
      </c>
      <c r="R273" s="6" t="s">
        <v>525</v>
      </c>
      <c r="S273" s="6"/>
    </row>
    <row r="274" customFormat="false" ht="15" hidden="false" customHeight="false" outlineLevel="0" collapsed="false">
      <c r="A274" s="6" t="s">
        <v>527</v>
      </c>
      <c r="B274" s="6" t="s">
        <v>51</v>
      </c>
      <c r="C274" s="6" t="s">
        <v>104</v>
      </c>
      <c r="D274" s="6" t="s">
        <v>160</v>
      </c>
      <c r="E274" s="6" t="n">
        <v>13</v>
      </c>
      <c r="F274" s="7" t="n">
        <v>9.2</v>
      </c>
      <c r="G274" s="7" t="n">
        <v>0</v>
      </c>
      <c r="H274" s="7" t="n">
        <v>27.4</v>
      </c>
      <c r="I274" s="7" t="n">
        <v>0.6</v>
      </c>
      <c r="J274" s="7" t="n">
        <v>1.2</v>
      </c>
      <c r="K274" s="7" t="n">
        <v>2</v>
      </c>
      <c r="L274" s="6" t="n">
        <v>42</v>
      </c>
      <c r="M274" s="6" t="n">
        <v>20</v>
      </c>
      <c r="N274" s="7" t="n">
        <v>8.6</v>
      </c>
      <c r="O274" s="6" t="s">
        <v>191</v>
      </c>
      <c r="P274" s="6" t="s">
        <v>242</v>
      </c>
      <c r="Q274" s="6" t="s">
        <v>524</v>
      </c>
      <c r="R274" s="6" t="s">
        <v>525</v>
      </c>
      <c r="S274" s="6"/>
    </row>
    <row r="275" customFormat="false" ht="15" hidden="false" customHeight="false" outlineLevel="0" collapsed="false">
      <c r="A275" s="6" t="s">
        <v>528</v>
      </c>
      <c r="B275" s="6" t="s">
        <v>51</v>
      </c>
      <c r="C275" s="6" t="s">
        <v>104</v>
      </c>
      <c r="D275" s="6" t="s">
        <v>160</v>
      </c>
      <c r="E275" s="6" t="n">
        <v>14</v>
      </c>
      <c r="F275" s="7" t="n">
        <v>9.8</v>
      </c>
      <c r="G275" s="7" t="n">
        <v>0</v>
      </c>
      <c r="H275" s="7" t="n">
        <v>27.4</v>
      </c>
      <c r="I275" s="7" t="n">
        <v>0.6</v>
      </c>
      <c r="J275" s="7" t="n">
        <v>1.2</v>
      </c>
      <c r="K275" s="7" t="n">
        <v>2</v>
      </c>
      <c r="L275" s="6" t="n">
        <v>42</v>
      </c>
      <c r="M275" s="6" t="n">
        <v>20</v>
      </c>
      <c r="N275" s="7" t="n">
        <v>8.6</v>
      </c>
      <c r="O275" s="6" t="s">
        <v>191</v>
      </c>
      <c r="P275" s="6" t="s">
        <v>242</v>
      </c>
      <c r="Q275" s="6" t="s">
        <v>524</v>
      </c>
      <c r="R275" s="6" t="s">
        <v>525</v>
      </c>
      <c r="S275" s="6"/>
    </row>
    <row r="276" customFormat="false" ht="15" hidden="false" customHeight="false" outlineLevel="0" collapsed="false">
      <c r="A276" s="6" t="s">
        <v>529</v>
      </c>
      <c r="B276" s="6" t="s">
        <v>51</v>
      </c>
      <c r="C276" s="6" t="s">
        <v>104</v>
      </c>
      <c r="D276" s="6" t="s">
        <v>160</v>
      </c>
      <c r="E276" s="6" t="n">
        <v>15</v>
      </c>
      <c r="F276" s="7" t="n">
        <v>10.4</v>
      </c>
      <c r="G276" s="7" t="n">
        <v>0</v>
      </c>
      <c r="H276" s="7" t="n">
        <v>27.4</v>
      </c>
      <c r="I276" s="7" t="n">
        <v>0.6</v>
      </c>
      <c r="J276" s="7" t="n">
        <v>1.2</v>
      </c>
      <c r="K276" s="7" t="n">
        <v>2</v>
      </c>
      <c r="L276" s="6" t="n">
        <v>42</v>
      </c>
      <c r="M276" s="6" t="n">
        <v>20</v>
      </c>
      <c r="N276" s="7" t="n">
        <v>8.6</v>
      </c>
      <c r="O276" s="6" t="s">
        <v>191</v>
      </c>
      <c r="P276" s="6" t="s">
        <v>242</v>
      </c>
      <c r="Q276" s="6" t="s">
        <v>524</v>
      </c>
      <c r="R276" s="6" t="s">
        <v>525</v>
      </c>
      <c r="S276" s="6"/>
    </row>
    <row r="277" customFormat="false" ht="15" hidden="false" customHeight="false" outlineLevel="0" collapsed="false">
      <c r="A277" s="6" t="s">
        <v>530</v>
      </c>
      <c r="B277" s="6" t="s">
        <v>51</v>
      </c>
      <c r="C277" s="6" t="s">
        <v>104</v>
      </c>
      <c r="D277" s="6" t="s">
        <v>160</v>
      </c>
      <c r="E277" s="6" t="n">
        <v>16</v>
      </c>
      <c r="F277" s="7" t="n">
        <v>11</v>
      </c>
      <c r="G277" s="7" t="n">
        <v>0</v>
      </c>
      <c r="H277" s="7" t="n">
        <v>27.4</v>
      </c>
      <c r="I277" s="7" t="n">
        <v>0.6</v>
      </c>
      <c r="J277" s="7" t="n">
        <v>1.2</v>
      </c>
      <c r="K277" s="7" t="n">
        <v>2</v>
      </c>
      <c r="L277" s="6" t="n">
        <v>42</v>
      </c>
      <c r="M277" s="6" t="n">
        <v>20</v>
      </c>
      <c r="N277" s="7" t="n">
        <v>0</v>
      </c>
      <c r="O277" s="6" t="s">
        <v>215</v>
      </c>
      <c r="P277" s="6"/>
      <c r="Q277" s="6" t="s">
        <v>524</v>
      </c>
      <c r="R277" s="6" t="s">
        <v>525</v>
      </c>
      <c r="S277" s="6"/>
    </row>
    <row r="278" customFormat="false" ht="15" hidden="false" customHeight="false" outlineLevel="0" collapsed="false">
      <c r="A278" s="6" t="s">
        <v>531</v>
      </c>
      <c r="B278" s="6" t="s">
        <v>51</v>
      </c>
      <c r="C278" s="6" t="s">
        <v>104</v>
      </c>
      <c r="D278" s="6" t="s">
        <v>160</v>
      </c>
      <c r="E278" s="6" t="n">
        <v>17</v>
      </c>
      <c r="F278" s="7" t="n">
        <v>11.6</v>
      </c>
      <c r="G278" s="7" t="n">
        <v>0</v>
      </c>
      <c r="H278" s="7" t="n">
        <v>27.4</v>
      </c>
      <c r="I278" s="7" t="n">
        <v>0.6</v>
      </c>
      <c r="J278" s="7" t="n">
        <v>1.2</v>
      </c>
      <c r="K278" s="7" t="n">
        <v>2</v>
      </c>
      <c r="L278" s="6" t="n">
        <v>42</v>
      </c>
      <c r="M278" s="6" t="n">
        <v>20</v>
      </c>
      <c r="N278" s="7" t="n">
        <v>0</v>
      </c>
      <c r="O278" s="6" t="s">
        <v>215</v>
      </c>
      <c r="P278" s="6"/>
      <c r="Q278" s="6" t="s">
        <v>524</v>
      </c>
      <c r="R278" s="6" t="s">
        <v>525</v>
      </c>
      <c r="S278" s="6"/>
    </row>
    <row r="279" customFormat="false" ht="15" hidden="false" customHeight="false" outlineLevel="0" collapsed="false">
      <c r="A279" s="6" t="s">
        <v>532</v>
      </c>
      <c r="B279" s="6" t="s">
        <v>51</v>
      </c>
      <c r="C279" s="6" t="s">
        <v>104</v>
      </c>
      <c r="D279" s="6" t="s">
        <v>160</v>
      </c>
      <c r="E279" s="6" t="n">
        <v>18</v>
      </c>
      <c r="F279" s="7" t="n">
        <v>12.2</v>
      </c>
      <c r="G279" s="7" t="n">
        <v>0</v>
      </c>
      <c r="H279" s="7" t="n">
        <v>27.4</v>
      </c>
      <c r="I279" s="7" t="n">
        <v>0.6</v>
      </c>
      <c r="J279" s="7" t="n">
        <v>1.2</v>
      </c>
      <c r="K279" s="7" t="n">
        <v>2</v>
      </c>
      <c r="L279" s="6" t="n">
        <v>42</v>
      </c>
      <c r="M279" s="6" t="n">
        <v>20</v>
      </c>
      <c r="N279" s="7" t="n">
        <v>0</v>
      </c>
      <c r="O279" s="6" t="s">
        <v>215</v>
      </c>
      <c r="P279" s="6"/>
      <c r="Q279" s="6" t="s">
        <v>524</v>
      </c>
      <c r="R279" s="6" t="s">
        <v>525</v>
      </c>
      <c r="S279" s="6"/>
    </row>
    <row r="280" customFormat="false" ht="15" hidden="false" customHeight="false" outlineLevel="0" collapsed="false">
      <c r="A280" s="6" t="s">
        <v>533</v>
      </c>
      <c r="B280" s="6" t="s">
        <v>51</v>
      </c>
      <c r="C280" s="6" t="s">
        <v>104</v>
      </c>
      <c r="D280" s="6" t="s">
        <v>160</v>
      </c>
      <c r="E280" s="6" t="n">
        <v>19</v>
      </c>
      <c r="F280" s="7" t="n">
        <v>12.8</v>
      </c>
      <c r="G280" s="7" t="n">
        <v>0</v>
      </c>
      <c r="H280" s="7" t="n">
        <v>27.4</v>
      </c>
      <c r="I280" s="7" t="n">
        <v>0.6</v>
      </c>
      <c r="J280" s="7" t="n">
        <v>1.2</v>
      </c>
      <c r="K280" s="7" t="n">
        <v>2</v>
      </c>
      <c r="L280" s="6" t="n">
        <v>42</v>
      </c>
      <c r="M280" s="6" t="n">
        <v>20</v>
      </c>
      <c r="N280" s="7" t="n">
        <v>0</v>
      </c>
      <c r="O280" s="6" t="s">
        <v>215</v>
      </c>
      <c r="P280" s="6"/>
      <c r="Q280" s="6" t="s">
        <v>524</v>
      </c>
      <c r="R280" s="6" t="s">
        <v>525</v>
      </c>
      <c r="S280" s="6"/>
    </row>
    <row r="281" customFormat="false" ht="15" hidden="false" customHeight="false" outlineLevel="0" collapsed="false">
      <c r="A281" s="6" t="s">
        <v>534</v>
      </c>
      <c r="B281" s="6" t="s">
        <v>51</v>
      </c>
      <c r="C281" s="6" t="s">
        <v>104</v>
      </c>
      <c r="D281" s="6" t="s">
        <v>160</v>
      </c>
      <c r="E281" s="6" t="n">
        <v>20</v>
      </c>
      <c r="F281" s="7" t="n">
        <v>13.4</v>
      </c>
      <c r="G281" s="7" t="n">
        <v>0</v>
      </c>
      <c r="H281" s="7" t="n">
        <v>27.4</v>
      </c>
      <c r="I281" s="7" t="n">
        <v>0.6</v>
      </c>
      <c r="J281" s="7" t="n">
        <v>1.2</v>
      </c>
      <c r="K281" s="7" t="n">
        <v>2</v>
      </c>
      <c r="L281" s="6" t="n">
        <v>42</v>
      </c>
      <c r="M281" s="6" t="n">
        <v>20</v>
      </c>
      <c r="N281" s="7" t="n">
        <v>0</v>
      </c>
      <c r="O281" s="6" t="s">
        <v>215</v>
      </c>
      <c r="P281" s="6"/>
      <c r="Q281" s="6" t="s">
        <v>524</v>
      </c>
      <c r="R281" s="6" t="s">
        <v>525</v>
      </c>
      <c r="S281" s="6"/>
    </row>
    <row r="282" customFormat="false" ht="15" hidden="false" customHeight="false" outlineLevel="0" collapsed="false">
      <c r="A282" s="6" t="s">
        <v>535</v>
      </c>
      <c r="B282" s="6" t="s">
        <v>51</v>
      </c>
      <c r="C282" s="6" t="s">
        <v>104</v>
      </c>
      <c r="D282" s="6" t="s">
        <v>161</v>
      </c>
      <c r="E282" s="6" t="n">
        <v>1</v>
      </c>
      <c r="F282" s="7" t="n">
        <v>2</v>
      </c>
      <c r="G282" s="7" t="n">
        <v>0</v>
      </c>
      <c r="H282" s="7" t="n">
        <v>29.8</v>
      </c>
      <c r="I282" s="7" t="n">
        <v>0.6</v>
      </c>
      <c r="J282" s="7" t="n">
        <v>1.2</v>
      </c>
      <c r="K282" s="7" t="n">
        <v>2</v>
      </c>
      <c r="L282" s="6" t="n">
        <v>42</v>
      </c>
      <c r="M282" s="6" t="n">
        <v>20</v>
      </c>
      <c r="N282" s="7" t="n">
        <v>8.8</v>
      </c>
      <c r="O282" s="6" t="s">
        <v>191</v>
      </c>
      <c r="P282" s="6" t="s">
        <v>293</v>
      </c>
      <c r="Q282" s="6" t="s">
        <v>536</v>
      </c>
      <c r="R282" s="6" t="s">
        <v>537</v>
      </c>
      <c r="S282" s="6"/>
    </row>
    <row r="283" customFormat="false" ht="15" hidden="false" customHeight="false" outlineLevel="0" collapsed="false">
      <c r="A283" s="6" t="s">
        <v>538</v>
      </c>
      <c r="B283" s="6" t="s">
        <v>51</v>
      </c>
      <c r="C283" s="6" t="s">
        <v>104</v>
      </c>
      <c r="D283" s="6" t="s">
        <v>161</v>
      </c>
      <c r="E283" s="6" t="n">
        <v>2</v>
      </c>
      <c r="F283" s="7" t="n">
        <v>2.6</v>
      </c>
      <c r="G283" s="7" t="n">
        <v>0</v>
      </c>
      <c r="H283" s="7" t="n">
        <v>29.8</v>
      </c>
      <c r="I283" s="7" t="n">
        <v>0.6</v>
      </c>
      <c r="J283" s="7" t="n">
        <v>1.2</v>
      </c>
      <c r="K283" s="7" t="n">
        <v>2</v>
      </c>
      <c r="L283" s="6" t="n">
        <v>42</v>
      </c>
      <c r="M283" s="6" t="n">
        <v>20</v>
      </c>
      <c r="N283" s="7" t="n">
        <v>8.8</v>
      </c>
      <c r="O283" s="6" t="s">
        <v>191</v>
      </c>
      <c r="P283" s="6" t="s">
        <v>293</v>
      </c>
      <c r="Q283" s="6" t="s">
        <v>536</v>
      </c>
      <c r="R283" s="6" t="s">
        <v>537</v>
      </c>
      <c r="S283" s="6"/>
    </row>
    <row r="284" customFormat="false" ht="15" hidden="false" customHeight="false" outlineLevel="0" collapsed="false">
      <c r="A284" s="6" t="s">
        <v>539</v>
      </c>
      <c r="B284" s="6" t="s">
        <v>51</v>
      </c>
      <c r="C284" s="6" t="s">
        <v>104</v>
      </c>
      <c r="D284" s="6" t="s">
        <v>161</v>
      </c>
      <c r="E284" s="6" t="n">
        <v>3</v>
      </c>
      <c r="F284" s="7" t="n">
        <v>3.2</v>
      </c>
      <c r="G284" s="7" t="n">
        <v>0</v>
      </c>
      <c r="H284" s="7" t="n">
        <v>29.8</v>
      </c>
      <c r="I284" s="7" t="n">
        <v>0.6</v>
      </c>
      <c r="J284" s="7" t="n">
        <v>1.2</v>
      </c>
      <c r="K284" s="7" t="n">
        <v>2</v>
      </c>
      <c r="L284" s="6" t="n">
        <v>42</v>
      </c>
      <c r="M284" s="6" t="n">
        <v>20</v>
      </c>
      <c r="N284" s="7" t="n">
        <v>8.8</v>
      </c>
      <c r="O284" s="6" t="s">
        <v>191</v>
      </c>
      <c r="P284" s="6" t="s">
        <v>293</v>
      </c>
      <c r="Q284" s="6" t="s">
        <v>536</v>
      </c>
      <c r="R284" s="6" t="s">
        <v>537</v>
      </c>
      <c r="S284" s="6"/>
    </row>
    <row r="285" customFormat="false" ht="15" hidden="false" customHeight="false" outlineLevel="0" collapsed="false">
      <c r="A285" s="6" t="s">
        <v>540</v>
      </c>
      <c r="B285" s="6" t="s">
        <v>51</v>
      </c>
      <c r="C285" s="6" t="s">
        <v>104</v>
      </c>
      <c r="D285" s="6" t="s">
        <v>161</v>
      </c>
      <c r="E285" s="6" t="n">
        <v>4</v>
      </c>
      <c r="F285" s="7" t="n">
        <v>3.8</v>
      </c>
      <c r="G285" s="7" t="n">
        <v>0</v>
      </c>
      <c r="H285" s="7" t="n">
        <v>29.8</v>
      </c>
      <c r="I285" s="7" t="n">
        <v>0.6</v>
      </c>
      <c r="J285" s="7" t="n">
        <v>1.2</v>
      </c>
      <c r="K285" s="7" t="n">
        <v>2</v>
      </c>
      <c r="L285" s="6" t="n">
        <v>42</v>
      </c>
      <c r="M285" s="6" t="n">
        <v>20</v>
      </c>
      <c r="N285" s="7" t="n">
        <v>8.8</v>
      </c>
      <c r="O285" s="6" t="s">
        <v>191</v>
      </c>
      <c r="P285" s="6" t="s">
        <v>293</v>
      </c>
      <c r="Q285" s="6" t="s">
        <v>536</v>
      </c>
      <c r="R285" s="6" t="s">
        <v>537</v>
      </c>
      <c r="S285" s="6"/>
    </row>
    <row r="286" customFormat="false" ht="15" hidden="false" customHeight="false" outlineLevel="0" collapsed="false">
      <c r="A286" s="6" t="s">
        <v>541</v>
      </c>
      <c r="B286" s="6" t="s">
        <v>51</v>
      </c>
      <c r="C286" s="6" t="s">
        <v>104</v>
      </c>
      <c r="D286" s="6" t="s">
        <v>161</v>
      </c>
      <c r="E286" s="6" t="n">
        <v>5</v>
      </c>
      <c r="F286" s="7" t="n">
        <v>4.4</v>
      </c>
      <c r="G286" s="7" t="n">
        <v>0</v>
      </c>
      <c r="H286" s="7" t="n">
        <v>29.8</v>
      </c>
      <c r="I286" s="7" t="n">
        <v>0.6</v>
      </c>
      <c r="J286" s="7" t="n">
        <v>1.2</v>
      </c>
      <c r="K286" s="7" t="n">
        <v>2</v>
      </c>
      <c r="L286" s="6" t="n">
        <v>42</v>
      </c>
      <c r="M286" s="6" t="n">
        <v>20</v>
      </c>
      <c r="N286" s="7" t="n">
        <v>8.8</v>
      </c>
      <c r="O286" s="6" t="s">
        <v>191</v>
      </c>
      <c r="P286" s="6" t="s">
        <v>293</v>
      </c>
      <c r="Q286" s="6" t="s">
        <v>536</v>
      </c>
      <c r="R286" s="6" t="s">
        <v>537</v>
      </c>
      <c r="S286" s="6"/>
    </row>
    <row r="287" customFormat="false" ht="15" hidden="false" customHeight="false" outlineLevel="0" collapsed="false">
      <c r="A287" s="6" t="s">
        <v>542</v>
      </c>
      <c r="B287" s="6" t="s">
        <v>51</v>
      </c>
      <c r="C287" s="6" t="s">
        <v>104</v>
      </c>
      <c r="D287" s="6" t="s">
        <v>161</v>
      </c>
      <c r="E287" s="6" t="n">
        <v>6</v>
      </c>
      <c r="F287" s="7" t="n">
        <v>5</v>
      </c>
      <c r="G287" s="7" t="n">
        <v>0</v>
      </c>
      <c r="H287" s="7" t="n">
        <v>29.8</v>
      </c>
      <c r="I287" s="7" t="n">
        <v>0.6</v>
      </c>
      <c r="J287" s="7" t="n">
        <v>1.2</v>
      </c>
      <c r="K287" s="7" t="n">
        <v>2</v>
      </c>
      <c r="L287" s="6" t="n">
        <v>42</v>
      </c>
      <c r="M287" s="6" t="n">
        <v>20</v>
      </c>
      <c r="N287" s="7" t="n">
        <v>8.8</v>
      </c>
      <c r="O287" s="6" t="s">
        <v>191</v>
      </c>
      <c r="P287" s="6" t="s">
        <v>293</v>
      </c>
      <c r="Q287" s="6" t="s">
        <v>536</v>
      </c>
      <c r="R287" s="6" t="s">
        <v>537</v>
      </c>
      <c r="S287" s="6"/>
    </row>
    <row r="288" customFormat="false" ht="15" hidden="false" customHeight="false" outlineLevel="0" collapsed="false">
      <c r="A288" s="6" t="s">
        <v>543</v>
      </c>
      <c r="B288" s="6" t="s">
        <v>51</v>
      </c>
      <c r="C288" s="6" t="s">
        <v>104</v>
      </c>
      <c r="D288" s="6" t="s">
        <v>161</v>
      </c>
      <c r="E288" s="6" t="n">
        <v>7</v>
      </c>
      <c r="F288" s="7" t="n">
        <v>5.6</v>
      </c>
      <c r="G288" s="7" t="n">
        <v>0</v>
      </c>
      <c r="H288" s="7" t="n">
        <v>29.8</v>
      </c>
      <c r="I288" s="7" t="n">
        <v>0.6</v>
      </c>
      <c r="J288" s="7" t="n">
        <v>1.2</v>
      </c>
      <c r="K288" s="7" t="n">
        <v>2</v>
      </c>
      <c r="L288" s="6" t="n">
        <v>42</v>
      </c>
      <c r="M288" s="6" t="n">
        <v>20</v>
      </c>
      <c r="N288" s="7" t="n">
        <v>8.8</v>
      </c>
      <c r="O288" s="6" t="s">
        <v>191</v>
      </c>
      <c r="P288" s="6" t="s">
        <v>293</v>
      </c>
      <c r="Q288" s="6" t="s">
        <v>536</v>
      </c>
      <c r="R288" s="6" t="s">
        <v>537</v>
      </c>
      <c r="S288" s="6"/>
    </row>
    <row r="289" customFormat="false" ht="15" hidden="false" customHeight="false" outlineLevel="0" collapsed="false">
      <c r="A289" s="6" t="s">
        <v>544</v>
      </c>
      <c r="B289" s="6" t="s">
        <v>51</v>
      </c>
      <c r="C289" s="6" t="s">
        <v>104</v>
      </c>
      <c r="D289" s="6" t="s">
        <v>161</v>
      </c>
      <c r="E289" s="6" t="n">
        <v>8</v>
      </c>
      <c r="F289" s="7" t="n">
        <v>6.2</v>
      </c>
      <c r="G289" s="7" t="n">
        <v>0</v>
      </c>
      <c r="H289" s="7" t="n">
        <v>29.8</v>
      </c>
      <c r="I289" s="7" t="n">
        <v>0.6</v>
      </c>
      <c r="J289" s="7" t="n">
        <v>1.2</v>
      </c>
      <c r="K289" s="7" t="n">
        <v>2</v>
      </c>
      <c r="L289" s="6" t="n">
        <v>42</v>
      </c>
      <c r="M289" s="6" t="n">
        <v>20</v>
      </c>
      <c r="N289" s="7" t="n">
        <v>8.8</v>
      </c>
      <c r="O289" s="6" t="s">
        <v>191</v>
      </c>
      <c r="P289" s="6" t="s">
        <v>293</v>
      </c>
      <c r="Q289" s="6" t="s">
        <v>536</v>
      </c>
      <c r="R289" s="6" t="s">
        <v>537</v>
      </c>
      <c r="S289" s="6"/>
    </row>
    <row r="290" customFormat="false" ht="15" hidden="false" customHeight="false" outlineLevel="0" collapsed="false">
      <c r="A290" s="6" t="s">
        <v>545</v>
      </c>
      <c r="B290" s="6" t="s">
        <v>51</v>
      </c>
      <c r="C290" s="6" t="s">
        <v>104</v>
      </c>
      <c r="D290" s="6" t="s">
        <v>161</v>
      </c>
      <c r="E290" s="6" t="n">
        <v>9</v>
      </c>
      <c r="F290" s="7" t="n">
        <v>6.8</v>
      </c>
      <c r="G290" s="7" t="n">
        <v>0</v>
      </c>
      <c r="H290" s="7" t="n">
        <v>29.8</v>
      </c>
      <c r="I290" s="7" t="n">
        <v>0.6</v>
      </c>
      <c r="J290" s="7" t="n">
        <v>1.2</v>
      </c>
      <c r="K290" s="7" t="n">
        <v>2</v>
      </c>
      <c r="L290" s="6" t="n">
        <v>42</v>
      </c>
      <c r="M290" s="6" t="n">
        <v>20</v>
      </c>
      <c r="N290" s="7" t="n">
        <v>8.8</v>
      </c>
      <c r="O290" s="6" t="s">
        <v>191</v>
      </c>
      <c r="P290" s="6" t="s">
        <v>293</v>
      </c>
      <c r="Q290" s="6" t="s">
        <v>536</v>
      </c>
      <c r="R290" s="6" t="s">
        <v>537</v>
      </c>
      <c r="S290" s="6"/>
    </row>
    <row r="291" customFormat="false" ht="15" hidden="false" customHeight="false" outlineLevel="0" collapsed="false">
      <c r="A291" s="6" t="s">
        <v>546</v>
      </c>
      <c r="B291" s="6" t="s">
        <v>51</v>
      </c>
      <c r="C291" s="6" t="s">
        <v>104</v>
      </c>
      <c r="D291" s="6" t="s">
        <v>161</v>
      </c>
      <c r="E291" s="6" t="n">
        <v>10</v>
      </c>
      <c r="F291" s="7" t="n">
        <v>7.4</v>
      </c>
      <c r="G291" s="7" t="n">
        <v>0</v>
      </c>
      <c r="H291" s="7" t="n">
        <v>29.8</v>
      </c>
      <c r="I291" s="7" t="n">
        <v>0.6</v>
      </c>
      <c r="J291" s="7" t="n">
        <v>1.2</v>
      </c>
      <c r="K291" s="7" t="n">
        <v>2</v>
      </c>
      <c r="L291" s="6" t="n">
        <v>42</v>
      </c>
      <c r="M291" s="6" t="n">
        <v>20</v>
      </c>
      <c r="N291" s="7" t="n">
        <v>8.8</v>
      </c>
      <c r="O291" s="6" t="s">
        <v>191</v>
      </c>
      <c r="P291" s="6" t="s">
        <v>293</v>
      </c>
      <c r="Q291" s="6" t="s">
        <v>536</v>
      </c>
      <c r="R291" s="6" t="s">
        <v>537</v>
      </c>
      <c r="S291" s="6"/>
    </row>
    <row r="292" customFormat="false" ht="15" hidden="false" customHeight="false" outlineLevel="0" collapsed="false">
      <c r="A292" s="6" t="s">
        <v>547</v>
      </c>
      <c r="B292" s="6" t="s">
        <v>51</v>
      </c>
      <c r="C292" s="6" t="s">
        <v>104</v>
      </c>
      <c r="D292" s="6" t="s">
        <v>161</v>
      </c>
      <c r="E292" s="6" t="n">
        <v>11</v>
      </c>
      <c r="F292" s="7" t="n">
        <v>8</v>
      </c>
      <c r="G292" s="7" t="n">
        <v>0</v>
      </c>
      <c r="H292" s="7" t="n">
        <v>29.8</v>
      </c>
      <c r="I292" s="7" t="n">
        <v>0.6</v>
      </c>
      <c r="J292" s="7" t="n">
        <v>1.2</v>
      </c>
      <c r="K292" s="7" t="n">
        <v>2</v>
      </c>
      <c r="L292" s="6" t="n">
        <v>42</v>
      </c>
      <c r="M292" s="6" t="n">
        <v>20</v>
      </c>
      <c r="N292" s="7" t="n">
        <v>8.8</v>
      </c>
      <c r="O292" s="6" t="s">
        <v>191</v>
      </c>
      <c r="P292" s="6" t="s">
        <v>293</v>
      </c>
      <c r="Q292" s="6" t="s">
        <v>548</v>
      </c>
      <c r="R292" s="6" t="s">
        <v>549</v>
      </c>
      <c r="S292" s="6"/>
    </row>
    <row r="293" customFormat="false" ht="15" hidden="false" customHeight="false" outlineLevel="0" collapsed="false">
      <c r="A293" s="6" t="s">
        <v>550</v>
      </c>
      <c r="B293" s="6" t="s">
        <v>51</v>
      </c>
      <c r="C293" s="6" t="s">
        <v>104</v>
      </c>
      <c r="D293" s="6" t="s">
        <v>161</v>
      </c>
      <c r="E293" s="6" t="n">
        <v>12</v>
      </c>
      <c r="F293" s="7" t="n">
        <v>8.6</v>
      </c>
      <c r="G293" s="7" t="n">
        <v>0</v>
      </c>
      <c r="H293" s="7" t="n">
        <v>29.8</v>
      </c>
      <c r="I293" s="7" t="n">
        <v>0.6</v>
      </c>
      <c r="J293" s="7" t="n">
        <v>1.2</v>
      </c>
      <c r="K293" s="7" t="n">
        <v>2</v>
      </c>
      <c r="L293" s="6" t="n">
        <v>42</v>
      </c>
      <c r="M293" s="6" t="n">
        <v>20</v>
      </c>
      <c r="N293" s="7" t="n">
        <v>8.8</v>
      </c>
      <c r="O293" s="6" t="s">
        <v>191</v>
      </c>
      <c r="P293" s="6" t="s">
        <v>293</v>
      </c>
      <c r="Q293" s="6" t="s">
        <v>548</v>
      </c>
      <c r="R293" s="6" t="s">
        <v>549</v>
      </c>
      <c r="S293" s="6"/>
    </row>
    <row r="294" customFormat="false" ht="15" hidden="false" customHeight="false" outlineLevel="0" collapsed="false">
      <c r="A294" s="6" t="s">
        <v>551</v>
      </c>
      <c r="B294" s="6" t="s">
        <v>51</v>
      </c>
      <c r="C294" s="6" t="s">
        <v>104</v>
      </c>
      <c r="D294" s="6" t="s">
        <v>161</v>
      </c>
      <c r="E294" s="6" t="n">
        <v>13</v>
      </c>
      <c r="F294" s="7" t="n">
        <v>9.2</v>
      </c>
      <c r="G294" s="7" t="n">
        <v>0</v>
      </c>
      <c r="H294" s="7" t="n">
        <v>29.8</v>
      </c>
      <c r="I294" s="7" t="n">
        <v>0.6</v>
      </c>
      <c r="J294" s="7" t="n">
        <v>1.2</v>
      </c>
      <c r="K294" s="7" t="n">
        <v>2</v>
      </c>
      <c r="L294" s="6" t="n">
        <v>42</v>
      </c>
      <c r="M294" s="6" t="n">
        <v>20</v>
      </c>
      <c r="N294" s="7" t="n">
        <v>8.8</v>
      </c>
      <c r="O294" s="6" t="s">
        <v>191</v>
      </c>
      <c r="P294" s="6" t="s">
        <v>293</v>
      </c>
      <c r="Q294" s="6" t="s">
        <v>548</v>
      </c>
      <c r="R294" s="6" t="s">
        <v>549</v>
      </c>
      <c r="S294" s="6"/>
    </row>
    <row r="295" customFormat="false" ht="15" hidden="false" customHeight="false" outlineLevel="0" collapsed="false">
      <c r="A295" s="6" t="s">
        <v>552</v>
      </c>
      <c r="B295" s="6" t="s">
        <v>51</v>
      </c>
      <c r="C295" s="6" t="s">
        <v>104</v>
      </c>
      <c r="D295" s="6" t="s">
        <v>161</v>
      </c>
      <c r="E295" s="6" t="n">
        <v>14</v>
      </c>
      <c r="F295" s="7" t="n">
        <v>9.8</v>
      </c>
      <c r="G295" s="7" t="n">
        <v>0</v>
      </c>
      <c r="H295" s="7" t="n">
        <v>29.8</v>
      </c>
      <c r="I295" s="7" t="n">
        <v>0.6</v>
      </c>
      <c r="J295" s="7" t="n">
        <v>1.2</v>
      </c>
      <c r="K295" s="7" t="n">
        <v>2</v>
      </c>
      <c r="L295" s="6" t="n">
        <v>42</v>
      </c>
      <c r="M295" s="6" t="n">
        <v>20</v>
      </c>
      <c r="N295" s="7" t="n">
        <v>8.6</v>
      </c>
      <c r="O295" s="6" t="s">
        <v>191</v>
      </c>
      <c r="P295" s="6" t="s">
        <v>293</v>
      </c>
      <c r="Q295" s="6" t="s">
        <v>548</v>
      </c>
      <c r="R295" s="6" t="s">
        <v>549</v>
      </c>
      <c r="S295" s="6"/>
    </row>
    <row r="296" customFormat="false" ht="15" hidden="false" customHeight="false" outlineLevel="0" collapsed="false">
      <c r="A296" s="6" t="s">
        <v>553</v>
      </c>
      <c r="B296" s="6" t="s">
        <v>51</v>
      </c>
      <c r="C296" s="6" t="s">
        <v>104</v>
      </c>
      <c r="D296" s="6" t="s">
        <v>161</v>
      </c>
      <c r="E296" s="6" t="n">
        <v>15</v>
      </c>
      <c r="F296" s="7" t="n">
        <v>10.4</v>
      </c>
      <c r="G296" s="7" t="n">
        <v>0</v>
      </c>
      <c r="H296" s="7" t="n">
        <v>29.8</v>
      </c>
      <c r="I296" s="7" t="n">
        <v>0.6</v>
      </c>
      <c r="J296" s="7" t="n">
        <v>1.2</v>
      </c>
      <c r="K296" s="7" t="n">
        <v>2</v>
      </c>
      <c r="L296" s="6" t="n">
        <v>42</v>
      </c>
      <c r="M296" s="6" t="n">
        <v>20</v>
      </c>
      <c r="N296" s="7" t="n">
        <v>0</v>
      </c>
      <c r="O296" s="6" t="s">
        <v>215</v>
      </c>
      <c r="P296" s="6"/>
      <c r="Q296" s="6" t="s">
        <v>548</v>
      </c>
      <c r="R296" s="6" t="s">
        <v>549</v>
      </c>
      <c r="S296" s="6"/>
    </row>
    <row r="297" customFormat="false" ht="15" hidden="false" customHeight="false" outlineLevel="0" collapsed="false">
      <c r="A297" s="6" t="s">
        <v>554</v>
      </c>
      <c r="B297" s="6" t="s">
        <v>51</v>
      </c>
      <c r="C297" s="6" t="s">
        <v>104</v>
      </c>
      <c r="D297" s="6" t="s">
        <v>161</v>
      </c>
      <c r="E297" s="6" t="n">
        <v>16</v>
      </c>
      <c r="F297" s="7" t="n">
        <v>11</v>
      </c>
      <c r="G297" s="7" t="n">
        <v>0</v>
      </c>
      <c r="H297" s="7" t="n">
        <v>29.8</v>
      </c>
      <c r="I297" s="7" t="n">
        <v>0.6</v>
      </c>
      <c r="J297" s="7" t="n">
        <v>1.2</v>
      </c>
      <c r="K297" s="7" t="n">
        <v>2</v>
      </c>
      <c r="L297" s="6" t="n">
        <v>42</v>
      </c>
      <c r="M297" s="6" t="n">
        <v>20</v>
      </c>
      <c r="N297" s="7" t="n">
        <v>0</v>
      </c>
      <c r="O297" s="6" t="s">
        <v>215</v>
      </c>
      <c r="P297" s="6"/>
      <c r="Q297" s="6" t="s">
        <v>548</v>
      </c>
      <c r="R297" s="6" t="s">
        <v>549</v>
      </c>
      <c r="S297" s="6"/>
    </row>
    <row r="298" customFormat="false" ht="15" hidden="false" customHeight="false" outlineLevel="0" collapsed="false">
      <c r="A298" s="6" t="s">
        <v>555</v>
      </c>
      <c r="B298" s="6" t="s">
        <v>51</v>
      </c>
      <c r="C298" s="6" t="s">
        <v>104</v>
      </c>
      <c r="D298" s="6" t="s">
        <v>161</v>
      </c>
      <c r="E298" s="6" t="n">
        <v>17</v>
      </c>
      <c r="F298" s="7" t="n">
        <v>11.6</v>
      </c>
      <c r="G298" s="7" t="n">
        <v>0</v>
      </c>
      <c r="H298" s="7" t="n">
        <v>29.8</v>
      </c>
      <c r="I298" s="7" t="n">
        <v>0.6</v>
      </c>
      <c r="J298" s="7" t="n">
        <v>1.2</v>
      </c>
      <c r="K298" s="7" t="n">
        <v>2</v>
      </c>
      <c r="L298" s="6" t="n">
        <v>42</v>
      </c>
      <c r="M298" s="6" t="n">
        <v>20</v>
      </c>
      <c r="N298" s="7" t="n">
        <v>0</v>
      </c>
      <c r="O298" s="6" t="s">
        <v>215</v>
      </c>
      <c r="P298" s="6"/>
      <c r="Q298" s="6" t="s">
        <v>548</v>
      </c>
      <c r="R298" s="6" t="s">
        <v>549</v>
      </c>
      <c r="S298" s="6"/>
    </row>
    <row r="299" customFormat="false" ht="15" hidden="false" customHeight="false" outlineLevel="0" collapsed="false">
      <c r="A299" s="6" t="s">
        <v>556</v>
      </c>
      <c r="B299" s="6" t="s">
        <v>51</v>
      </c>
      <c r="C299" s="6" t="s">
        <v>104</v>
      </c>
      <c r="D299" s="6" t="s">
        <v>161</v>
      </c>
      <c r="E299" s="6" t="n">
        <v>18</v>
      </c>
      <c r="F299" s="7" t="n">
        <v>12.2</v>
      </c>
      <c r="G299" s="7" t="n">
        <v>0</v>
      </c>
      <c r="H299" s="7" t="n">
        <v>29.8</v>
      </c>
      <c r="I299" s="7" t="n">
        <v>0.6</v>
      </c>
      <c r="J299" s="7" t="n">
        <v>1.2</v>
      </c>
      <c r="K299" s="7" t="n">
        <v>2</v>
      </c>
      <c r="L299" s="6" t="n">
        <v>42</v>
      </c>
      <c r="M299" s="6" t="n">
        <v>20</v>
      </c>
      <c r="N299" s="7" t="n">
        <v>0</v>
      </c>
      <c r="O299" s="6" t="s">
        <v>215</v>
      </c>
      <c r="P299" s="6"/>
      <c r="Q299" s="6" t="s">
        <v>548</v>
      </c>
      <c r="R299" s="6" t="s">
        <v>549</v>
      </c>
      <c r="S299" s="6"/>
    </row>
    <row r="300" customFormat="false" ht="15" hidden="false" customHeight="false" outlineLevel="0" collapsed="false">
      <c r="A300" s="6" t="s">
        <v>557</v>
      </c>
      <c r="B300" s="6" t="s">
        <v>51</v>
      </c>
      <c r="C300" s="6" t="s">
        <v>104</v>
      </c>
      <c r="D300" s="6" t="s">
        <v>161</v>
      </c>
      <c r="E300" s="6" t="n">
        <v>19</v>
      </c>
      <c r="F300" s="7" t="n">
        <v>12.8</v>
      </c>
      <c r="G300" s="7" t="n">
        <v>0</v>
      </c>
      <c r="H300" s="7" t="n">
        <v>29.8</v>
      </c>
      <c r="I300" s="7" t="n">
        <v>0.6</v>
      </c>
      <c r="J300" s="7" t="n">
        <v>1.2</v>
      </c>
      <c r="K300" s="7" t="n">
        <v>2</v>
      </c>
      <c r="L300" s="6" t="n">
        <v>42</v>
      </c>
      <c r="M300" s="6" t="n">
        <v>20</v>
      </c>
      <c r="N300" s="7" t="n">
        <v>0</v>
      </c>
      <c r="O300" s="6" t="s">
        <v>215</v>
      </c>
      <c r="P300" s="6"/>
      <c r="Q300" s="6" t="s">
        <v>548</v>
      </c>
      <c r="R300" s="6" t="s">
        <v>549</v>
      </c>
      <c r="S300" s="6"/>
    </row>
    <row r="301" customFormat="false" ht="15" hidden="false" customHeight="false" outlineLevel="0" collapsed="false">
      <c r="A301" s="6" t="s">
        <v>558</v>
      </c>
      <c r="B301" s="6" t="s">
        <v>51</v>
      </c>
      <c r="C301" s="6" t="s">
        <v>104</v>
      </c>
      <c r="D301" s="6" t="s">
        <v>161</v>
      </c>
      <c r="E301" s="6" t="n">
        <v>20</v>
      </c>
      <c r="F301" s="7" t="n">
        <v>13.4</v>
      </c>
      <c r="G301" s="7" t="n">
        <v>0</v>
      </c>
      <c r="H301" s="7" t="n">
        <v>29.8</v>
      </c>
      <c r="I301" s="7" t="n">
        <v>0.6</v>
      </c>
      <c r="J301" s="7" t="n">
        <v>1.2</v>
      </c>
      <c r="K301" s="7" t="n">
        <v>2</v>
      </c>
      <c r="L301" s="6" t="n">
        <v>42</v>
      </c>
      <c r="M301" s="6" t="n">
        <v>20</v>
      </c>
      <c r="N301" s="7" t="n">
        <v>0</v>
      </c>
      <c r="O301" s="6" t="s">
        <v>215</v>
      </c>
      <c r="P301" s="6"/>
      <c r="Q301" s="6" t="s">
        <v>548</v>
      </c>
      <c r="R301" s="6" t="s">
        <v>549</v>
      </c>
      <c r="S301" s="6"/>
    </row>
    <row r="302" customFormat="false" ht="15" hidden="false" customHeight="false" outlineLevel="0" collapsed="false">
      <c r="A302" s="6" t="s">
        <v>559</v>
      </c>
      <c r="B302" s="6" t="s">
        <v>51</v>
      </c>
      <c r="C302" s="6" t="s">
        <v>104</v>
      </c>
      <c r="D302" s="6" t="s">
        <v>162</v>
      </c>
      <c r="E302" s="6" t="n">
        <v>1</v>
      </c>
      <c r="F302" s="7" t="n">
        <v>2</v>
      </c>
      <c r="G302" s="7" t="n">
        <v>0</v>
      </c>
      <c r="H302" s="7" t="n">
        <v>32.2</v>
      </c>
      <c r="I302" s="7" t="n">
        <v>0.6</v>
      </c>
      <c r="J302" s="7" t="n">
        <v>1.2</v>
      </c>
      <c r="K302" s="7" t="n">
        <v>2</v>
      </c>
      <c r="L302" s="6" t="n">
        <v>42</v>
      </c>
      <c r="M302" s="6" t="n">
        <v>20</v>
      </c>
      <c r="N302" s="7" t="n">
        <v>9.2</v>
      </c>
      <c r="O302" s="6" t="s">
        <v>191</v>
      </c>
      <c r="P302" s="6" t="s">
        <v>318</v>
      </c>
      <c r="Q302" s="6" t="s">
        <v>560</v>
      </c>
      <c r="R302" s="6" t="s">
        <v>561</v>
      </c>
      <c r="S302" s="6"/>
    </row>
    <row r="303" customFormat="false" ht="15" hidden="false" customHeight="false" outlineLevel="0" collapsed="false">
      <c r="A303" s="6" t="s">
        <v>562</v>
      </c>
      <c r="B303" s="6" t="s">
        <v>51</v>
      </c>
      <c r="C303" s="6" t="s">
        <v>104</v>
      </c>
      <c r="D303" s="6" t="s">
        <v>162</v>
      </c>
      <c r="E303" s="6" t="n">
        <v>2</v>
      </c>
      <c r="F303" s="7" t="n">
        <v>2.6</v>
      </c>
      <c r="G303" s="7" t="n">
        <v>0</v>
      </c>
      <c r="H303" s="7" t="n">
        <v>32.2</v>
      </c>
      <c r="I303" s="7" t="n">
        <v>0.6</v>
      </c>
      <c r="J303" s="7" t="n">
        <v>1.2</v>
      </c>
      <c r="K303" s="7" t="n">
        <v>2</v>
      </c>
      <c r="L303" s="6" t="n">
        <v>42</v>
      </c>
      <c r="M303" s="6" t="n">
        <v>20</v>
      </c>
      <c r="N303" s="7" t="n">
        <v>9.2</v>
      </c>
      <c r="O303" s="6" t="s">
        <v>191</v>
      </c>
      <c r="P303" s="6" t="s">
        <v>318</v>
      </c>
      <c r="Q303" s="6" t="s">
        <v>560</v>
      </c>
      <c r="R303" s="6" t="s">
        <v>561</v>
      </c>
      <c r="S303" s="6"/>
    </row>
    <row r="304" customFormat="false" ht="15" hidden="false" customHeight="false" outlineLevel="0" collapsed="false">
      <c r="A304" s="6" t="s">
        <v>563</v>
      </c>
      <c r="B304" s="6" t="s">
        <v>51</v>
      </c>
      <c r="C304" s="6" t="s">
        <v>104</v>
      </c>
      <c r="D304" s="6" t="s">
        <v>162</v>
      </c>
      <c r="E304" s="6" t="n">
        <v>3</v>
      </c>
      <c r="F304" s="7" t="n">
        <v>3.2</v>
      </c>
      <c r="G304" s="7" t="n">
        <v>0</v>
      </c>
      <c r="H304" s="7" t="n">
        <v>32.2</v>
      </c>
      <c r="I304" s="7" t="n">
        <v>0.6</v>
      </c>
      <c r="J304" s="7" t="n">
        <v>1.2</v>
      </c>
      <c r="K304" s="7" t="n">
        <v>2</v>
      </c>
      <c r="L304" s="6" t="n">
        <v>42</v>
      </c>
      <c r="M304" s="6" t="n">
        <v>20</v>
      </c>
      <c r="N304" s="7" t="n">
        <v>9.2</v>
      </c>
      <c r="O304" s="6" t="s">
        <v>191</v>
      </c>
      <c r="P304" s="6" t="s">
        <v>318</v>
      </c>
      <c r="Q304" s="6" t="s">
        <v>560</v>
      </c>
      <c r="R304" s="6" t="s">
        <v>561</v>
      </c>
      <c r="S304" s="6"/>
    </row>
    <row r="305" customFormat="false" ht="15" hidden="false" customHeight="false" outlineLevel="0" collapsed="false">
      <c r="A305" s="6" t="s">
        <v>564</v>
      </c>
      <c r="B305" s="6" t="s">
        <v>51</v>
      </c>
      <c r="C305" s="6" t="s">
        <v>104</v>
      </c>
      <c r="D305" s="6" t="s">
        <v>162</v>
      </c>
      <c r="E305" s="6" t="n">
        <v>4</v>
      </c>
      <c r="F305" s="7" t="n">
        <v>3.8</v>
      </c>
      <c r="G305" s="7" t="n">
        <v>0</v>
      </c>
      <c r="H305" s="7" t="n">
        <v>32.2</v>
      </c>
      <c r="I305" s="7" t="n">
        <v>0.6</v>
      </c>
      <c r="J305" s="7" t="n">
        <v>1.2</v>
      </c>
      <c r="K305" s="7" t="n">
        <v>2</v>
      </c>
      <c r="L305" s="6" t="n">
        <v>42</v>
      </c>
      <c r="M305" s="6" t="n">
        <v>20</v>
      </c>
      <c r="N305" s="7" t="n">
        <v>9.2</v>
      </c>
      <c r="O305" s="6" t="s">
        <v>191</v>
      </c>
      <c r="P305" s="6" t="s">
        <v>318</v>
      </c>
      <c r="Q305" s="6" t="s">
        <v>560</v>
      </c>
      <c r="R305" s="6" t="s">
        <v>561</v>
      </c>
      <c r="S305" s="6"/>
    </row>
    <row r="306" customFormat="false" ht="15" hidden="false" customHeight="false" outlineLevel="0" collapsed="false">
      <c r="A306" s="6" t="s">
        <v>565</v>
      </c>
      <c r="B306" s="6" t="s">
        <v>51</v>
      </c>
      <c r="C306" s="6" t="s">
        <v>104</v>
      </c>
      <c r="D306" s="6" t="s">
        <v>162</v>
      </c>
      <c r="E306" s="6" t="n">
        <v>5</v>
      </c>
      <c r="F306" s="7" t="n">
        <v>4.4</v>
      </c>
      <c r="G306" s="7" t="n">
        <v>0</v>
      </c>
      <c r="H306" s="7" t="n">
        <v>32.2</v>
      </c>
      <c r="I306" s="7" t="n">
        <v>0.6</v>
      </c>
      <c r="J306" s="7" t="n">
        <v>1.2</v>
      </c>
      <c r="K306" s="7" t="n">
        <v>2</v>
      </c>
      <c r="L306" s="6" t="n">
        <v>42</v>
      </c>
      <c r="M306" s="6" t="n">
        <v>20</v>
      </c>
      <c r="N306" s="7" t="n">
        <v>9.2</v>
      </c>
      <c r="O306" s="6" t="s">
        <v>191</v>
      </c>
      <c r="P306" s="6" t="s">
        <v>318</v>
      </c>
      <c r="Q306" s="6" t="s">
        <v>560</v>
      </c>
      <c r="R306" s="6" t="s">
        <v>561</v>
      </c>
      <c r="S306" s="6"/>
    </row>
    <row r="307" customFormat="false" ht="15" hidden="false" customHeight="false" outlineLevel="0" collapsed="false">
      <c r="A307" s="6" t="s">
        <v>566</v>
      </c>
      <c r="B307" s="6" t="s">
        <v>51</v>
      </c>
      <c r="C307" s="6" t="s">
        <v>104</v>
      </c>
      <c r="D307" s="6" t="s">
        <v>162</v>
      </c>
      <c r="E307" s="6" t="n">
        <v>6</v>
      </c>
      <c r="F307" s="7" t="n">
        <v>5</v>
      </c>
      <c r="G307" s="7" t="n">
        <v>0</v>
      </c>
      <c r="H307" s="7" t="n">
        <v>32.2</v>
      </c>
      <c r="I307" s="7" t="n">
        <v>0.6</v>
      </c>
      <c r="J307" s="7" t="n">
        <v>1.2</v>
      </c>
      <c r="K307" s="7" t="n">
        <v>2</v>
      </c>
      <c r="L307" s="6" t="n">
        <v>42</v>
      </c>
      <c r="M307" s="6" t="n">
        <v>20</v>
      </c>
      <c r="N307" s="7" t="n">
        <v>9.2</v>
      </c>
      <c r="O307" s="6" t="s">
        <v>191</v>
      </c>
      <c r="P307" s="6" t="s">
        <v>318</v>
      </c>
      <c r="Q307" s="6" t="s">
        <v>560</v>
      </c>
      <c r="R307" s="6" t="s">
        <v>561</v>
      </c>
      <c r="S307" s="6"/>
    </row>
    <row r="308" customFormat="false" ht="15" hidden="false" customHeight="false" outlineLevel="0" collapsed="false">
      <c r="A308" s="6" t="s">
        <v>567</v>
      </c>
      <c r="B308" s="6" t="s">
        <v>51</v>
      </c>
      <c r="C308" s="6" t="s">
        <v>104</v>
      </c>
      <c r="D308" s="6" t="s">
        <v>162</v>
      </c>
      <c r="E308" s="6" t="n">
        <v>7</v>
      </c>
      <c r="F308" s="7" t="n">
        <v>5.6</v>
      </c>
      <c r="G308" s="7" t="n">
        <v>0</v>
      </c>
      <c r="H308" s="7" t="n">
        <v>32.2</v>
      </c>
      <c r="I308" s="7" t="n">
        <v>0.6</v>
      </c>
      <c r="J308" s="7" t="n">
        <v>1.2</v>
      </c>
      <c r="K308" s="7" t="n">
        <v>2</v>
      </c>
      <c r="L308" s="6" t="n">
        <v>42</v>
      </c>
      <c r="M308" s="6" t="n">
        <v>20</v>
      </c>
      <c r="N308" s="7" t="n">
        <v>9.2</v>
      </c>
      <c r="O308" s="6" t="s">
        <v>191</v>
      </c>
      <c r="P308" s="6" t="s">
        <v>318</v>
      </c>
      <c r="Q308" s="6" t="s">
        <v>560</v>
      </c>
      <c r="R308" s="6" t="s">
        <v>561</v>
      </c>
      <c r="S308" s="6"/>
    </row>
    <row r="309" customFormat="false" ht="15" hidden="false" customHeight="false" outlineLevel="0" collapsed="false">
      <c r="A309" s="6" t="s">
        <v>568</v>
      </c>
      <c r="B309" s="6" t="s">
        <v>51</v>
      </c>
      <c r="C309" s="6" t="s">
        <v>104</v>
      </c>
      <c r="D309" s="6" t="s">
        <v>162</v>
      </c>
      <c r="E309" s="6" t="n">
        <v>8</v>
      </c>
      <c r="F309" s="7" t="n">
        <v>6.2</v>
      </c>
      <c r="G309" s="7" t="n">
        <v>0</v>
      </c>
      <c r="H309" s="7" t="n">
        <v>32.2</v>
      </c>
      <c r="I309" s="7" t="n">
        <v>0.6</v>
      </c>
      <c r="J309" s="7" t="n">
        <v>1.2</v>
      </c>
      <c r="K309" s="7" t="n">
        <v>2</v>
      </c>
      <c r="L309" s="6" t="n">
        <v>42</v>
      </c>
      <c r="M309" s="6" t="n">
        <v>20</v>
      </c>
      <c r="N309" s="7" t="n">
        <v>9.2</v>
      </c>
      <c r="O309" s="6" t="s">
        <v>191</v>
      </c>
      <c r="P309" s="6" t="s">
        <v>318</v>
      </c>
      <c r="Q309" s="6" t="s">
        <v>560</v>
      </c>
      <c r="R309" s="6" t="s">
        <v>561</v>
      </c>
      <c r="S309" s="6"/>
    </row>
    <row r="310" customFormat="false" ht="15" hidden="false" customHeight="false" outlineLevel="0" collapsed="false">
      <c r="A310" s="6" t="s">
        <v>569</v>
      </c>
      <c r="B310" s="6" t="s">
        <v>51</v>
      </c>
      <c r="C310" s="6" t="s">
        <v>104</v>
      </c>
      <c r="D310" s="6" t="s">
        <v>162</v>
      </c>
      <c r="E310" s="6" t="n">
        <v>9</v>
      </c>
      <c r="F310" s="7" t="n">
        <v>6.8</v>
      </c>
      <c r="G310" s="7" t="n">
        <v>0</v>
      </c>
      <c r="H310" s="7" t="n">
        <v>32.2</v>
      </c>
      <c r="I310" s="7" t="n">
        <v>0.6</v>
      </c>
      <c r="J310" s="7" t="n">
        <v>1.2</v>
      </c>
      <c r="K310" s="7" t="n">
        <v>2</v>
      </c>
      <c r="L310" s="6" t="n">
        <v>42</v>
      </c>
      <c r="M310" s="6" t="n">
        <v>20</v>
      </c>
      <c r="N310" s="7" t="n">
        <v>9.2</v>
      </c>
      <c r="O310" s="6" t="s">
        <v>191</v>
      </c>
      <c r="P310" s="6" t="s">
        <v>318</v>
      </c>
      <c r="Q310" s="6" t="s">
        <v>560</v>
      </c>
      <c r="R310" s="6" t="s">
        <v>561</v>
      </c>
      <c r="S310" s="6"/>
    </row>
    <row r="311" customFormat="false" ht="15" hidden="false" customHeight="false" outlineLevel="0" collapsed="false">
      <c r="A311" s="6" t="s">
        <v>570</v>
      </c>
      <c r="B311" s="6" t="s">
        <v>51</v>
      </c>
      <c r="C311" s="6" t="s">
        <v>104</v>
      </c>
      <c r="D311" s="6" t="s">
        <v>162</v>
      </c>
      <c r="E311" s="6" t="n">
        <v>10</v>
      </c>
      <c r="F311" s="7" t="n">
        <v>7.4</v>
      </c>
      <c r="G311" s="7" t="n">
        <v>0</v>
      </c>
      <c r="H311" s="7" t="n">
        <v>32.2</v>
      </c>
      <c r="I311" s="7" t="n">
        <v>0.6</v>
      </c>
      <c r="J311" s="7" t="n">
        <v>1.2</v>
      </c>
      <c r="K311" s="7" t="n">
        <v>2</v>
      </c>
      <c r="L311" s="6" t="n">
        <v>42</v>
      </c>
      <c r="M311" s="6" t="n">
        <v>20</v>
      </c>
      <c r="N311" s="7" t="n">
        <v>9.2</v>
      </c>
      <c r="O311" s="6" t="s">
        <v>191</v>
      </c>
      <c r="P311" s="6" t="s">
        <v>318</v>
      </c>
      <c r="Q311" s="6" t="s">
        <v>560</v>
      </c>
      <c r="R311" s="6" t="s">
        <v>561</v>
      </c>
      <c r="S311" s="6"/>
    </row>
    <row r="312" customFormat="false" ht="15" hidden="false" customHeight="false" outlineLevel="0" collapsed="false">
      <c r="A312" s="6" t="s">
        <v>571</v>
      </c>
      <c r="B312" s="6" t="s">
        <v>51</v>
      </c>
      <c r="C312" s="6" t="s">
        <v>104</v>
      </c>
      <c r="D312" s="6" t="s">
        <v>162</v>
      </c>
      <c r="E312" s="6" t="n">
        <v>11</v>
      </c>
      <c r="F312" s="7" t="n">
        <v>8</v>
      </c>
      <c r="G312" s="7" t="n">
        <v>0</v>
      </c>
      <c r="H312" s="7" t="n">
        <v>32.2</v>
      </c>
      <c r="I312" s="7" t="n">
        <v>0.6</v>
      </c>
      <c r="J312" s="7" t="n">
        <v>1.2</v>
      </c>
      <c r="K312" s="7" t="n">
        <v>2</v>
      </c>
      <c r="L312" s="6" t="n">
        <v>42</v>
      </c>
      <c r="M312" s="6" t="n">
        <v>20</v>
      </c>
      <c r="N312" s="7" t="n">
        <v>9.2</v>
      </c>
      <c r="O312" s="6" t="s">
        <v>191</v>
      </c>
      <c r="P312" s="6" t="s">
        <v>318</v>
      </c>
      <c r="Q312" s="6" t="s">
        <v>572</v>
      </c>
      <c r="R312" s="6" t="s">
        <v>573</v>
      </c>
      <c r="S312" s="6"/>
    </row>
    <row r="313" customFormat="false" ht="15" hidden="false" customHeight="false" outlineLevel="0" collapsed="false">
      <c r="A313" s="6" t="s">
        <v>574</v>
      </c>
      <c r="B313" s="6" t="s">
        <v>51</v>
      </c>
      <c r="C313" s="6" t="s">
        <v>104</v>
      </c>
      <c r="D313" s="6" t="s">
        <v>162</v>
      </c>
      <c r="E313" s="6" t="n">
        <v>12</v>
      </c>
      <c r="F313" s="7" t="n">
        <v>8.6</v>
      </c>
      <c r="G313" s="7" t="n">
        <v>0</v>
      </c>
      <c r="H313" s="7" t="n">
        <v>32.2</v>
      </c>
      <c r="I313" s="7" t="n">
        <v>0.6</v>
      </c>
      <c r="J313" s="7" t="n">
        <v>1.2</v>
      </c>
      <c r="K313" s="7" t="n">
        <v>2</v>
      </c>
      <c r="L313" s="6" t="n">
        <v>42</v>
      </c>
      <c r="M313" s="6" t="n">
        <v>20</v>
      </c>
      <c r="N313" s="7" t="n">
        <v>9.2</v>
      </c>
      <c r="O313" s="6" t="s">
        <v>191</v>
      </c>
      <c r="P313" s="6" t="s">
        <v>318</v>
      </c>
      <c r="Q313" s="6" t="s">
        <v>572</v>
      </c>
      <c r="R313" s="6" t="s">
        <v>573</v>
      </c>
      <c r="S313" s="6"/>
    </row>
    <row r="314" customFormat="false" ht="15" hidden="false" customHeight="false" outlineLevel="0" collapsed="false">
      <c r="A314" s="6" t="s">
        <v>575</v>
      </c>
      <c r="B314" s="6" t="s">
        <v>51</v>
      </c>
      <c r="C314" s="6" t="s">
        <v>104</v>
      </c>
      <c r="D314" s="6" t="s">
        <v>162</v>
      </c>
      <c r="E314" s="6" t="n">
        <v>13</v>
      </c>
      <c r="F314" s="7" t="n">
        <v>9.2</v>
      </c>
      <c r="G314" s="7" t="n">
        <v>0</v>
      </c>
      <c r="H314" s="7" t="n">
        <v>32.2</v>
      </c>
      <c r="I314" s="7" t="n">
        <v>0.6</v>
      </c>
      <c r="J314" s="7" t="n">
        <v>1.2</v>
      </c>
      <c r="K314" s="7" t="n">
        <v>2</v>
      </c>
      <c r="L314" s="6" t="n">
        <v>42</v>
      </c>
      <c r="M314" s="6" t="n">
        <v>20</v>
      </c>
      <c r="N314" s="7" t="n">
        <v>9.2</v>
      </c>
      <c r="O314" s="6" t="s">
        <v>191</v>
      </c>
      <c r="P314" s="6" t="s">
        <v>318</v>
      </c>
      <c r="Q314" s="6" t="s">
        <v>572</v>
      </c>
      <c r="R314" s="6" t="s">
        <v>573</v>
      </c>
      <c r="S314" s="6"/>
    </row>
    <row r="315" customFormat="false" ht="15" hidden="false" customHeight="false" outlineLevel="0" collapsed="false">
      <c r="A315" s="6" t="s">
        <v>576</v>
      </c>
      <c r="B315" s="6" t="s">
        <v>51</v>
      </c>
      <c r="C315" s="6" t="s">
        <v>104</v>
      </c>
      <c r="D315" s="6" t="s">
        <v>162</v>
      </c>
      <c r="E315" s="6" t="n">
        <v>14</v>
      </c>
      <c r="F315" s="7" t="n">
        <v>9.8</v>
      </c>
      <c r="G315" s="7" t="n">
        <v>0</v>
      </c>
      <c r="H315" s="7" t="n">
        <v>32.2</v>
      </c>
      <c r="I315" s="7" t="n">
        <v>0.6</v>
      </c>
      <c r="J315" s="7" t="n">
        <v>1.2</v>
      </c>
      <c r="K315" s="7" t="n">
        <v>2</v>
      </c>
      <c r="L315" s="6" t="n">
        <v>42</v>
      </c>
      <c r="M315" s="6" t="n">
        <v>20</v>
      </c>
      <c r="N315" s="7" t="n">
        <v>9.2</v>
      </c>
      <c r="O315" s="6" t="s">
        <v>191</v>
      </c>
      <c r="P315" s="6" t="s">
        <v>318</v>
      </c>
      <c r="Q315" s="6" t="s">
        <v>572</v>
      </c>
      <c r="R315" s="6" t="s">
        <v>573</v>
      </c>
      <c r="S315" s="6"/>
    </row>
    <row r="316" customFormat="false" ht="15" hidden="false" customHeight="false" outlineLevel="0" collapsed="false">
      <c r="A316" s="6" t="s">
        <v>577</v>
      </c>
      <c r="B316" s="6" t="s">
        <v>51</v>
      </c>
      <c r="C316" s="6" t="s">
        <v>104</v>
      </c>
      <c r="D316" s="6" t="s">
        <v>162</v>
      </c>
      <c r="E316" s="6" t="n">
        <v>15</v>
      </c>
      <c r="F316" s="7" t="n">
        <v>10.4</v>
      </c>
      <c r="G316" s="7" t="n">
        <v>0</v>
      </c>
      <c r="H316" s="7" t="n">
        <v>32.2</v>
      </c>
      <c r="I316" s="7" t="n">
        <v>0.6</v>
      </c>
      <c r="J316" s="7" t="n">
        <v>1.2</v>
      </c>
      <c r="K316" s="7" t="n">
        <v>2</v>
      </c>
      <c r="L316" s="6" t="n">
        <v>42</v>
      </c>
      <c r="M316" s="6" t="n">
        <v>20</v>
      </c>
      <c r="N316" s="7" t="n">
        <v>9.2</v>
      </c>
      <c r="O316" s="6" t="s">
        <v>191</v>
      </c>
      <c r="P316" s="6" t="s">
        <v>318</v>
      </c>
      <c r="Q316" s="6" t="s">
        <v>572</v>
      </c>
      <c r="R316" s="6" t="s">
        <v>573</v>
      </c>
      <c r="S316" s="6"/>
    </row>
    <row r="317" customFormat="false" ht="15" hidden="false" customHeight="false" outlineLevel="0" collapsed="false">
      <c r="A317" s="6" t="s">
        <v>578</v>
      </c>
      <c r="B317" s="6" t="s">
        <v>51</v>
      </c>
      <c r="C317" s="6" t="s">
        <v>104</v>
      </c>
      <c r="D317" s="6" t="s">
        <v>162</v>
      </c>
      <c r="E317" s="6" t="n">
        <v>16</v>
      </c>
      <c r="F317" s="7" t="n">
        <v>11</v>
      </c>
      <c r="G317" s="7" t="n">
        <v>0</v>
      </c>
      <c r="H317" s="7" t="n">
        <v>32.2</v>
      </c>
      <c r="I317" s="7" t="n">
        <v>0.6</v>
      </c>
      <c r="J317" s="7" t="n">
        <v>1.2</v>
      </c>
      <c r="K317" s="7" t="n">
        <v>2</v>
      </c>
      <c r="L317" s="6" t="n">
        <v>42</v>
      </c>
      <c r="M317" s="6" t="n">
        <v>20</v>
      </c>
      <c r="N317" s="7" t="n">
        <v>0</v>
      </c>
      <c r="O317" s="6" t="s">
        <v>215</v>
      </c>
      <c r="P317" s="6"/>
      <c r="Q317" s="6" t="s">
        <v>572</v>
      </c>
      <c r="R317" s="6" t="s">
        <v>573</v>
      </c>
      <c r="S317" s="6"/>
    </row>
    <row r="318" customFormat="false" ht="15" hidden="false" customHeight="false" outlineLevel="0" collapsed="false">
      <c r="A318" s="6" t="s">
        <v>579</v>
      </c>
      <c r="B318" s="6" t="s">
        <v>51</v>
      </c>
      <c r="C318" s="6" t="s">
        <v>104</v>
      </c>
      <c r="D318" s="6" t="s">
        <v>162</v>
      </c>
      <c r="E318" s="6" t="n">
        <v>17</v>
      </c>
      <c r="F318" s="7" t="n">
        <v>11.6</v>
      </c>
      <c r="G318" s="7" t="n">
        <v>0</v>
      </c>
      <c r="H318" s="7" t="n">
        <v>32.2</v>
      </c>
      <c r="I318" s="7" t="n">
        <v>0.6</v>
      </c>
      <c r="J318" s="7" t="n">
        <v>1.2</v>
      </c>
      <c r="K318" s="7" t="n">
        <v>2</v>
      </c>
      <c r="L318" s="6" t="n">
        <v>42</v>
      </c>
      <c r="M318" s="6" t="n">
        <v>20</v>
      </c>
      <c r="N318" s="7" t="n">
        <v>0</v>
      </c>
      <c r="O318" s="6" t="s">
        <v>215</v>
      </c>
      <c r="P318" s="6"/>
      <c r="Q318" s="6" t="s">
        <v>572</v>
      </c>
      <c r="R318" s="6" t="s">
        <v>573</v>
      </c>
      <c r="S318" s="6"/>
    </row>
    <row r="319" customFormat="false" ht="15" hidden="false" customHeight="false" outlineLevel="0" collapsed="false">
      <c r="A319" s="6" t="s">
        <v>580</v>
      </c>
      <c r="B319" s="6" t="s">
        <v>51</v>
      </c>
      <c r="C319" s="6" t="s">
        <v>104</v>
      </c>
      <c r="D319" s="6" t="s">
        <v>162</v>
      </c>
      <c r="E319" s="6" t="n">
        <v>18</v>
      </c>
      <c r="F319" s="7" t="n">
        <v>12.2</v>
      </c>
      <c r="G319" s="7" t="n">
        <v>0</v>
      </c>
      <c r="H319" s="7" t="n">
        <v>32.2</v>
      </c>
      <c r="I319" s="7" t="n">
        <v>0.6</v>
      </c>
      <c r="J319" s="7" t="n">
        <v>1.2</v>
      </c>
      <c r="K319" s="7" t="n">
        <v>2</v>
      </c>
      <c r="L319" s="6" t="n">
        <v>42</v>
      </c>
      <c r="M319" s="6" t="n">
        <v>20</v>
      </c>
      <c r="N319" s="7" t="n">
        <v>0</v>
      </c>
      <c r="O319" s="6" t="s">
        <v>215</v>
      </c>
      <c r="P319" s="6"/>
      <c r="Q319" s="6" t="s">
        <v>572</v>
      </c>
      <c r="R319" s="6" t="s">
        <v>573</v>
      </c>
      <c r="S319" s="6"/>
    </row>
    <row r="320" customFormat="false" ht="15" hidden="false" customHeight="false" outlineLevel="0" collapsed="false">
      <c r="A320" s="6" t="s">
        <v>581</v>
      </c>
      <c r="B320" s="6" t="s">
        <v>51</v>
      </c>
      <c r="C320" s="6" t="s">
        <v>104</v>
      </c>
      <c r="D320" s="6" t="s">
        <v>162</v>
      </c>
      <c r="E320" s="6" t="n">
        <v>19</v>
      </c>
      <c r="F320" s="7" t="n">
        <v>12.8</v>
      </c>
      <c r="G320" s="7" t="n">
        <v>0</v>
      </c>
      <c r="H320" s="7" t="n">
        <v>32.2</v>
      </c>
      <c r="I320" s="7" t="n">
        <v>0.6</v>
      </c>
      <c r="J320" s="7" t="n">
        <v>1.2</v>
      </c>
      <c r="K320" s="7" t="n">
        <v>2</v>
      </c>
      <c r="L320" s="6" t="n">
        <v>42</v>
      </c>
      <c r="M320" s="6" t="n">
        <v>20</v>
      </c>
      <c r="N320" s="7" t="n">
        <v>0</v>
      </c>
      <c r="O320" s="6" t="s">
        <v>215</v>
      </c>
      <c r="P320" s="6"/>
      <c r="Q320" s="6" t="s">
        <v>572</v>
      </c>
      <c r="R320" s="6" t="s">
        <v>573</v>
      </c>
      <c r="S320" s="6"/>
    </row>
    <row r="321" customFormat="false" ht="15" hidden="false" customHeight="false" outlineLevel="0" collapsed="false">
      <c r="A321" s="6" t="s">
        <v>582</v>
      </c>
      <c r="B321" s="6" t="s">
        <v>51</v>
      </c>
      <c r="C321" s="6" t="s">
        <v>104</v>
      </c>
      <c r="D321" s="6" t="s">
        <v>162</v>
      </c>
      <c r="E321" s="6" t="n">
        <v>20</v>
      </c>
      <c r="F321" s="7" t="n">
        <v>13.4</v>
      </c>
      <c r="G321" s="7" t="n">
        <v>0</v>
      </c>
      <c r="H321" s="7" t="n">
        <v>32.2</v>
      </c>
      <c r="I321" s="7" t="n">
        <v>0.6</v>
      </c>
      <c r="J321" s="7" t="n">
        <v>1.2</v>
      </c>
      <c r="K321" s="7" t="n">
        <v>2</v>
      </c>
      <c r="L321" s="6" t="n">
        <v>42</v>
      </c>
      <c r="M321" s="6" t="n">
        <v>20</v>
      </c>
      <c r="N321" s="7" t="n">
        <v>0</v>
      </c>
      <c r="O321" s="6" t="s">
        <v>215</v>
      </c>
      <c r="P321" s="6"/>
      <c r="Q321" s="6" t="s">
        <v>572</v>
      </c>
      <c r="R321" s="6" t="s">
        <v>573</v>
      </c>
      <c r="S321" s="6"/>
    </row>
    <row r="322" customFormat="false" ht="15" hidden="false" customHeight="false" outlineLevel="0" collapsed="false">
      <c r="A322" s="6" t="s">
        <v>583</v>
      </c>
      <c r="B322" s="6" t="s">
        <v>51</v>
      </c>
      <c r="C322" s="6" t="s">
        <v>104</v>
      </c>
      <c r="D322" s="6" t="s">
        <v>164</v>
      </c>
      <c r="E322" s="6" t="n">
        <v>1</v>
      </c>
      <c r="F322" s="7" t="n">
        <v>2</v>
      </c>
      <c r="G322" s="7" t="n">
        <v>0</v>
      </c>
      <c r="H322" s="7" t="n">
        <v>34.6</v>
      </c>
      <c r="I322" s="7" t="n">
        <v>0.6</v>
      </c>
      <c r="J322" s="7" t="n">
        <v>1.2</v>
      </c>
      <c r="K322" s="7" t="n">
        <v>2</v>
      </c>
      <c r="L322" s="6" t="n">
        <v>42</v>
      </c>
      <c r="M322" s="6" t="n">
        <v>20</v>
      </c>
      <c r="N322" s="7" t="n">
        <v>9.1</v>
      </c>
      <c r="O322" s="6" t="s">
        <v>191</v>
      </c>
      <c r="P322" s="6" t="s">
        <v>192</v>
      </c>
      <c r="Q322" s="6" t="s">
        <v>584</v>
      </c>
      <c r="R322" s="6" t="s">
        <v>585</v>
      </c>
      <c r="S322" s="6"/>
    </row>
    <row r="323" customFormat="false" ht="15" hidden="false" customHeight="false" outlineLevel="0" collapsed="false">
      <c r="A323" s="6" t="s">
        <v>586</v>
      </c>
      <c r="B323" s="6" t="s">
        <v>51</v>
      </c>
      <c r="C323" s="6" t="s">
        <v>104</v>
      </c>
      <c r="D323" s="6" t="s">
        <v>164</v>
      </c>
      <c r="E323" s="6" t="n">
        <v>2</v>
      </c>
      <c r="F323" s="7" t="n">
        <v>2.6</v>
      </c>
      <c r="G323" s="7" t="n">
        <v>0</v>
      </c>
      <c r="H323" s="7" t="n">
        <v>34.6</v>
      </c>
      <c r="I323" s="7" t="n">
        <v>0.6</v>
      </c>
      <c r="J323" s="7" t="n">
        <v>1.2</v>
      </c>
      <c r="K323" s="7" t="n">
        <v>2</v>
      </c>
      <c r="L323" s="6" t="n">
        <v>42</v>
      </c>
      <c r="M323" s="6" t="n">
        <v>20</v>
      </c>
      <c r="N323" s="7" t="n">
        <v>9.1</v>
      </c>
      <c r="O323" s="6" t="s">
        <v>191</v>
      </c>
      <c r="P323" s="6" t="s">
        <v>192</v>
      </c>
      <c r="Q323" s="6" t="s">
        <v>584</v>
      </c>
      <c r="R323" s="6" t="s">
        <v>585</v>
      </c>
      <c r="S323" s="6"/>
    </row>
    <row r="324" customFormat="false" ht="15" hidden="false" customHeight="false" outlineLevel="0" collapsed="false">
      <c r="A324" s="6" t="s">
        <v>587</v>
      </c>
      <c r="B324" s="6" t="s">
        <v>51</v>
      </c>
      <c r="C324" s="6" t="s">
        <v>104</v>
      </c>
      <c r="D324" s="6" t="s">
        <v>164</v>
      </c>
      <c r="E324" s="6" t="n">
        <v>3</v>
      </c>
      <c r="F324" s="7" t="n">
        <v>3.2</v>
      </c>
      <c r="G324" s="7" t="n">
        <v>0</v>
      </c>
      <c r="H324" s="7" t="n">
        <v>34.6</v>
      </c>
      <c r="I324" s="7" t="n">
        <v>0.6</v>
      </c>
      <c r="J324" s="7" t="n">
        <v>1.2</v>
      </c>
      <c r="K324" s="7" t="n">
        <v>2</v>
      </c>
      <c r="L324" s="6" t="n">
        <v>42</v>
      </c>
      <c r="M324" s="6" t="n">
        <v>20</v>
      </c>
      <c r="N324" s="7" t="n">
        <v>9.1</v>
      </c>
      <c r="O324" s="6" t="s">
        <v>191</v>
      </c>
      <c r="P324" s="6" t="s">
        <v>192</v>
      </c>
      <c r="Q324" s="6" t="s">
        <v>584</v>
      </c>
      <c r="R324" s="6" t="s">
        <v>585</v>
      </c>
      <c r="S324" s="6"/>
    </row>
    <row r="325" customFormat="false" ht="15" hidden="false" customHeight="false" outlineLevel="0" collapsed="false">
      <c r="A325" s="6" t="s">
        <v>588</v>
      </c>
      <c r="B325" s="6" t="s">
        <v>51</v>
      </c>
      <c r="C325" s="6" t="s">
        <v>104</v>
      </c>
      <c r="D325" s="6" t="s">
        <v>164</v>
      </c>
      <c r="E325" s="6" t="n">
        <v>4</v>
      </c>
      <c r="F325" s="7" t="n">
        <v>3.8</v>
      </c>
      <c r="G325" s="7" t="n">
        <v>0</v>
      </c>
      <c r="H325" s="7" t="n">
        <v>34.6</v>
      </c>
      <c r="I325" s="7" t="n">
        <v>0.6</v>
      </c>
      <c r="J325" s="7" t="n">
        <v>1.2</v>
      </c>
      <c r="K325" s="7" t="n">
        <v>2</v>
      </c>
      <c r="L325" s="6" t="n">
        <v>42</v>
      </c>
      <c r="M325" s="6" t="n">
        <v>20</v>
      </c>
      <c r="N325" s="7" t="n">
        <v>9.1</v>
      </c>
      <c r="O325" s="6" t="s">
        <v>191</v>
      </c>
      <c r="P325" s="6" t="s">
        <v>192</v>
      </c>
      <c r="Q325" s="6" t="s">
        <v>584</v>
      </c>
      <c r="R325" s="6" t="s">
        <v>585</v>
      </c>
      <c r="S325" s="6"/>
    </row>
    <row r="326" customFormat="false" ht="15" hidden="false" customHeight="false" outlineLevel="0" collapsed="false">
      <c r="A326" s="6" t="s">
        <v>589</v>
      </c>
      <c r="B326" s="6" t="s">
        <v>51</v>
      </c>
      <c r="C326" s="6" t="s">
        <v>104</v>
      </c>
      <c r="D326" s="6" t="s">
        <v>164</v>
      </c>
      <c r="E326" s="6" t="n">
        <v>5</v>
      </c>
      <c r="F326" s="7" t="n">
        <v>4.4</v>
      </c>
      <c r="G326" s="7" t="n">
        <v>0</v>
      </c>
      <c r="H326" s="7" t="n">
        <v>34.6</v>
      </c>
      <c r="I326" s="7" t="n">
        <v>0.6</v>
      </c>
      <c r="J326" s="7" t="n">
        <v>1.2</v>
      </c>
      <c r="K326" s="7" t="n">
        <v>2</v>
      </c>
      <c r="L326" s="6" t="n">
        <v>42</v>
      </c>
      <c r="M326" s="6" t="n">
        <v>20</v>
      </c>
      <c r="N326" s="7" t="n">
        <v>9.1</v>
      </c>
      <c r="O326" s="6" t="s">
        <v>191</v>
      </c>
      <c r="P326" s="6" t="s">
        <v>192</v>
      </c>
      <c r="Q326" s="6" t="s">
        <v>584</v>
      </c>
      <c r="R326" s="6" t="s">
        <v>585</v>
      </c>
      <c r="S326" s="6"/>
    </row>
    <row r="327" customFormat="false" ht="15" hidden="false" customHeight="false" outlineLevel="0" collapsed="false">
      <c r="A327" s="6" t="s">
        <v>590</v>
      </c>
      <c r="B327" s="6" t="s">
        <v>51</v>
      </c>
      <c r="C327" s="6" t="s">
        <v>104</v>
      </c>
      <c r="D327" s="6" t="s">
        <v>164</v>
      </c>
      <c r="E327" s="6" t="n">
        <v>6</v>
      </c>
      <c r="F327" s="7" t="n">
        <v>5</v>
      </c>
      <c r="G327" s="7" t="n">
        <v>0</v>
      </c>
      <c r="H327" s="7" t="n">
        <v>34.6</v>
      </c>
      <c r="I327" s="7" t="n">
        <v>0.6</v>
      </c>
      <c r="J327" s="7" t="n">
        <v>1.2</v>
      </c>
      <c r="K327" s="7" t="n">
        <v>2</v>
      </c>
      <c r="L327" s="6" t="n">
        <v>42</v>
      </c>
      <c r="M327" s="6" t="n">
        <v>20</v>
      </c>
      <c r="N327" s="7" t="n">
        <v>9.1</v>
      </c>
      <c r="O327" s="6" t="s">
        <v>191</v>
      </c>
      <c r="P327" s="6" t="s">
        <v>192</v>
      </c>
      <c r="Q327" s="6" t="s">
        <v>584</v>
      </c>
      <c r="R327" s="6" t="s">
        <v>585</v>
      </c>
      <c r="S327" s="6"/>
    </row>
    <row r="328" customFormat="false" ht="15" hidden="false" customHeight="false" outlineLevel="0" collapsed="false">
      <c r="A328" s="6" t="s">
        <v>591</v>
      </c>
      <c r="B328" s="6" t="s">
        <v>51</v>
      </c>
      <c r="C328" s="6" t="s">
        <v>104</v>
      </c>
      <c r="D328" s="6" t="s">
        <v>164</v>
      </c>
      <c r="E328" s="6" t="n">
        <v>7</v>
      </c>
      <c r="F328" s="7" t="n">
        <v>5.6</v>
      </c>
      <c r="G328" s="7" t="n">
        <v>0</v>
      </c>
      <c r="H328" s="7" t="n">
        <v>34.6</v>
      </c>
      <c r="I328" s="7" t="n">
        <v>0.6</v>
      </c>
      <c r="J328" s="7" t="n">
        <v>1.2</v>
      </c>
      <c r="K328" s="7" t="n">
        <v>2</v>
      </c>
      <c r="L328" s="6" t="n">
        <v>42</v>
      </c>
      <c r="M328" s="6" t="n">
        <v>20</v>
      </c>
      <c r="N328" s="7" t="n">
        <v>9.1</v>
      </c>
      <c r="O328" s="6" t="s">
        <v>191</v>
      </c>
      <c r="P328" s="6" t="s">
        <v>192</v>
      </c>
      <c r="Q328" s="6" t="s">
        <v>584</v>
      </c>
      <c r="R328" s="6" t="s">
        <v>585</v>
      </c>
      <c r="S328" s="6"/>
    </row>
    <row r="329" customFormat="false" ht="15" hidden="false" customHeight="false" outlineLevel="0" collapsed="false">
      <c r="A329" s="6" t="s">
        <v>592</v>
      </c>
      <c r="B329" s="6" t="s">
        <v>51</v>
      </c>
      <c r="C329" s="6" t="s">
        <v>104</v>
      </c>
      <c r="D329" s="6" t="s">
        <v>164</v>
      </c>
      <c r="E329" s="6" t="n">
        <v>8</v>
      </c>
      <c r="F329" s="7" t="n">
        <v>6.2</v>
      </c>
      <c r="G329" s="7" t="n">
        <v>0</v>
      </c>
      <c r="H329" s="7" t="n">
        <v>34.6</v>
      </c>
      <c r="I329" s="7" t="n">
        <v>0.6</v>
      </c>
      <c r="J329" s="7" t="n">
        <v>1.2</v>
      </c>
      <c r="K329" s="7" t="n">
        <v>2</v>
      </c>
      <c r="L329" s="6" t="n">
        <v>42</v>
      </c>
      <c r="M329" s="6" t="n">
        <v>20</v>
      </c>
      <c r="N329" s="7" t="n">
        <v>9.1</v>
      </c>
      <c r="O329" s="6" t="s">
        <v>191</v>
      </c>
      <c r="P329" s="6" t="s">
        <v>192</v>
      </c>
      <c r="Q329" s="6" t="s">
        <v>584</v>
      </c>
      <c r="R329" s="6" t="s">
        <v>585</v>
      </c>
      <c r="S329" s="6"/>
    </row>
    <row r="330" customFormat="false" ht="15" hidden="false" customHeight="false" outlineLevel="0" collapsed="false">
      <c r="A330" s="6" t="s">
        <v>593</v>
      </c>
      <c r="B330" s="6" t="s">
        <v>51</v>
      </c>
      <c r="C330" s="6" t="s">
        <v>104</v>
      </c>
      <c r="D330" s="6" t="s">
        <v>164</v>
      </c>
      <c r="E330" s="6" t="n">
        <v>9</v>
      </c>
      <c r="F330" s="7" t="n">
        <v>6.8</v>
      </c>
      <c r="G330" s="7" t="n">
        <v>0</v>
      </c>
      <c r="H330" s="7" t="n">
        <v>34.6</v>
      </c>
      <c r="I330" s="7" t="n">
        <v>0.6</v>
      </c>
      <c r="J330" s="7" t="n">
        <v>1.2</v>
      </c>
      <c r="K330" s="7" t="n">
        <v>2</v>
      </c>
      <c r="L330" s="6" t="n">
        <v>42</v>
      </c>
      <c r="M330" s="6" t="n">
        <v>20</v>
      </c>
      <c r="N330" s="7" t="n">
        <v>9.1</v>
      </c>
      <c r="O330" s="6" t="s">
        <v>191</v>
      </c>
      <c r="P330" s="6" t="s">
        <v>192</v>
      </c>
      <c r="Q330" s="6" t="s">
        <v>584</v>
      </c>
      <c r="R330" s="6" t="s">
        <v>585</v>
      </c>
      <c r="S330" s="6"/>
    </row>
    <row r="331" customFormat="false" ht="15" hidden="false" customHeight="false" outlineLevel="0" collapsed="false">
      <c r="A331" s="6" t="s">
        <v>594</v>
      </c>
      <c r="B331" s="6" t="s">
        <v>51</v>
      </c>
      <c r="C331" s="6" t="s">
        <v>104</v>
      </c>
      <c r="D331" s="6" t="s">
        <v>164</v>
      </c>
      <c r="E331" s="6" t="n">
        <v>10</v>
      </c>
      <c r="F331" s="7" t="n">
        <v>7.4</v>
      </c>
      <c r="G331" s="7" t="n">
        <v>0</v>
      </c>
      <c r="H331" s="7" t="n">
        <v>34.6</v>
      </c>
      <c r="I331" s="7" t="n">
        <v>0.6</v>
      </c>
      <c r="J331" s="7" t="n">
        <v>1.2</v>
      </c>
      <c r="K331" s="7" t="n">
        <v>2</v>
      </c>
      <c r="L331" s="6" t="n">
        <v>42</v>
      </c>
      <c r="M331" s="6" t="n">
        <v>20</v>
      </c>
      <c r="N331" s="7" t="n">
        <v>9.1</v>
      </c>
      <c r="O331" s="6" t="s">
        <v>191</v>
      </c>
      <c r="P331" s="6" t="s">
        <v>192</v>
      </c>
      <c r="Q331" s="6" t="s">
        <v>584</v>
      </c>
      <c r="R331" s="6" t="s">
        <v>585</v>
      </c>
      <c r="S331" s="6"/>
    </row>
    <row r="332" customFormat="false" ht="15" hidden="false" customHeight="false" outlineLevel="0" collapsed="false">
      <c r="A332" s="6" t="s">
        <v>595</v>
      </c>
      <c r="B332" s="6" t="s">
        <v>51</v>
      </c>
      <c r="C332" s="6" t="s">
        <v>104</v>
      </c>
      <c r="D332" s="6" t="s">
        <v>164</v>
      </c>
      <c r="E332" s="6" t="n">
        <v>11</v>
      </c>
      <c r="F332" s="7" t="n">
        <v>8</v>
      </c>
      <c r="G332" s="7" t="n">
        <v>0</v>
      </c>
      <c r="H332" s="7" t="n">
        <v>34.6</v>
      </c>
      <c r="I332" s="7" t="n">
        <v>0.6</v>
      </c>
      <c r="J332" s="7" t="n">
        <v>1.2</v>
      </c>
      <c r="K332" s="7" t="n">
        <v>2</v>
      </c>
      <c r="L332" s="6" t="n">
        <v>42</v>
      </c>
      <c r="M332" s="6" t="n">
        <v>20</v>
      </c>
      <c r="N332" s="7" t="n">
        <v>9.1</v>
      </c>
      <c r="O332" s="6" t="s">
        <v>191</v>
      </c>
      <c r="P332" s="6" t="s">
        <v>192</v>
      </c>
      <c r="Q332" s="6" t="s">
        <v>596</v>
      </c>
      <c r="R332" s="6" t="s">
        <v>597</v>
      </c>
      <c r="S332" s="6"/>
    </row>
    <row r="333" customFormat="false" ht="15" hidden="false" customHeight="false" outlineLevel="0" collapsed="false">
      <c r="A333" s="6" t="s">
        <v>598</v>
      </c>
      <c r="B333" s="6" t="s">
        <v>51</v>
      </c>
      <c r="C333" s="6" t="s">
        <v>104</v>
      </c>
      <c r="D333" s="6" t="s">
        <v>164</v>
      </c>
      <c r="E333" s="6" t="n">
        <v>12</v>
      </c>
      <c r="F333" s="7" t="n">
        <v>8.6</v>
      </c>
      <c r="G333" s="7" t="n">
        <v>0</v>
      </c>
      <c r="H333" s="7" t="n">
        <v>34.6</v>
      </c>
      <c r="I333" s="7" t="n">
        <v>0.6</v>
      </c>
      <c r="J333" s="7" t="n">
        <v>1.2</v>
      </c>
      <c r="K333" s="7" t="n">
        <v>2</v>
      </c>
      <c r="L333" s="6" t="n">
        <v>42</v>
      </c>
      <c r="M333" s="6" t="n">
        <v>20</v>
      </c>
      <c r="N333" s="7" t="n">
        <v>9.1</v>
      </c>
      <c r="O333" s="6" t="s">
        <v>191</v>
      </c>
      <c r="P333" s="6" t="s">
        <v>192</v>
      </c>
      <c r="Q333" s="6" t="s">
        <v>596</v>
      </c>
      <c r="R333" s="6" t="s">
        <v>597</v>
      </c>
      <c r="S333" s="6"/>
    </row>
    <row r="334" customFormat="false" ht="15" hidden="false" customHeight="false" outlineLevel="0" collapsed="false">
      <c r="A334" s="6" t="s">
        <v>599</v>
      </c>
      <c r="B334" s="6" t="s">
        <v>51</v>
      </c>
      <c r="C334" s="6" t="s">
        <v>104</v>
      </c>
      <c r="D334" s="6" t="s">
        <v>164</v>
      </c>
      <c r="E334" s="6" t="n">
        <v>13</v>
      </c>
      <c r="F334" s="7" t="n">
        <v>9.2</v>
      </c>
      <c r="G334" s="7" t="n">
        <v>0</v>
      </c>
      <c r="H334" s="7" t="n">
        <v>34.6</v>
      </c>
      <c r="I334" s="7" t="n">
        <v>0.6</v>
      </c>
      <c r="J334" s="7" t="n">
        <v>1.2</v>
      </c>
      <c r="K334" s="7" t="n">
        <v>2</v>
      </c>
      <c r="L334" s="6" t="n">
        <v>42</v>
      </c>
      <c r="M334" s="6" t="n">
        <v>20</v>
      </c>
      <c r="N334" s="7" t="n">
        <v>9.1</v>
      </c>
      <c r="O334" s="6" t="s">
        <v>191</v>
      </c>
      <c r="P334" s="6" t="s">
        <v>192</v>
      </c>
      <c r="Q334" s="6" t="s">
        <v>596</v>
      </c>
      <c r="R334" s="6" t="s">
        <v>597</v>
      </c>
      <c r="S334" s="6"/>
    </row>
    <row r="335" customFormat="false" ht="15" hidden="false" customHeight="false" outlineLevel="0" collapsed="false">
      <c r="A335" s="6" t="s">
        <v>600</v>
      </c>
      <c r="B335" s="6" t="s">
        <v>51</v>
      </c>
      <c r="C335" s="6" t="s">
        <v>104</v>
      </c>
      <c r="D335" s="6" t="s">
        <v>164</v>
      </c>
      <c r="E335" s="6" t="n">
        <v>14</v>
      </c>
      <c r="F335" s="7" t="n">
        <v>9.8</v>
      </c>
      <c r="G335" s="7" t="n">
        <v>0</v>
      </c>
      <c r="H335" s="7" t="n">
        <v>34.6</v>
      </c>
      <c r="I335" s="7" t="n">
        <v>0.6</v>
      </c>
      <c r="J335" s="7" t="n">
        <v>1.2</v>
      </c>
      <c r="K335" s="7" t="n">
        <v>2</v>
      </c>
      <c r="L335" s="6" t="n">
        <v>42</v>
      </c>
      <c r="M335" s="6" t="n">
        <v>20</v>
      </c>
      <c r="N335" s="7" t="n">
        <v>9.1</v>
      </c>
      <c r="O335" s="6" t="s">
        <v>191</v>
      </c>
      <c r="P335" s="6" t="s">
        <v>192</v>
      </c>
      <c r="Q335" s="6" t="s">
        <v>596</v>
      </c>
      <c r="R335" s="6" t="s">
        <v>597</v>
      </c>
      <c r="S335" s="6"/>
    </row>
    <row r="336" customFormat="false" ht="15" hidden="false" customHeight="false" outlineLevel="0" collapsed="false">
      <c r="A336" s="6" t="s">
        <v>601</v>
      </c>
      <c r="B336" s="6" t="s">
        <v>51</v>
      </c>
      <c r="C336" s="6" t="s">
        <v>104</v>
      </c>
      <c r="D336" s="6" t="s">
        <v>164</v>
      </c>
      <c r="E336" s="6" t="n">
        <v>15</v>
      </c>
      <c r="F336" s="7" t="n">
        <v>10.4</v>
      </c>
      <c r="G336" s="7" t="n">
        <v>0</v>
      </c>
      <c r="H336" s="7" t="n">
        <v>34.6</v>
      </c>
      <c r="I336" s="7" t="n">
        <v>0.6</v>
      </c>
      <c r="J336" s="7" t="n">
        <v>1.2</v>
      </c>
      <c r="K336" s="7" t="n">
        <v>2</v>
      </c>
      <c r="L336" s="6" t="n">
        <v>42</v>
      </c>
      <c r="M336" s="6" t="n">
        <v>20</v>
      </c>
      <c r="N336" s="7" t="n">
        <v>9.6</v>
      </c>
      <c r="O336" s="6" t="s">
        <v>191</v>
      </c>
      <c r="P336" s="6" t="s">
        <v>192</v>
      </c>
      <c r="Q336" s="6" t="s">
        <v>596</v>
      </c>
      <c r="R336" s="6" t="s">
        <v>597</v>
      </c>
      <c r="S336" s="6"/>
    </row>
    <row r="337" customFormat="false" ht="15" hidden="false" customHeight="false" outlineLevel="0" collapsed="false">
      <c r="A337" s="6" t="s">
        <v>602</v>
      </c>
      <c r="B337" s="6" t="s">
        <v>51</v>
      </c>
      <c r="C337" s="6" t="s">
        <v>104</v>
      </c>
      <c r="D337" s="6" t="s">
        <v>164</v>
      </c>
      <c r="E337" s="6" t="n">
        <v>16</v>
      </c>
      <c r="F337" s="7" t="n">
        <v>11</v>
      </c>
      <c r="G337" s="7" t="n">
        <v>0</v>
      </c>
      <c r="H337" s="7" t="n">
        <v>34.6</v>
      </c>
      <c r="I337" s="7" t="n">
        <v>0.6</v>
      </c>
      <c r="J337" s="7" t="n">
        <v>1.2</v>
      </c>
      <c r="K337" s="7" t="n">
        <v>2</v>
      </c>
      <c r="L337" s="6" t="n">
        <v>42</v>
      </c>
      <c r="M337" s="6" t="n">
        <v>20</v>
      </c>
      <c r="N337" s="7" t="n">
        <v>0</v>
      </c>
      <c r="O337" s="6" t="s">
        <v>215</v>
      </c>
      <c r="P337" s="6"/>
      <c r="Q337" s="6" t="s">
        <v>596</v>
      </c>
      <c r="R337" s="6" t="s">
        <v>597</v>
      </c>
      <c r="S337" s="6"/>
    </row>
    <row r="338" customFormat="false" ht="15" hidden="false" customHeight="false" outlineLevel="0" collapsed="false">
      <c r="A338" s="6" t="s">
        <v>603</v>
      </c>
      <c r="B338" s="6" t="s">
        <v>51</v>
      </c>
      <c r="C338" s="6" t="s">
        <v>104</v>
      </c>
      <c r="D338" s="6" t="s">
        <v>164</v>
      </c>
      <c r="E338" s="6" t="n">
        <v>17</v>
      </c>
      <c r="F338" s="7" t="n">
        <v>11.6</v>
      </c>
      <c r="G338" s="7" t="n">
        <v>0</v>
      </c>
      <c r="H338" s="7" t="n">
        <v>34.6</v>
      </c>
      <c r="I338" s="7" t="n">
        <v>0.6</v>
      </c>
      <c r="J338" s="7" t="n">
        <v>1.2</v>
      </c>
      <c r="K338" s="7" t="n">
        <v>2</v>
      </c>
      <c r="L338" s="6" t="n">
        <v>42</v>
      </c>
      <c r="M338" s="6" t="n">
        <v>20</v>
      </c>
      <c r="N338" s="7" t="n">
        <v>0</v>
      </c>
      <c r="O338" s="6" t="s">
        <v>215</v>
      </c>
      <c r="P338" s="6"/>
      <c r="Q338" s="6" t="s">
        <v>596</v>
      </c>
      <c r="R338" s="6" t="s">
        <v>597</v>
      </c>
      <c r="S338" s="6"/>
    </row>
    <row r="339" customFormat="false" ht="15" hidden="false" customHeight="false" outlineLevel="0" collapsed="false">
      <c r="A339" s="6" t="s">
        <v>604</v>
      </c>
      <c r="B339" s="6" t="s">
        <v>51</v>
      </c>
      <c r="C339" s="6" t="s">
        <v>104</v>
      </c>
      <c r="D339" s="6" t="s">
        <v>164</v>
      </c>
      <c r="E339" s="6" t="n">
        <v>18</v>
      </c>
      <c r="F339" s="7" t="n">
        <v>12.2</v>
      </c>
      <c r="G339" s="7" t="n">
        <v>0</v>
      </c>
      <c r="H339" s="7" t="n">
        <v>34.6</v>
      </c>
      <c r="I339" s="7" t="n">
        <v>0.6</v>
      </c>
      <c r="J339" s="7" t="n">
        <v>1.2</v>
      </c>
      <c r="K339" s="7" t="n">
        <v>2</v>
      </c>
      <c r="L339" s="6" t="n">
        <v>42</v>
      </c>
      <c r="M339" s="6" t="n">
        <v>20</v>
      </c>
      <c r="N339" s="7" t="n">
        <v>0</v>
      </c>
      <c r="O339" s="6" t="s">
        <v>215</v>
      </c>
      <c r="P339" s="6"/>
      <c r="Q339" s="6" t="s">
        <v>596</v>
      </c>
      <c r="R339" s="6" t="s">
        <v>597</v>
      </c>
      <c r="S339" s="6"/>
    </row>
    <row r="340" customFormat="false" ht="15" hidden="false" customHeight="false" outlineLevel="0" collapsed="false">
      <c r="A340" s="6" t="s">
        <v>605</v>
      </c>
      <c r="B340" s="6" t="s">
        <v>51</v>
      </c>
      <c r="C340" s="6" t="s">
        <v>104</v>
      </c>
      <c r="D340" s="6" t="s">
        <v>164</v>
      </c>
      <c r="E340" s="6" t="n">
        <v>19</v>
      </c>
      <c r="F340" s="7" t="n">
        <v>12.8</v>
      </c>
      <c r="G340" s="7" t="n">
        <v>0</v>
      </c>
      <c r="H340" s="7" t="n">
        <v>34.6</v>
      </c>
      <c r="I340" s="7" t="n">
        <v>0.6</v>
      </c>
      <c r="J340" s="7" t="n">
        <v>1.2</v>
      </c>
      <c r="K340" s="7" t="n">
        <v>2</v>
      </c>
      <c r="L340" s="6" t="n">
        <v>42</v>
      </c>
      <c r="M340" s="6" t="n">
        <v>20</v>
      </c>
      <c r="N340" s="7" t="n">
        <v>0</v>
      </c>
      <c r="O340" s="6" t="s">
        <v>215</v>
      </c>
      <c r="P340" s="6"/>
      <c r="Q340" s="6" t="s">
        <v>596</v>
      </c>
      <c r="R340" s="6" t="s">
        <v>597</v>
      </c>
      <c r="S340" s="6"/>
    </row>
    <row r="341" customFormat="false" ht="15" hidden="false" customHeight="false" outlineLevel="0" collapsed="false">
      <c r="A341" s="6" t="s">
        <v>606</v>
      </c>
      <c r="B341" s="6" t="s">
        <v>51</v>
      </c>
      <c r="C341" s="6" t="s">
        <v>104</v>
      </c>
      <c r="D341" s="6" t="s">
        <v>164</v>
      </c>
      <c r="E341" s="6" t="n">
        <v>20</v>
      </c>
      <c r="F341" s="7" t="n">
        <v>13.4</v>
      </c>
      <c r="G341" s="7" t="n">
        <v>0</v>
      </c>
      <c r="H341" s="7" t="n">
        <v>34.6</v>
      </c>
      <c r="I341" s="7" t="n">
        <v>0.6</v>
      </c>
      <c r="J341" s="7" t="n">
        <v>1.2</v>
      </c>
      <c r="K341" s="7" t="n">
        <v>2</v>
      </c>
      <c r="L341" s="6" t="n">
        <v>42</v>
      </c>
      <c r="M341" s="6" t="n">
        <v>20</v>
      </c>
      <c r="N341" s="7" t="n">
        <v>0</v>
      </c>
      <c r="O341" s="6" t="s">
        <v>215</v>
      </c>
      <c r="P341" s="6"/>
      <c r="Q341" s="6" t="s">
        <v>596</v>
      </c>
      <c r="R341" s="6" t="s">
        <v>597</v>
      </c>
      <c r="S341" s="6"/>
    </row>
    <row r="342" customFormat="false" ht="15" hidden="false" customHeight="false" outlineLevel="0" collapsed="false">
      <c r="A342" s="6" t="s">
        <v>607</v>
      </c>
      <c r="B342" s="6" t="s">
        <v>51</v>
      </c>
      <c r="C342" s="6" t="s">
        <v>104</v>
      </c>
      <c r="D342" s="6" t="s">
        <v>166</v>
      </c>
      <c r="E342" s="6" t="n">
        <v>1</v>
      </c>
      <c r="F342" s="7" t="n">
        <v>2</v>
      </c>
      <c r="G342" s="7" t="n">
        <v>0</v>
      </c>
      <c r="H342" s="7" t="n">
        <v>37</v>
      </c>
      <c r="I342" s="7" t="n">
        <v>0.6</v>
      </c>
      <c r="J342" s="7" t="n">
        <v>1.2</v>
      </c>
      <c r="K342" s="7" t="n">
        <v>2</v>
      </c>
      <c r="L342" s="6" t="n">
        <v>42</v>
      </c>
      <c r="M342" s="6" t="n">
        <v>20</v>
      </c>
      <c r="N342" s="7" t="n">
        <v>9.2</v>
      </c>
      <c r="O342" s="6" t="s">
        <v>191</v>
      </c>
      <c r="P342" s="6" t="s">
        <v>242</v>
      </c>
      <c r="Q342" s="6" t="s">
        <v>608</v>
      </c>
      <c r="R342" s="6" t="s">
        <v>609</v>
      </c>
      <c r="S342" s="6"/>
    </row>
    <row r="343" customFormat="false" ht="15" hidden="false" customHeight="false" outlineLevel="0" collapsed="false">
      <c r="A343" s="6" t="s">
        <v>610</v>
      </c>
      <c r="B343" s="6" t="s">
        <v>51</v>
      </c>
      <c r="C343" s="6" t="s">
        <v>104</v>
      </c>
      <c r="D343" s="6" t="s">
        <v>166</v>
      </c>
      <c r="E343" s="6" t="n">
        <v>2</v>
      </c>
      <c r="F343" s="7" t="n">
        <v>2.6</v>
      </c>
      <c r="G343" s="7" t="n">
        <v>0</v>
      </c>
      <c r="H343" s="7" t="n">
        <v>37</v>
      </c>
      <c r="I343" s="7" t="n">
        <v>0.6</v>
      </c>
      <c r="J343" s="7" t="n">
        <v>1.2</v>
      </c>
      <c r="K343" s="7" t="n">
        <v>2</v>
      </c>
      <c r="L343" s="6" t="n">
        <v>42</v>
      </c>
      <c r="M343" s="6" t="n">
        <v>20</v>
      </c>
      <c r="N343" s="7" t="n">
        <v>9.2</v>
      </c>
      <c r="O343" s="6" t="s">
        <v>191</v>
      </c>
      <c r="P343" s="6" t="s">
        <v>242</v>
      </c>
      <c r="Q343" s="6" t="s">
        <v>608</v>
      </c>
      <c r="R343" s="6" t="s">
        <v>609</v>
      </c>
      <c r="S343" s="6"/>
    </row>
    <row r="344" customFormat="false" ht="15" hidden="false" customHeight="false" outlineLevel="0" collapsed="false">
      <c r="A344" s="6" t="s">
        <v>611</v>
      </c>
      <c r="B344" s="6" t="s">
        <v>51</v>
      </c>
      <c r="C344" s="6" t="s">
        <v>104</v>
      </c>
      <c r="D344" s="6" t="s">
        <v>166</v>
      </c>
      <c r="E344" s="6" t="n">
        <v>3</v>
      </c>
      <c r="F344" s="7" t="n">
        <v>3.2</v>
      </c>
      <c r="G344" s="7" t="n">
        <v>0</v>
      </c>
      <c r="H344" s="7" t="n">
        <v>37</v>
      </c>
      <c r="I344" s="7" t="n">
        <v>0.6</v>
      </c>
      <c r="J344" s="7" t="n">
        <v>1.2</v>
      </c>
      <c r="K344" s="7" t="n">
        <v>2</v>
      </c>
      <c r="L344" s="6" t="n">
        <v>42</v>
      </c>
      <c r="M344" s="6" t="n">
        <v>20</v>
      </c>
      <c r="N344" s="7" t="n">
        <v>9.2</v>
      </c>
      <c r="O344" s="6" t="s">
        <v>191</v>
      </c>
      <c r="P344" s="6" t="s">
        <v>242</v>
      </c>
      <c r="Q344" s="6" t="s">
        <v>608</v>
      </c>
      <c r="R344" s="6" t="s">
        <v>609</v>
      </c>
      <c r="S344" s="6"/>
    </row>
    <row r="345" customFormat="false" ht="15" hidden="false" customHeight="false" outlineLevel="0" collapsed="false">
      <c r="A345" s="6" t="s">
        <v>612</v>
      </c>
      <c r="B345" s="6" t="s">
        <v>51</v>
      </c>
      <c r="C345" s="6" t="s">
        <v>104</v>
      </c>
      <c r="D345" s="6" t="s">
        <v>166</v>
      </c>
      <c r="E345" s="6" t="n">
        <v>4</v>
      </c>
      <c r="F345" s="7" t="n">
        <v>3.8</v>
      </c>
      <c r="G345" s="7" t="n">
        <v>0</v>
      </c>
      <c r="H345" s="7" t="n">
        <v>37</v>
      </c>
      <c r="I345" s="7" t="n">
        <v>0.6</v>
      </c>
      <c r="J345" s="7" t="n">
        <v>1.2</v>
      </c>
      <c r="K345" s="7" t="n">
        <v>2</v>
      </c>
      <c r="L345" s="6" t="n">
        <v>42</v>
      </c>
      <c r="M345" s="6" t="n">
        <v>20</v>
      </c>
      <c r="N345" s="7" t="n">
        <v>9.2</v>
      </c>
      <c r="O345" s="6" t="s">
        <v>191</v>
      </c>
      <c r="P345" s="6" t="s">
        <v>242</v>
      </c>
      <c r="Q345" s="6" t="s">
        <v>608</v>
      </c>
      <c r="R345" s="6" t="s">
        <v>609</v>
      </c>
      <c r="S345" s="6"/>
    </row>
    <row r="346" customFormat="false" ht="15" hidden="false" customHeight="false" outlineLevel="0" collapsed="false">
      <c r="A346" s="6" t="s">
        <v>613</v>
      </c>
      <c r="B346" s="6" t="s">
        <v>51</v>
      </c>
      <c r="C346" s="6" t="s">
        <v>104</v>
      </c>
      <c r="D346" s="6" t="s">
        <v>166</v>
      </c>
      <c r="E346" s="6" t="n">
        <v>5</v>
      </c>
      <c r="F346" s="7" t="n">
        <v>4.4</v>
      </c>
      <c r="G346" s="7" t="n">
        <v>0</v>
      </c>
      <c r="H346" s="7" t="n">
        <v>37</v>
      </c>
      <c r="I346" s="7" t="n">
        <v>0.6</v>
      </c>
      <c r="J346" s="7" t="n">
        <v>1.2</v>
      </c>
      <c r="K346" s="7" t="n">
        <v>2</v>
      </c>
      <c r="L346" s="6" t="n">
        <v>42</v>
      </c>
      <c r="M346" s="6" t="n">
        <v>20</v>
      </c>
      <c r="N346" s="7" t="n">
        <v>9.2</v>
      </c>
      <c r="O346" s="6" t="s">
        <v>191</v>
      </c>
      <c r="P346" s="6" t="s">
        <v>242</v>
      </c>
      <c r="Q346" s="6" t="s">
        <v>608</v>
      </c>
      <c r="R346" s="6" t="s">
        <v>609</v>
      </c>
      <c r="S346" s="6"/>
    </row>
    <row r="347" customFormat="false" ht="15" hidden="false" customHeight="false" outlineLevel="0" collapsed="false">
      <c r="A347" s="6" t="s">
        <v>614</v>
      </c>
      <c r="B347" s="6" t="s">
        <v>51</v>
      </c>
      <c r="C347" s="6" t="s">
        <v>104</v>
      </c>
      <c r="D347" s="6" t="s">
        <v>166</v>
      </c>
      <c r="E347" s="6" t="n">
        <v>6</v>
      </c>
      <c r="F347" s="7" t="n">
        <v>5</v>
      </c>
      <c r="G347" s="7" t="n">
        <v>0</v>
      </c>
      <c r="H347" s="7" t="n">
        <v>37</v>
      </c>
      <c r="I347" s="7" t="n">
        <v>0.6</v>
      </c>
      <c r="J347" s="7" t="n">
        <v>1.2</v>
      </c>
      <c r="K347" s="7" t="n">
        <v>2</v>
      </c>
      <c r="L347" s="6" t="n">
        <v>42</v>
      </c>
      <c r="M347" s="6" t="n">
        <v>20</v>
      </c>
      <c r="N347" s="7" t="n">
        <v>9.2</v>
      </c>
      <c r="O347" s="6" t="s">
        <v>191</v>
      </c>
      <c r="P347" s="6" t="s">
        <v>242</v>
      </c>
      <c r="Q347" s="6" t="s">
        <v>608</v>
      </c>
      <c r="R347" s="6" t="s">
        <v>609</v>
      </c>
      <c r="S347" s="6"/>
    </row>
    <row r="348" customFormat="false" ht="15" hidden="false" customHeight="false" outlineLevel="0" collapsed="false">
      <c r="A348" s="6" t="s">
        <v>615</v>
      </c>
      <c r="B348" s="6" t="s">
        <v>51</v>
      </c>
      <c r="C348" s="6" t="s">
        <v>104</v>
      </c>
      <c r="D348" s="6" t="s">
        <v>166</v>
      </c>
      <c r="E348" s="6" t="n">
        <v>7</v>
      </c>
      <c r="F348" s="7" t="n">
        <v>5.6</v>
      </c>
      <c r="G348" s="7" t="n">
        <v>0</v>
      </c>
      <c r="H348" s="7" t="n">
        <v>37</v>
      </c>
      <c r="I348" s="7" t="n">
        <v>0.6</v>
      </c>
      <c r="J348" s="7" t="n">
        <v>1.2</v>
      </c>
      <c r="K348" s="7" t="n">
        <v>2</v>
      </c>
      <c r="L348" s="6" t="n">
        <v>42</v>
      </c>
      <c r="M348" s="6" t="n">
        <v>20</v>
      </c>
      <c r="N348" s="7" t="n">
        <v>9.2</v>
      </c>
      <c r="O348" s="6" t="s">
        <v>191</v>
      </c>
      <c r="P348" s="6" t="s">
        <v>242</v>
      </c>
      <c r="Q348" s="6" t="s">
        <v>608</v>
      </c>
      <c r="R348" s="6" t="s">
        <v>609</v>
      </c>
      <c r="S348" s="6"/>
    </row>
    <row r="349" customFormat="false" ht="15" hidden="false" customHeight="false" outlineLevel="0" collapsed="false">
      <c r="A349" s="6" t="s">
        <v>616</v>
      </c>
      <c r="B349" s="6" t="s">
        <v>51</v>
      </c>
      <c r="C349" s="6" t="s">
        <v>104</v>
      </c>
      <c r="D349" s="6" t="s">
        <v>166</v>
      </c>
      <c r="E349" s="6" t="n">
        <v>8</v>
      </c>
      <c r="F349" s="7" t="n">
        <v>6.2</v>
      </c>
      <c r="G349" s="7" t="n">
        <v>0</v>
      </c>
      <c r="H349" s="7" t="n">
        <v>37</v>
      </c>
      <c r="I349" s="7" t="n">
        <v>0.6</v>
      </c>
      <c r="J349" s="7" t="n">
        <v>1.2</v>
      </c>
      <c r="K349" s="7" t="n">
        <v>2</v>
      </c>
      <c r="L349" s="6" t="n">
        <v>42</v>
      </c>
      <c r="M349" s="6" t="n">
        <v>20</v>
      </c>
      <c r="N349" s="7" t="n">
        <v>9.2</v>
      </c>
      <c r="O349" s="6" t="s">
        <v>191</v>
      </c>
      <c r="P349" s="6" t="s">
        <v>242</v>
      </c>
      <c r="Q349" s="6" t="s">
        <v>608</v>
      </c>
      <c r="R349" s="6" t="s">
        <v>609</v>
      </c>
      <c r="S349" s="6"/>
    </row>
    <row r="350" customFormat="false" ht="15" hidden="false" customHeight="false" outlineLevel="0" collapsed="false">
      <c r="A350" s="6" t="s">
        <v>617</v>
      </c>
      <c r="B350" s="6" t="s">
        <v>51</v>
      </c>
      <c r="C350" s="6" t="s">
        <v>104</v>
      </c>
      <c r="D350" s="6" t="s">
        <v>166</v>
      </c>
      <c r="E350" s="6" t="n">
        <v>9</v>
      </c>
      <c r="F350" s="7" t="n">
        <v>6.8</v>
      </c>
      <c r="G350" s="7" t="n">
        <v>0</v>
      </c>
      <c r="H350" s="7" t="n">
        <v>37</v>
      </c>
      <c r="I350" s="7" t="n">
        <v>0.6</v>
      </c>
      <c r="J350" s="7" t="n">
        <v>1.2</v>
      </c>
      <c r="K350" s="7" t="n">
        <v>2</v>
      </c>
      <c r="L350" s="6" t="n">
        <v>42</v>
      </c>
      <c r="M350" s="6" t="n">
        <v>20</v>
      </c>
      <c r="N350" s="7" t="n">
        <v>9.2</v>
      </c>
      <c r="O350" s="6" t="s">
        <v>191</v>
      </c>
      <c r="P350" s="6" t="s">
        <v>242</v>
      </c>
      <c r="Q350" s="6" t="s">
        <v>608</v>
      </c>
      <c r="R350" s="6" t="s">
        <v>609</v>
      </c>
      <c r="S350" s="6"/>
    </row>
    <row r="351" customFormat="false" ht="15" hidden="false" customHeight="false" outlineLevel="0" collapsed="false">
      <c r="A351" s="6" t="s">
        <v>618</v>
      </c>
      <c r="B351" s="6" t="s">
        <v>51</v>
      </c>
      <c r="C351" s="6" t="s">
        <v>104</v>
      </c>
      <c r="D351" s="6" t="s">
        <v>166</v>
      </c>
      <c r="E351" s="6" t="n">
        <v>10</v>
      </c>
      <c r="F351" s="7" t="n">
        <v>7.4</v>
      </c>
      <c r="G351" s="7" t="n">
        <v>0</v>
      </c>
      <c r="H351" s="7" t="n">
        <v>37</v>
      </c>
      <c r="I351" s="7" t="n">
        <v>0.6</v>
      </c>
      <c r="J351" s="7" t="n">
        <v>1.2</v>
      </c>
      <c r="K351" s="7" t="n">
        <v>2</v>
      </c>
      <c r="L351" s="6" t="n">
        <v>42</v>
      </c>
      <c r="M351" s="6" t="n">
        <v>20</v>
      </c>
      <c r="N351" s="7" t="n">
        <v>9.2</v>
      </c>
      <c r="O351" s="6" t="s">
        <v>191</v>
      </c>
      <c r="P351" s="6" t="s">
        <v>242</v>
      </c>
      <c r="Q351" s="6" t="s">
        <v>608</v>
      </c>
      <c r="R351" s="6" t="s">
        <v>609</v>
      </c>
      <c r="S351" s="6"/>
    </row>
    <row r="352" customFormat="false" ht="15" hidden="false" customHeight="false" outlineLevel="0" collapsed="false">
      <c r="A352" s="6" t="s">
        <v>619</v>
      </c>
      <c r="B352" s="6" t="s">
        <v>51</v>
      </c>
      <c r="C352" s="6" t="s">
        <v>104</v>
      </c>
      <c r="D352" s="6" t="s">
        <v>166</v>
      </c>
      <c r="E352" s="6" t="n">
        <v>11</v>
      </c>
      <c r="F352" s="7" t="n">
        <v>8</v>
      </c>
      <c r="G352" s="7" t="n">
        <v>0</v>
      </c>
      <c r="H352" s="7" t="n">
        <v>37</v>
      </c>
      <c r="I352" s="7" t="n">
        <v>0.6</v>
      </c>
      <c r="J352" s="7" t="n">
        <v>1.2</v>
      </c>
      <c r="K352" s="7" t="n">
        <v>2</v>
      </c>
      <c r="L352" s="6" t="n">
        <v>42</v>
      </c>
      <c r="M352" s="6" t="n">
        <v>20</v>
      </c>
      <c r="N352" s="7" t="n">
        <v>9.2</v>
      </c>
      <c r="O352" s="6" t="s">
        <v>191</v>
      </c>
      <c r="P352" s="6" t="s">
        <v>242</v>
      </c>
      <c r="Q352" s="6" t="s">
        <v>620</v>
      </c>
      <c r="R352" s="6" t="s">
        <v>621</v>
      </c>
      <c r="S352" s="6"/>
    </row>
    <row r="353" customFormat="false" ht="15" hidden="false" customHeight="false" outlineLevel="0" collapsed="false">
      <c r="A353" s="6" t="s">
        <v>622</v>
      </c>
      <c r="B353" s="6" t="s">
        <v>51</v>
      </c>
      <c r="C353" s="6" t="s">
        <v>104</v>
      </c>
      <c r="D353" s="6" t="s">
        <v>166</v>
      </c>
      <c r="E353" s="6" t="n">
        <v>12</v>
      </c>
      <c r="F353" s="7" t="n">
        <v>8.6</v>
      </c>
      <c r="G353" s="7" t="n">
        <v>0</v>
      </c>
      <c r="H353" s="7" t="n">
        <v>37</v>
      </c>
      <c r="I353" s="7" t="n">
        <v>0.6</v>
      </c>
      <c r="J353" s="7" t="n">
        <v>1.2</v>
      </c>
      <c r="K353" s="7" t="n">
        <v>2</v>
      </c>
      <c r="L353" s="6" t="n">
        <v>42</v>
      </c>
      <c r="M353" s="6" t="n">
        <v>20</v>
      </c>
      <c r="N353" s="7" t="n">
        <v>9.2</v>
      </c>
      <c r="O353" s="6" t="s">
        <v>191</v>
      </c>
      <c r="P353" s="6" t="s">
        <v>242</v>
      </c>
      <c r="Q353" s="6" t="s">
        <v>620</v>
      </c>
      <c r="R353" s="6" t="s">
        <v>621</v>
      </c>
      <c r="S353" s="6"/>
    </row>
    <row r="354" customFormat="false" ht="15" hidden="false" customHeight="false" outlineLevel="0" collapsed="false">
      <c r="A354" s="6" t="s">
        <v>623</v>
      </c>
      <c r="B354" s="6" t="s">
        <v>51</v>
      </c>
      <c r="C354" s="6" t="s">
        <v>104</v>
      </c>
      <c r="D354" s="6" t="s">
        <v>166</v>
      </c>
      <c r="E354" s="6" t="n">
        <v>13</v>
      </c>
      <c r="F354" s="7" t="n">
        <v>9.2</v>
      </c>
      <c r="G354" s="7" t="n">
        <v>0</v>
      </c>
      <c r="H354" s="7" t="n">
        <v>37</v>
      </c>
      <c r="I354" s="7" t="n">
        <v>0.6</v>
      </c>
      <c r="J354" s="7" t="n">
        <v>1.2</v>
      </c>
      <c r="K354" s="7" t="n">
        <v>2</v>
      </c>
      <c r="L354" s="6" t="n">
        <v>42</v>
      </c>
      <c r="M354" s="6" t="n">
        <v>20</v>
      </c>
      <c r="N354" s="7" t="n">
        <v>9.2</v>
      </c>
      <c r="O354" s="6" t="s">
        <v>191</v>
      </c>
      <c r="P354" s="6" t="s">
        <v>242</v>
      </c>
      <c r="Q354" s="6" t="s">
        <v>620</v>
      </c>
      <c r="R354" s="6" t="s">
        <v>621</v>
      </c>
      <c r="S354" s="6"/>
    </row>
    <row r="355" customFormat="false" ht="15" hidden="false" customHeight="false" outlineLevel="0" collapsed="false">
      <c r="A355" s="6" t="s">
        <v>624</v>
      </c>
      <c r="B355" s="6" t="s">
        <v>51</v>
      </c>
      <c r="C355" s="6" t="s">
        <v>104</v>
      </c>
      <c r="D355" s="6" t="s">
        <v>166</v>
      </c>
      <c r="E355" s="6" t="n">
        <v>14</v>
      </c>
      <c r="F355" s="7" t="n">
        <v>9.8</v>
      </c>
      <c r="G355" s="7" t="n">
        <v>0</v>
      </c>
      <c r="H355" s="7" t="n">
        <v>37</v>
      </c>
      <c r="I355" s="7" t="n">
        <v>0.6</v>
      </c>
      <c r="J355" s="7" t="n">
        <v>1.2</v>
      </c>
      <c r="K355" s="7" t="n">
        <v>2</v>
      </c>
      <c r="L355" s="6" t="n">
        <v>42</v>
      </c>
      <c r="M355" s="6" t="n">
        <v>20</v>
      </c>
      <c r="N355" s="7" t="n">
        <v>9.2</v>
      </c>
      <c r="O355" s="6" t="s">
        <v>191</v>
      </c>
      <c r="P355" s="6" t="s">
        <v>242</v>
      </c>
      <c r="Q355" s="6" t="s">
        <v>620</v>
      </c>
      <c r="R355" s="6" t="s">
        <v>621</v>
      </c>
      <c r="S355" s="6"/>
    </row>
    <row r="356" customFormat="false" ht="15" hidden="false" customHeight="false" outlineLevel="0" collapsed="false">
      <c r="A356" s="6" t="s">
        <v>625</v>
      </c>
      <c r="B356" s="6" t="s">
        <v>51</v>
      </c>
      <c r="C356" s="6" t="s">
        <v>104</v>
      </c>
      <c r="D356" s="6" t="s">
        <v>166</v>
      </c>
      <c r="E356" s="6" t="n">
        <v>15</v>
      </c>
      <c r="F356" s="7" t="n">
        <v>10.4</v>
      </c>
      <c r="G356" s="7" t="n">
        <v>0</v>
      </c>
      <c r="H356" s="7" t="n">
        <v>37</v>
      </c>
      <c r="I356" s="7" t="n">
        <v>0.6</v>
      </c>
      <c r="J356" s="7" t="n">
        <v>1.2</v>
      </c>
      <c r="K356" s="7" t="n">
        <v>2</v>
      </c>
      <c r="L356" s="6" t="n">
        <v>42</v>
      </c>
      <c r="M356" s="6" t="n">
        <v>20</v>
      </c>
      <c r="N356" s="7" t="n">
        <v>9.2</v>
      </c>
      <c r="O356" s="6" t="s">
        <v>191</v>
      </c>
      <c r="P356" s="6" t="s">
        <v>242</v>
      </c>
      <c r="Q356" s="6" t="s">
        <v>620</v>
      </c>
      <c r="R356" s="6" t="s">
        <v>621</v>
      </c>
      <c r="S356" s="6"/>
    </row>
    <row r="357" customFormat="false" ht="15" hidden="false" customHeight="false" outlineLevel="0" collapsed="false">
      <c r="A357" s="6" t="s">
        <v>626</v>
      </c>
      <c r="B357" s="6" t="s">
        <v>51</v>
      </c>
      <c r="C357" s="6" t="s">
        <v>104</v>
      </c>
      <c r="D357" s="6" t="s">
        <v>166</v>
      </c>
      <c r="E357" s="6" t="n">
        <v>16</v>
      </c>
      <c r="F357" s="7" t="n">
        <v>11</v>
      </c>
      <c r="G357" s="7" t="n">
        <v>0</v>
      </c>
      <c r="H357" s="7" t="n">
        <v>37</v>
      </c>
      <c r="I357" s="7" t="n">
        <v>0.6</v>
      </c>
      <c r="J357" s="7" t="n">
        <v>1.2</v>
      </c>
      <c r="K357" s="7" t="n">
        <v>2</v>
      </c>
      <c r="L357" s="6" t="n">
        <v>42</v>
      </c>
      <c r="M357" s="6" t="n">
        <v>20</v>
      </c>
      <c r="N357" s="7" t="n">
        <v>0</v>
      </c>
      <c r="O357" s="6" t="s">
        <v>215</v>
      </c>
      <c r="P357" s="6"/>
      <c r="Q357" s="6" t="s">
        <v>620</v>
      </c>
      <c r="R357" s="6" t="s">
        <v>621</v>
      </c>
      <c r="S357" s="6"/>
    </row>
    <row r="358" customFormat="false" ht="15" hidden="false" customHeight="false" outlineLevel="0" collapsed="false">
      <c r="A358" s="6" t="s">
        <v>627</v>
      </c>
      <c r="B358" s="6" t="s">
        <v>51</v>
      </c>
      <c r="C358" s="6" t="s">
        <v>104</v>
      </c>
      <c r="D358" s="6" t="s">
        <v>166</v>
      </c>
      <c r="E358" s="6" t="n">
        <v>17</v>
      </c>
      <c r="F358" s="7" t="n">
        <v>11.6</v>
      </c>
      <c r="G358" s="7" t="n">
        <v>0</v>
      </c>
      <c r="H358" s="7" t="n">
        <v>37</v>
      </c>
      <c r="I358" s="7" t="n">
        <v>0.6</v>
      </c>
      <c r="J358" s="7" t="n">
        <v>1.2</v>
      </c>
      <c r="K358" s="7" t="n">
        <v>2</v>
      </c>
      <c r="L358" s="6" t="n">
        <v>42</v>
      </c>
      <c r="M358" s="6" t="n">
        <v>20</v>
      </c>
      <c r="N358" s="7" t="n">
        <v>0</v>
      </c>
      <c r="O358" s="6" t="s">
        <v>215</v>
      </c>
      <c r="P358" s="6"/>
      <c r="Q358" s="6" t="s">
        <v>620</v>
      </c>
      <c r="R358" s="6" t="s">
        <v>621</v>
      </c>
      <c r="S358" s="6"/>
    </row>
    <row r="359" customFormat="false" ht="15" hidden="false" customHeight="false" outlineLevel="0" collapsed="false">
      <c r="A359" s="6" t="s">
        <v>628</v>
      </c>
      <c r="B359" s="6" t="s">
        <v>51</v>
      </c>
      <c r="C359" s="6" t="s">
        <v>104</v>
      </c>
      <c r="D359" s="6" t="s">
        <v>166</v>
      </c>
      <c r="E359" s="6" t="n">
        <v>18</v>
      </c>
      <c r="F359" s="7" t="n">
        <v>12.2</v>
      </c>
      <c r="G359" s="7" t="n">
        <v>0</v>
      </c>
      <c r="H359" s="7" t="n">
        <v>37</v>
      </c>
      <c r="I359" s="7" t="n">
        <v>0.6</v>
      </c>
      <c r="J359" s="7" t="n">
        <v>1.2</v>
      </c>
      <c r="K359" s="7" t="n">
        <v>2</v>
      </c>
      <c r="L359" s="6" t="n">
        <v>42</v>
      </c>
      <c r="M359" s="6" t="n">
        <v>20</v>
      </c>
      <c r="N359" s="7" t="n">
        <v>0</v>
      </c>
      <c r="O359" s="6" t="s">
        <v>215</v>
      </c>
      <c r="P359" s="6"/>
      <c r="Q359" s="6" t="s">
        <v>620</v>
      </c>
      <c r="R359" s="6" t="s">
        <v>621</v>
      </c>
      <c r="S359" s="6"/>
    </row>
    <row r="360" customFormat="false" ht="15" hidden="false" customHeight="false" outlineLevel="0" collapsed="false">
      <c r="A360" s="6" t="s">
        <v>629</v>
      </c>
      <c r="B360" s="6" t="s">
        <v>51</v>
      </c>
      <c r="C360" s="6" t="s">
        <v>104</v>
      </c>
      <c r="D360" s="6" t="s">
        <v>166</v>
      </c>
      <c r="E360" s="6" t="n">
        <v>19</v>
      </c>
      <c r="F360" s="7" t="n">
        <v>12.8</v>
      </c>
      <c r="G360" s="7" t="n">
        <v>0</v>
      </c>
      <c r="H360" s="7" t="n">
        <v>37</v>
      </c>
      <c r="I360" s="7" t="n">
        <v>0.6</v>
      </c>
      <c r="J360" s="7" t="n">
        <v>1.2</v>
      </c>
      <c r="K360" s="7" t="n">
        <v>2</v>
      </c>
      <c r="L360" s="6" t="n">
        <v>42</v>
      </c>
      <c r="M360" s="6" t="n">
        <v>20</v>
      </c>
      <c r="N360" s="7" t="n">
        <v>0</v>
      </c>
      <c r="O360" s="6" t="s">
        <v>215</v>
      </c>
      <c r="P360" s="6"/>
      <c r="Q360" s="6" t="s">
        <v>620</v>
      </c>
      <c r="R360" s="6" t="s">
        <v>621</v>
      </c>
      <c r="S360" s="6"/>
    </row>
    <row r="361" customFormat="false" ht="15" hidden="false" customHeight="false" outlineLevel="0" collapsed="false">
      <c r="A361" s="6" t="s">
        <v>630</v>
      </c>
      <c r="B361" s="6" t="s">
        <v>51</v>
      </c>
      <c r="C361" s="6" t="s">
        <v>104</v>
      </c>
      <c r="D361" s="6" t="s">
        <v>166</v>
      </c>
      <c r="E361" s="6" t="n">
        <v>20</v>
      </c>
      <c r="F361" s="7" t="n">
        <v>13.4</v>
      </c>
      <c r="G361" s="7" t="n">
        <v>0</v>
      </c>
      <c r="H361" s="7" t="n">
        <v>37</v>
      </c>
      <c r="I361" s="7" t="n">
        <v>0.6</v>
      </c>
      <c r="J361" s="7" t="n">
        <v>1.2</v>
      </c>
      <c r="K361" s="7" t="n">
        <v>2</v>
      </c>
      <c r="L361" s="6" t="n">
        <v>42</v>
      </c>
      <c r="M361" s="6" t="n">
        <v>20</v>
      </c>
      <c r="N361" s="7" t="n">
        <v>0</v>
      </c>
      <c r="O361" s="6" t="s">
        <v>215</v>
      </c>
      <c r="P361" s="6"/>
      <c r="Q361" s="6" t="s">
        <v>620</v>
      </c>
      <c r="R361" s="6" t="s">
        <v>621</v>
      </c>
      <c r="S361" s="6"/>
    </row>
    <row r="362" customFormat="false" ht="15" hidden="false" customHeight="false" outlineLevel="0" collapsed="false">
      <c r="A362" s="6" t="s">
        <v>631</v>
      </c>
      <c r="B362" s="6" t="s">
        <v>51</v>
      </c>
      <c r="C362" s="6" t="s">
        <v>106</v>
      </c>
      <c r="D362" s="6" t="s">
        <v>167</v>
      </c>
      <c r="E362" s="6" t="n">
        <v>1</v>
      </c>
      <c r="F362" s="7" t="n">
        <v>22</v>
      </c>
      <c r="G362" s="7" t="n">
        <v>0</v>
      </c>
      <c r="H362" s="7" t="n">
        <v>25</v>
      </c>
      <c r="I362" s="7" t="n">
        <v>0.6</v>
      </c>
      <c r="J362" s="7" t="n">
        <v>1.2</v>
      </c>
      <c r="K362" s="7" t="n">
        <v>2</v>
      </c>
      <c r="L362" s="6" t="n">
        <v>42</v>
      </c>
      <c r="M362" s="6" t="n">
        <v>60</v>
      </c>
      <c r="N362" s="7" t="n">
        <v>45</v>
      </c>
      <c r="O362" s="6" t="s">
        <v>191</v>
      </c>
      <c r="P362" s="6" t="s">
        <v>439</v>
      </c>
      <c r="Q362" s="6" t="s">
        <v>632</v>
      </c>
      <c r="R362" s="6" t="s">
        <v>633</v>
      </c>
      <c r="S362" s="6"/>
    </row>
    <row r="363" customFormat="false" ht="15" hidden="false" customHeight="false" outlineLevel="0" collapsed="false">
      <c r="A363" s="6" t="s">
        <v>634</v>
      </c>
      <c r="B363" s="6" t="s">
        <v>51</v>
      </c>
      <c r="C363" s="6" t="s">
        <v>106</v>
      </c>
      <c r="D363" s="6" t="s">
        <v>167</v>
      </c>
      <c r="E363" s="6" t="n">
        <v>2</v>
      </c>
      <c r="F363" s="7" t="n">
        <v>22.6</v>
      </c>
      <c r="G363" s="7" t="n">
        <v>0</v>
      </c>
      <c r="H363" s="7" t="n">
        <v>25</v>
      </c>
      <c r="I363" s="7" t="n">
        <v>0.6</v>
      </c>
      <c r="J363" s="7" t="n">
        <v>1.2</v>
      </c>
      <c r="K363" s="7" t="n">
        <v>2</v>
      </c>
      <c r="L363" s="6" t="n">
        <v>42</v>
      </c>
      <c r="M363" s="6" t="n">
        <v>60</v>
      </c>
      <c r="N363" s="7" t="n">
        <v>45</v>
      </c>
      <c r="O363" s="6" t="s">
        <v>191</v>
      </c>
      <c r="P363" s="6" t="s">
        <v>439</v>
      </c>
      <c r="Q363" s="6" t="s">
        <v>632</v>
      </c>
      <c r="R363" s="6" t="s">
        <v>633</v>
      </c>
      <c r="S363" s="6"/>
    </row>
    <row r="364" customFormat="false" ht="15" hidden="false" customHeight="false" outlineLevel="0" collapsed="false">
      <c r="A364" s="6" t="s">
        <v>635</v>
      </c>
      <c r="B364" s="6" t="s">
        <v>51</v>
      </c>
      <c r="C364" s="6" t="s">
        <v>106</v>
      </c>
      <c r="D364" s="6" t="s">
        <v>167</v>
      </c>
      <c r="E364" s="6" t="n">
        <v>3</v>
      </c>
      <c r="F364" s="7" t="n">
        <v>23.2</v>
      </c>
      <c r="G364" s="7" t="n">
        <v>0</v>
      </c>
      <c r="H364" s="7" t="n">
        <v>25</v>
      </c>
      <c r="I364" s="7" t="n">
        <v>0.6</v>
      </c>
      <c r="J364" s="7" t="n">
        <v>1.2</v>
      </c>
      <c r="K364" s="7" t="n">
        <v>2</v>
      </c>
      <c r="L364" s="6" t="n">
        <v>42</v>
      </c>
      <c r="M364" s="6" t="n">
        <v>60</v>
      </c>
      <c r="N364" s="7" t="n">
        <v>45</v>
      </c>
      <c r="O364" s="6" t="s">
        <v>191</v>
      </c>
      <c r="P364" s="6" t="s">
        <v>439</v>
      </c>
      <c r="Q364" s="6" t="s">
        <v>632</v>
      </c>
      <c r="R364" s="6" t="s">
        <v>633</v>
      </c>
      <c r="S364" s="6"/>
    </row>
    <row r="365" customFormat="false" ht="15" hidden="false" customHeight="false" outlineLevel="0" collapsed="false">
      <c r="A365" s="6" t="s">
        <v>636</v>
      </c>
      <c r="B365" s="6" t="s">
        <v>51</v>
      </c>
      <c r="C365" s="6" t="s">
        <v>106</v>
      </c>
      <c r="D365" s="6" t="s">
        <v>167</v>
      </c>
      <c r="E365" s="6" t="n">
        <v>4</v>
      </c>
      <c r="F365" s="7" t="n">
        <v>23.8</v>
      </c>
      <c r="G365" s="7" t="n">
        <v>0</v>
      </c>
      <c r="H365" s="7" t="n">
        <v>25</v>
      </c>
      <c r="I365" s="7" t="n">
        <v>0.6</v>
      </c>
      <c r="J365" s="7" t="n">
        <v>1.2</v>
      </c>
      <c r="K365" s="7" t="n">
        <v>2</v>
      </c>
      <c r="L365" s="6" t="n">
        <v>42</v>
      </c>
      <c r="M365" s="6" t="n">
        <v>60</v>
      </c>
      <c r="N365" s="7" t="n">
        <v>45</v>
      </c>
      <c r="O365" s="6" t="s">
        <v>191</v>
      </c>
      <c r="P365" s="6" t="s">
        <v>439</v>
      </c>
      <c r="Q365" s="6" t="s">
        <v>632</v>
      </c>
      <c r="R365" s="6" t="s">
        <v>633</v>
      </c>
      <c r="S365" s="6"/>
    </row>
    <row r="366" customFormat="false" ht="15" hidden="false" customHeight="false" outlineLevel="0" collapsed="false">
      <c r="A366" s="6" t="s">
        <v>637</v>
      </c>
      <c r="B366" s="6" t="s">
        <v>51</v>
      </c>
      <c r="C366" s="6" t="s">
        <v>106</v>
      </c>
      <c r="D366" s="6" t="s">
        <v>167</v>
      </c>
      <c r="E366" s="6" t="n">
        <v>5</v>
      </c>
      <c r="F366" s="7" t="n">
        <v>24.4</v>
      </c>
      <c r="G366" s="7" t="n">
        <v>0</v>
      </c>
      <c r="H366" s="7" t="n">
        <v>25</v>
      </c>
      <c r="I366" s="7" t="n">
        <v>0.6</v>
      </c>
      <c r="J366" s="7" t="n">
        <v>1.2</v>
      </c>
      <c r="K366" s="7" t="n">
        <v>2</v>
      </c>
      <c r="L366" s="6" t="n">
        <v>42</v>
      </c>
      <c r="M366" s="6" t="n">
        <v>60</v>
      </c>
      <c r="N366" s="7" t="n">
        <v>45</v>
      </c>
      <c r="O366" s="6" t="s">
        <v>191</v>
      </c>
      <c r="P366" s="6" t="s">
        <v>439</v>
      </c>
      <c r="Q366" s="6" t="s">
        <v>632</v>
      </c>
      <c r="R366" s="6" t="s">
        <v>633</v>
      </c>
      <c r="S366" s="6"/>
    </row>
    <row r="367" customFormat="false" ht="15" hidden="false" customHeight="false" outlineLevel="0" collapsed="false">
      <c r="A367" s="6" t="s">
        <v>638</v>
      </c>
      <c r="B367" s="6" t="s">
        <v>51</v>
      </c>
      <c r="C367" s="6" t="s">
        <v>106</v>
      </c>
      <c r="D367" s="6" t="s">
        <v>167</v>
      </c>
      <c r="E367" s="6" t="n">
        <v>6</v>
      </c>
      <c r="F367" s="7" t="n">
        <v>25</v>
      </c>
      <c r="G367" s="7" t="n">
        <v>0</v>
      </c>
      <c r="H367" s="7" t="n">
        <v>25</v>
      </c>
      <c r="I367" s="7" t="n">
        <v>0.6</v>
      </c>
      <c r="J367" s="7" t="n">
        <v>1.2</v>
      </c>
      <c r="K367" s="7" t="n">
        <v>2</v>
      </c>
      <c r="L367" s="6" t="n">
        <v>42</v>
      </c>
      <c r="M367" s="6" t="n">
        <v>60</v>
      </c>
      <c r="N367" s="7" t="n">
        <v>45</v>
      </c>
      <c r="O367" s="6" t="s">
        <v>191</v>
      </c>
      <c r="P367" s="6" t="s">
        <v>439</v>
      </c>
      <c r="Q367" s="6" t="s">
        <v>632</v>
      </c>
      <c r="R367" s="6" t="s">
        <v>633</v>
      </c>
      <c r="S367" s="6"/>
    </row>
    <row r="368" customFormat="false" ht="15" hidden="false" customHeight="false" outlineLevel="0" collapsed="false">
      <c r="A368" s="6" t="s">
        <v>639</v>
      </c>
      <c r="B368" s="6" t="s">
        <v>51</v>
      </c>
      <c r="C368" s="6" t="s">
        <v>106</v>
      </c>
      <c r="D368" s="6" t="s">
        <v>167</v>
      </c>
      <c r="E368" s="6" t="n">
        <v>7</v>
      </c>
      <c r="F368" s="7" t="n">
        <v>25.6</v>
      </c>
      <c r="G368" s="7" t="n">
        <v>0</v>
      </c>
      <c r="H368" s="7" t="n">
        <v>25</v>
      </c>
      <c r="I368" s="7" t="n">
        <v>0.6</v>
      </c>
      <c r="J368" s="7" t="n">
        <v>1.2</v>
      </c>
      <c r="K368" s="7" t="n">
        <v>2</v>
      </c>
      <c r="L368" s="6" t="n">
        <v>42</v>
      </c>
      <c r="M368" s="6" t="n">
        <v>60</v>
      </c>
      <c r="N368" s="7" t="n">
        <v>45</v>
      </c>
      <c r="O368" s="6" t="s">
        <v>191</v>
      </c>
      <c r="P368" s="6" t="s">
        <v>439</v>
      </c>
      <c r="Q368" s="6" t="s">
        <v>632</v>
      </c>
      <c r="R368" s="6" t="s">
        <v>633</v>
      </c>
      <c r="S368" s="6"/>
    </row>
    <row r="369" customFormat="false" ht="15" hidden="false" customHeight="false" outlineLevel="0" collapsed="false">
      <c r="A369" s="6" t="s">
        <v>640</v>
      </c>
      <c r="B369" s="6" t="s">
        <v>51</v>
      </c>
      <c r="C369" s="6" t="s">
        <v>106</v>
      </c>
      <c r="D369" s="6" t="s">
        <v>167</v>
      </c>
      <c r="E369" s="6" t="n">
        <v>8</v>
      </c>
      <c r="F369" s="7" t="n">
        <v>26.2</v>
      </c>
      <c r="G369" s="7" t="n">
        <v>0</v>
      </c>
      <c r="H369" s="7" t="n">
        <v>25</v>
      </c>
      <c r="I369" s="7" t="n">
        <v>0.6</v>
      </c>
      <c r="J369" s="7" t="n">
        <v>1.2</v>
      </c>
      <c r="K369" s="7" t="n">
        <v>2</v>
      </c>
      <c r="L369" s="6" t="n">
        <v>42</v>
      </c>
      <c r="M369" s="6" t="n">
        <v>60</v>
      </c>
      <c r="N369" s="7" t="n">
        <v>45</v>
      </c>
      <c r="O369" s="6" t="s">
        <v>191</v>
      </c>
      <c r="P369" s="6" t="s">
        <v>439</v>
      </c>
      <c r="Q369" s="6" t="s">
        <v>632</v>
      </c>
      <c r="R369" s="6" t="s">
        <v>633</v>
      </c>
      <c r="S369" s="6"/>
    </row>
    <row r="370" customFormat="false" ht="15" hidden="false" customHeight="false" outlineLevel="0" collapsed="false">
      <c r="A370" s="6" t="s">
        <v>641</v>
      </c>
      <c r="B370" s="6" t="s">
        <v>51</v>
      </c>
      <c r="C370" s="6" t="s">
        <v>106</v>
      </c>
      <c r="D370" s="6" t="s">
        <v>167</v>
      </c>
      <c r="E370" s="6" t="n">
        <v>9</v>
      </c>
      <c r="F370" s="7" t="n">
        <v>26.8</v>
      </c>
      <c r="G370" s="7" t="n">
        <v>0</v>
      </c>
      <c r="H370" s="7" t="n">
        <v>25</v>
      </c>
      <c r="I370" s="7" t="n">
        <v>0.6</v>
      </c>
      <c r="J370" s="7" t="n">
        <v>1.2</v>
      </c>
      <c r="K370" s="7" t="n">
        <v>2</v>
      </c>
      <c r="L370" s="6" t="n">
        <v>42</v>
      </c>
      <c r="M370" s="6" t="n">
        <v>60</v>
      </c>
      <c r="N370" s="7" t="n">
        <v>45</v>
      </c>
      <c r="O370" s="6" t="s">
        <v>191</v>
      </c>
      <c r="P370" s="6" t="s">
        <v>439</v>
      </c>
      <c r="Q370" s="6" t="s">
        <v>632</v>
      </c>
      <c r="R370" s="6" t="s">
        <v>633</v>
      </c>
      <c r="S370" s="6"/>
    </row>
    <row r="371" customFormat="false" ht="15" hidden="false" customHeight="false" outlineLevel="0" collapsed="false">
      <c r="A371" s="6" t="s">
        <v>642</v>
      </c>
      <c r="B371" s="6" t="s">
        <v>51</v>
      </c>
      <c r="C371" s="6" t="s">
        <v>106</v>
      </c>
      <c r="D371" s="6" t="s">
        <v>167</v>
      </c>
      <c r="E371" s="6" t="n">
        <v>10</v>
      </c>
      <c r="F371" s="7" t="n">
        <v>27.4</v>
      </c>
      <c r="G371" s="7" t="n">
        <v>0</v>
      </c>
      <c r="H371" s="7" t="n">
        <v>25</v>
      </c>
      <c r="I371" s="7" t="n">
        <v>0.6</v>
      </c>
      <c r="J371" s="7" t="n">
        <v>1.2</v>
      </c>
      <c r="K371" s="7" t="n">
        <v>2</v>
      </c>
      <c r="L371" s="6" t="n">
        <v>42</v>
      </c>
      <c r="M371" s="6" t="n">
        <v>60</v>
      </c>
      <c r="N371" s="7" t="n">
        <v>45</v>
      </c>
      <c r="O371" s="6" t="s">
        <v>191</v>
      </c>
      <c r="P371" s="6" t="s">
        <v>439</v>
      </c>
      <c r="Q371" s="6" t="s">
        <v>632</v>
      </c>
      <c r="R371" s="6" t="s">
        <v>633</v>
      </c>
      <c r="S371" s="6"/>
    </row>
    <row r="372" customFormat="false" ht="15" hidden="false" customHeight="false" outlineLevel="0" collapsed="false">
      <c r="A372" s="6" t="s">
        <v>643</v>
      </c>
      <c r="B372" s="6" t="s">
        <v>51</v>
      </c>
      <c r="C372" s="6" t="s">
        <v>106</v>
      </c>
      <c r="D372" s="6" t="s">
        <v>167</v>
      </c>
      <c r="E372" s="6" t="n">
        <v>11</v>
      </c>
      <c r="F372" s="7" t="n">
        <v>28</v>
      </c>
      <c r="G372" s="7" t="n">
        <v>0</v>
      </c>
      <c r="H372" s="7" t="n">
        <v>25</v>
      </c>
      <c r="I372" s="7" t="n">
        <v>0.6</v>
      </c>
      <c r="J372" s="7" t="n">
        <v>1.2</v>
      </c>
      <c r="K372" s="7" t="n">
        <v>2</v>
      </c>
      <c r="L372" s="6" t="n">
        <v>42</v>
      </c>
      <c r="M372" s="6" t="n">
        <v>60</v>
      </c>
      <c r="N372" s="7" t="n">
        <v>45</v>
      </c>
      <c r="O372" s="6" t="s">
        <v>191</v>
      </c>
      <c r="P372" s="6" t="s">
        <v>439</v>
      </c>
      <c r="Q372" s="6" t="s">
        <v>644</v>
      </c>
      <c r="R372" s="6" t="s">
        <v>645</v>
      </c>
      <c r="S372" s="6"/>
    </row>
    <row r="373" customFormat="false" ht="15" hidden="false" customHeight="false" outlineLevel="0" collapsed="false">
      <c r="A373" s="6" t="s">
        <v>646</v>
      </c>
      <c r="B373" s="6" t="s">
        <v>51</v>
      </c>
      <c r="C373" s="6" t="s">
        <v>106</v>
      </c>
      <c r="D373" s="6" t="s">
        <v>167</v>
      </c>
      <c r="E373" s="6" t="n">
        <v>12</v>
      </c>
      <c r="F373" s="7" t="n">
        <v>28.6</v>
      </c>
      <c r="G373" s="7" t="n">
        <v>0</v>
      </c>
      <c r="H373" s="7" t="n">
        <v>25</v>
      </c>
      <c r="I373" s="7" t="n">
        <v>0.6</v>
      </c>
      <c r="J373" s="7" t="n">
        <v>1.2</v>
      </c>
      <c r="K373" s="7" t="n">
        <v>2</v>
      </c>
      <c r="L373" s="6" t="n">
        <v>42</v>
      </c>
      <c r="M373" s="6" t="n">
        <v>60</v>
      </c>
      <c r="N373" s="7" t="n">
        <v>45</v>
      </c>
      <c r="O373" s="6" t="s">
        <v>191</v>
      </c>
      <c r="P373" s="6" t="s">
        <v>439</v>
      </c>
      <c r="Q373" s="6" t="s">
        <v>644</v>
      </c>
      <c r="R373" s="6" t="s">
        <v>645</v>
      </c>
      <c r="S373" s="6"/>
    </row>
    <row r="374" customFormat="false" ht="15" hidden="false" customHeight="false" outlineLevel="0" collapsed="false">
      <c r="A374" s="6" t="s">
        <v>647</v>
      </c>
      <c r="B374" s="6" t="s">
        <v>51</v>
      </c>
      <c r="C374" s="6" t="s">
        <v>106</v>
      </c>
      <c r="D374" s="6" t="s">
        <v>167</v>
      </c>
      <c r="E374" s="6" t="n">
        <v>13</v>
      </c>
      <c r="F374" s="7" t="n">
        <v>29.2</v>
      </c>
      <c r="G374" s="7" t="n">
        <v>0</v>
      </c>
      <c r="H374" s="7" t="n">
        <v>25</v>
      </c>
      <c r="I374" s="7" t="n">
        <v>0.6</v>
      </c>
      <c r="J374" s="7" t="n">
        <v>1.2</v>
      </c>
      <c r="K374" s="7" t="n">
        <v>2</v>
      </c>
      <c r="L374" s="6" t="n">
        <v>42</v>
      </c>
      <c r="M374" s="6" t="n">
        <v>60</v>
      </c>
      <c r="N374" s="7" t="n">
        <v>45</v>
      </c>
      <c r="O374" s="6" t="s">
        <v>191</v>
      </c>
      <c r="P374" s="6" t="s">
        <v>439</v>
      </c>
      <c r="Q374" s="6" t="s">
        <v>644</v>
      </c>
      <c r="R374" s="6" t="s">
        <v>645</v>
      </c>
      <c r="S374" s="6"/>
    </row>
    <row r="375" customFormat="false" ht="15" hidden="false" customHeight="false" outlineLevel="0" collapsed="false">
      <c r="A375" s="6" t="s">
        <v>648</v>
      </c>
      <c r="B375" s="6" t="s">
        <v>51</v>
      </c>
      <c r="C375" s="6" t="s">
        <v>106</v>
      </c>
      <c r="D375" s="6" t="s">
        <v>167</v>
      </c>
      <c r="E375" s="6" t="n">
        <v>14</v>
      </c>
      <c r="F375" s="7" t="n">
        <v>29.8</v>
      </c>
      <c r="G375" s="7" t="n">
        <v>0</v>
      </c>
      <c r="H375" s="7" t="n">
        <v>25</v>
      </c>
      <c r="I375" s="7" t="n">
        <v>0.6</v>
      </c>
      <c r="J375" s="7" t="n">
        <v>1.2</v>
      </c>
      <c r="K375" s="7" t="n">
        <v>2</v>
      </c>
      <c r="L375" s="6" t="n">
        <v>42</v>
      </c>
      <c r="M375" s="6" t="n">
        <v>60</v>
      </c>
      <c r="N375" s="7" t="n">
        <v>45</v>
      </c>
      <c r="O375" s="6" t="s">
        <v>191</v>
      </c>
      <c r="P375" s="6" t="s">
        <v>439</v>
      </c>
      <c r="Q375" s="6" t="s">
        <v>644</v>
      </c>
      <c r="R375" s="6" t="s">
        <v>645</v>
      </c>
      <c r="S375" s="6"/>
    </row>
    <row r="376" customFormat="false" ht="15" hidden="false" customHeight="false" outlineLevel="0" collapsed="false">
      <c r="A376" s="6" t="s">
        <v>649</v>
      </c>
      <c r="B376" s="6" t="s">
        <v>51</v>
      </c>
      <c r="C376" s="6" t="s">
        <v>106</v>
      </c>
      <c r="D376" s="6" t="s">
        <v>167</v>
      </c>
      <c r="E376" s="6" t="n">
        <v>15</v>
      </c>
      <c r="F376" s="7" t="n">
        <v>30.4</v>
      </c>
      <c r="G376" s="7" t="n">
        <v>0</v>
      </c>
      <c r="H376" s="7" t="n">
        <v>25</v>
      </c>
      <c r="I376" s="7" t="n">
        <v>0.6</v>
      </c>
      <c r="J376" s="7" t="n">
        <v>1.2</v>
      </c>
      <c r="K376" s="7" t="n">
        <v>2</v>
      </c>
      <c r="L376" s="6" t="n">
        <v>42</v>
      </c>
      <c r="M376" s="6" t="n">
        <v>60</v>
      </c>
      <c r="N376" s="7" t="n">
        <v>45</v>
      </c>
      <c r="O376" s="6" t="s">
        <v>191</v>
      </c>
      <c r="P376" s="6" t="s">
        <v>439</v>
      </c>
      <c r="Q376" s="6" t="s">
        <v>644</v>
      </c>
      <c r="R376" s="6" t="s">
        <v>645</v>
      </c>
      <c r="S376" s="6"/>
    </row>
    <row r="377" customFormat="false" ht="15" hidden="false" customHeight="false" outlineLevel="0" collapsed="false">
      <c r="A377" s="6" t="s">
        <v>650</v>
      </c>
      <c r="B377" s="6" t="s">
        <v>51</v>
      </c>
      <c r="C377" s="6" t="s">
        <v>106</v>
      </c>
      <c r="D377" s="6" t="s">
        <v>167</v>
      </c>
      <c r="E377" s="6" t="n">
        <v>16</v>
      </c>
      <c r="F377" s="7" t="n">
        <v>31</v>
      </c>
      <c r="G377" s="7" t="n">
        <v>0</v>
      </c>
      <c r="H377" s="7" t="n">
        <v>25</v>
      </c>
      <c r="I377" s="7" t="n">
        <v>0.6</v>
      </c>
      <c r="J377" s="7" t="n">
        <v>1.2</v>
      </c>
      <c r="K377" s="7" t="n">
        <v>2</v>
      </c>
      <c r="L377" s="6" t="n">
        <v>42</v>
      </c>
      <c r="M377" s="6" t="n">
        <v>60</v>
      </c>
      <c r="N377" s="7" t="n">
        <v>45</v>
      </c>
      <c r="O377" s="6" t="s">
        <v>191</v>
      </c>
      <c r="P377" s="6" t="s">
        <v>439</v>
      </c>
      <c r="Q377" s="6" t="s">
        <v>644</v>
      </c>
      <c r="R377" s="6" t="s">
        <v>645</v>
      </c>
      <c r="S377" s="6"/>
    </row>
    <row r="378" customFormat="false" ht="15" hidden="false" customHeight="false" outlineLevel="0" collapsed="false">
      <c r="A378" s="6" t="s">
        <v>651</v>
      </c>
      <c r="B378" s="6" t="s">
        <v>51</v>
      </c>
      <c r="C378" s="6" t="s">
        <v>106</v>
      </c>
      <c r="D378" s="6" t="s">
        <v>167</v>
      </c>
      <c r="E378" s="6" t="n">
        <v>17</v>
      </c>
      <c r="F378" s="7" t="n">
        <v>31.6</v>
      </c>
      <c r="G378" s="7" t="n">
        <v>0</v>
      </c>
      <c r="H378" s="7" t="n">
        <v>25</v>
      </c>
      <c r="I378" s="7" t="n">
        <v>0.6</v>
      </c>
      <c r="J378" s="7" t="n">
        <v>1.2</v>
      </c>
      <c r="K378" s="7" t="n">
        <v>2</v>
      </c>
      <c r="L378" s="6" t="n">
        <v>42</v>
      </c>
      <c r="M378" s="6" t="n">
        <v>60</v>
      </c>
      <c r="N378" s="7" t="n">
        <v>0</v>
      </c>
      <c r="O378" s="6" t="s">
        <v>215</v>
      </c>
      <c r="P378" s="6"/>
      <c r="Q378" s="6" t="s">
        <v>644</v>
      </c>
      <c r="R378" s="6" t="s">
        <v>645</v>
      </c>
      <c r="S378" s="6"/>
    </row>
    <row r="379" customFormat="false" ht="15" hidden="false" customHeight="false" outlineLevel="0" collapsed="false">
      <c r="A379" s="6" t="s">
        <v>652</v>
      </c>
      <c r="B379" s="6" t="s">
        <v>51</v>
      </c>
      <c r="C379" s="6" t="s">
        <v>106</v>
      </c>
      <c r="D379" s="6" t="s">
        <v>167</v>
      </c>
      <c r="E379" s="6" t="n">
        <v>18</v>
      </c>
      <c r="F379" s="7" t="n">
        <v>32.2</v>
      </c>
      <c r="G379" s="7" t="n">
        <v>0</v>
      </c>
      <c r="H379" s="7" t="n">
        <v>25</v>
      </c>
      <c r="I379" s="7" t="n">
        <v>0.6</v>
      </c>
      <c r="J379" s="7" t="n">
        <v>1.2</v>
      </c>
      <c r="K379" s="7" t="n">
        <v>2</v>
      </c>
      <c r="L379" s="6" t="n">
        <v>42</v>
      </c>
      <c r="M379" s="6" t="n">
        <v>60</v>
      </c>
      <c r="N379" s="7" t="n">
        <v>0</v>
      </c>
      <c r="O379" s="6" t="s">
        <v>215</v>
      </c>
      <c r="P379" s="6"/>
      <c r="Q379" s="6" t="s">
        <v>644</v>
      </c>
      <c r="R379" s="6" t="s">
        <v>645</v>
      </c>
      <c r="S379" s="6"/>
    </row>
    <row r="380" customFormat="false" ht="15" hidden="false" customHeight="false" outlineLevel="0" collapsed="false">
      <c r="A380" s="6" t="s">
        <v>653</v>
      </c>
      <c r="B380" s="6" t="s">
        <v>51</v>
      </c>
      <c r="C380" s="6" t="s">
        <v>106</v>
      </c>
      <c r="D380" s="6" t="s">
        <v>167</v>
      </c>
      <c r="E380" s="6" t="n">
        <v>19</v>
      </c>
      <c r="F380" s="7" t="n">
        <v>32.8</v>
      </c>
      <c r="G380" s="7" t="n">
        <v>0</v>
      </c>
      <c r="H380" s="7" t="n">
        <v>25</v>
      </c>
      <c r="I380" s="7" t="n">
        <v>0.6</v>
      </c>
      <c r="J380" s="7" t="n">
        <v>1.2</v>
      </c>
      <c r="K380" s="7" t="n">
        <v>2</v>
      </c>
      <c r="L380" s="6" t="n">
        <v>42</v>
      </c>
      <c r="M380" s="6" t="n">
        <v>60</v>
      </c>
      <c r="N380" s="7" t="n">
        <v>0</v>
      </c>
      <c r="O380" s="6" t="s">
        <v>215</v>
      </c>
      <c r="P380" s="6"/>
      <c r="Q380" s="6" t="s">
        <v>644</v>
      </c>
      <c r="R380" s="6" t="s">
        <v>645</v>
      </c>
      <c r="S380" s="6"/>
    </row>
    <row r="381" customFormat="false" ht="15" hidden="false" customHeight="false" outlineLevel="0" collapsed="false">
      <c r="A381" s="6" t="s">
        <v>654</v>
      </c>
      <c r="B381" s="6" t="s">
        <v>51</v>
      </c>
      <c r="C381" s="6" t="s">
        <v>106</v>
      </c>
      <c r="D381" s="6" t="s">
        <v>167</v>
      </c>
      <c r="E381" s="6" t="n">
        <v>20</v>
      </c>
      <c r="F381" s="7" t="n">
        <v>33.4</v>
      </c>
      <c r="G381" s="7" t="n">
        <v>0</v>
      </c>
      <c r="H381" s="7" t="n">
        <v>25</v>
      </c>
      <c r="I381" s="7" t="n">
        <v>0.6</v>
      </c>
      <c r="J381" s="7" t="n">
        <v>1.2</v>
      </c>
      <c r="K381" s="7" t="n">
        <v>2</v>
      </c>
      <c r="L381" s="6" t="n">
        <v>42</v>
      </c>
      <c r="M381" s="6" t="n">
        <v>60</v>
      </c>
      <c r="N381" s="7" t="n">
        <v>0</v>
      </c>
      <c r="O381" s="6" t="s">
        <v>215</v>
      </c>
      <c r="P381" s="6"/>
      <c r="Q381" s="6" t="s">
        <v>644</v>
      </c>
      <c r="R381" s="6" t="s">
        <v>645</v>
      </c>
      <c r="S381" s="6"/>
    </row>
    <row r="382" customFormat="false" ht="15" hidden="false" customHeight="false" outlineLevel="0" collapsed="false">
      <c r="A382" s="6" t="s">
        <v>655</v>
      </c>
      <c r="B382" s="6" t="s">
        <v>51</v>
      </c>
      <c r="C382" s="6" t="s">
        <v>106</v>
      </c>
      <c r="D382" s="6" t="s">
        <v>170</v>
      </c>
      <c r="E382" s="6" t="n">
        <v>1</v>
      </c>
      <c r="F382" s="7" t="n">
        <v>22</v>
      </c>
      <c r="G382" s="7" t="n">
        <v>0</v>
      </c>
      <c r="H382" s="7" t="n">
        <v>27.4</v>
      </c>
      <c r="I382" s="7" t="n">
        <v>0.6</v>
      </c>
      <c r="J382" s="7" t="n">
        <v>1.2</v>
      </c>
      <c r="K382" s="7" t="n">
        <v>2</v>
      </c>
      <c r="L382" s="6" t="n">
        <v>42</v>
      </c>
      <c r="M382" s="6" t="n">
        <v>60</v>
      </c>
      <c r="N382" s="7" t="n">
        <v>47.1</v>
      </c>
      <c r="O382" s="6" t="s">
        <v>191</v>
      </c>
      <c r="P382" s="6" t="s">
        <v>439</v>
      </c>
      <c r="Q382" s="6" t="s">
        <v>656</v>
      </c>
      <c r="R382" s="6" t="s">
        <v>657</v>
      </c>
      <c r="S382" s="6"/>
    </row>
    <row r="383" customFormat="false" ht="15" hidden="false" customHeight="false" outlineLevel="0" collapsed="false">
      <c r="A383" s="6" t="s">
        <v>658</v>
      </c>
      <c r="B383" s="6" t="s">
        <v>51</v>
      </c>
      <c r="C383" s="6" t="s">
        <v>106</v>
      </c>
      <c r="D383" s="6" t="s">
        <v>170</v>
      </c>
      <c r="E383" s="6" t="n">
        <v>2</v>
      </c>
      <c r="F383" s="7" t="n">
        <v>22.6</v>
      </c>
      <c r="G383" s="7" t="n">
        <v>0</v>
      </c>
      <c r="H383" s="7" t="n">
        <v>27.4</v>
      </c>
      <c r="I383" s="7" t="n">
        <v>0.6</v>
      </c>
      <c r="J383" s="7" t="n">
        <v>1.2</v>
      </c>
      <c r="K383" s="7" t="n">
        <v>2</v>
      </c>
      <c r="L383" s="6" t="n">
        <v>42</v>
      </c>
      <c r="M383" s="6" t="n">
        <v>60</v>
      </c>
      <c r="N383" s="7" t="n">
        <v>47.1</v>
      </c>
      <c r="O383" s="6" t="s">
        <v>191</v>
      </c>
      <c r="P383" s="6" t="s">
        <v>439</v>
      </c>
      <c r="Q383" s="6" t="s">
        <v>656</v>
      </c>
      <c r="R383" s="6" t="s">
        <v>657</v>
      </c>
      <c r="S383" s="6"/>
    </row>
    <row r="384" customFormat="false" ht="15" hidden="false" customHeight="false" outlineLevel="0" collapsed="false">
      <c r="A384" s="6" t="s">
        <v>659</v>
      </c>
      <c r="B384" s="6" t="s">
        <v>51</v>
      </c>
      <c r="C384" s="6" t="s">
        <v>106</v>
      </c>
      <c r="D384" s="6" t="s">
        <v>170</v>
      </c>
      <c r="E384" s="6" t="n">
        <v>3</v>
      </c>
      <c r="F384" s="7" t="n">
        <v>23.2</v>
      </c>
      <c r="G384" s="7" t="n">
        <v>0</v>
      </c>
      <c r="H384" s="7" t="n">
        <v>27.4</v>
      </c>
      <c r="I384" s="7" t="n">
        <v>0.6</v>
      </c>
      <c r="J384" s="7" t="n">
        <v>1.2</v>
      </c>
      <c r="K384" s="7" t="n">
        <v>2</v>
      </c>
      <c r="L384" s="6" t="n">
        <v>42</v>
      </c>
      <c r="M384" s="6" t="n">
        <v>60</v>
      </c>
      <c r="N384" s="7" t="n">
        <v>47.1</v>
      </c>
      <c r="O384" s="6" t="s">
        <v>191</v>
      </c>
      <c r="P384" s="6" t="s">
        <v>439</v>
      </c>
      <c r="Q384" s="6" t="s">
        <v>656</v>
      </c>
      <c r="R384" s="6" t="s">
        <v>657</v>
      </c>
      <c r="S384" s="6"/>
    </row>
    <row r="385" customFormat="false" ht="15" hidden="false" customHeight="false" outlineLevel="0" collapsed="false">
      <c r="A385" s="6" t="s">
        <v>660</v>
      </c>
      <c r="B385" s="6" t="s">
        <v>51</v>
      </c>
      <c r="C385" s="6" t="s">
        <v>106</v>
      </c>
      <c r="D385" s="6" t="s">
        <v>170</v>
      </c>
      <c r="E385" s="6" t="n">
        <v>4</v>
      </c>
      <c r="F385" s="7" t="n">
        <v>23.8</v>
      </c>
      <c r="G385" s="7" t="n">
        <v>0</v>
      </c>
      <c r="H385" s="7" t="n">
        <v>27.4</v>
      </c>
      <c r="I385" s="7" t="n">
        <v>0.6</v>
      </c>
      <c r="J385" s="7" t="n">
        <v>1.2</v>
      </c>
      <c r="K385" s="7" t="n">
        <v>2</v>
      </c>
      <c r="L385" s="6" t="n">
        <v>42</v>
      </c>
      <c r="M385" s="6" t="n">
        <v>60</v>
      </c>
      <c r="N385" s="7" t="n">
        <v>47.1</v>
      </c>
      <c r="O385" s="6" t="s">
        <v>191</v>
      </c>
      <c r="P385" s="6" t="s">
        <v>439</v>
      </c>
      <c r="Q385" s="6" t="s">
        <v>656</v>
      </c>
      <c r="R385" s="6" t="s">
        <v>657</v>
      </c>
      <c r="S385" s="6"/>
    </row>
    <row r="386" customFormat="false" ht="15" hidden="false" customHeight="false" outlineLevel="0" collapsed="false">
      <c r="A386" s="6" t="s">
        <v>661</v>
      </c>
      <c r="B386" s="6" t="s">
        <v>51</v>
      </c>
      <c r="C386" s="6" t="s">
        <v>106</v>
      </c>
      <c r="D386" s="6" t="s">
        <v>170</v>
      </c>
      <c r="E386" s="6" t="n">
        <v>5</v>
      </c>
      <c r="F386" s="7" t="n">
        <v>24.4</v>
      </c>
      <c r="G386" s="7" t="n">
        <v>0</v>
      </c>
      <c r="H386" s="7" t="n">
        <v>27.4</v>
      </c>
      <c r="I386" s="7" t="n">
        <v>0.6</v>
      </c>
      <c r="J386" s="7" t="n">
        <v>1.2</v>
      </c>
      <c r="K386" s="7" t="n">
        <v>2</v>
      </c>
      <c r="L386" s="6" t="n">
        <v>42</v>
      </c>
      <c r="M386" s="6" t="n">
        <v>60</v>
      </c>
      <c r="N386" s="7" t="n">
        <v>47.1</v>
      </c>
      <c r="O386" s="6" t="s">
        <v>191</v>
      </c>
      <c r="P386" s="6" t="s">
        <v>439</v>
      </c>
      <c r="Q386" s="6" t="s">
        <v>656</v>
      </c>
      <c r="R386" s="6" t="s">
        <v>657</v>
      </c>
      <c r="S386" s="6"/>
    </row>
    <row r="387" customFormat="false" ht="15" hidden="false" customHeight="false" outlineLevel="0" collapsed="false">
      <c r="A387" s="6" t="s">
        <v>662</v>
      </c>
      <c r="B387" s="6" t="s">
        <v>51</v>
      </c>
      <c r="C387" s="6" t="s">
        <v>106</v>
      </c>
      <c r="D387" s="6" t="s">
        <v>170</v>
      </c>
      <c r="E387" s="6" t="n">
        <v>6</v>
      </c>
      <c r="F387" s="7" t="n">
        <v>25</v>
      </c>
      <c r="G387" s="7" t="n">
        <v>0</v>
      </c>
      <c r="H387" s="7" t="n">
        <v>27.4</v>
      </c>
      <c r="I387" s="7" t="n">
        <v>0.6</v>
      </c>
      <c r="J387" s="7" t="n">
        <v>1.2</v>
      </c>
      <c r="K387" s="7" t="n">
        <v>2</v>
      </c>
      <c r="L387" s="6" t="n">
        <v>42</v>
      </c>
      <c r="M387" s="6" t="n">
        <v>60</v>
      </c>
      <c r="N387" s="7" t="n">
        <v>47.1</v>
      </c>
      <c r="O387" s="6" t="s">
        <v>191</v>
      </c>
      <c r="P387" s="6" t="s">
        <v>439</v>
      </c>
      <c r="Q387" s="6" t="s">
        <v>656</v>
      </c>
      <c r="R387" s="6" t="s">
        <v>657</v>
      </c>
      <c r="S387" s="6"/>
    </row>
    <row r="388" customFormat="false" ht="15" hidden="false" customHeight="false" outlineLevel="0" collapsed="false">
      <c r="A388" s="6" t="s">
        <v>663</v>
      </c>
      <c r="B388" s="6" t="s">
        <v>51</v>
      </c>
      <c r="C388" s="6" t="s">
        <v>106</v>
      </c>
      <c r="D388" s="6" t="s">
        <v>170</v>
      </c>
      <c r="E388" s="6" t="n">
        <v>7</v>
      </c>
      <c r="F388" s="7" t="n">
        <v>25.6</v>
      </c>
      <c r="G388" s="7" t="n">
        <v>0</v>
      </c>
      <c r="H388" s="7" t="n">
        <v>27.4</v>
      </c>
      <c r="I388" s="7" t="n">
        <v>0.6</v>
      </c>
      <c r="J388" s="7" t="n">
        <v>1.2</v>
      </c>
      <c r="K388" s="7" t="n">
        <v>2</v>
      </c>
      <c r="L388" s="6" t="n">
        <v>42</v>
      </c>
      <c r="M388" s="6" t="n">
        <v>60</v>
      </c>
      <c r="N388" s="7" t="n">
        <v>47.1</v>
      </c>
      <c r="O388" s="6" t="s">
        <v>191</v>
      </c>
      <c r="P388" s="6" t="s">
        <v>439</v>
      </c>
      <c r="Q388" s="6" t="s">
        <v>656</v>
      </c>
      <c r="R388" s="6" t="s">
        <v>657</v>
      </c>
      <c r="S388" s="6"/>
    </row>
    <row r="389" customFormat="false" ht="15" hidden="false" customHeight="false" outlineLevel="0" collapsed="false">
      <c r="A389" s="6" t="s">
        <v>664</v>
      </c>
      <c r="B389" s="6" t="s">
        <v>51</v>
      </c>
      <c r="C389" s="6" t="s">
        <v>106</v>
      </c>
      <c r="D389" s="6" t="s">
        <v>170</v>
      </c>
      <c r="E389" s="6" t="n">
        <v>8</v>
      </c>
      <c r="F389" s="7" t="n">
        <v>26.2</v>
      </c>
      <c r="G389" s="7" t="n">
        <v>0</v>
      </c>
      <c r="H389" s="7" t="n">
        <v>27.4</v>
      </c>
      <c r="I389" s="7" t="n">
        <v>0.6</v>
      </c>
      <c r="J389" s="7" t="n">
        <v>1.2</v>
      </c>
      <c r="K389" s="7" t="n">
        <v>2</v>
      </c>
      <c r="L389" s="6" t="n">
        <v>42</v>
      </c>
      <c r="M389" s="6" t="n">
        <v>60</v>
      </c>
      <c r="N389" s="7" t="n">
        <v>47.1</v>
      </c>
      <c r="O389" s="6" t="s">
        <v>191</v>
      </c>
      <c r="P389" s="6" t="s">
        <v>439</v>
      </c>
      <c r="Q389" s="6" t="s">
        <v>656</v>
      </c>
      <c r="R389" s="6" t="s">
        <v>657</v>
      </c>
      <c r="S389" s="6"/>
    </row>
    <row r="390" customFormat="false" ht="15" hidden="false" customHeight="false" outlineLevel="0" collapsed="false">
      <c r="A390" s="6" t="s">
        <v>665</v>
      </c>
      <c r="B390" s="6" t="s">
        <v>51</v>
      </c>
      <c r="C390" s="6" t="s">
        <v>106</v>
      </c>
      <c r="D390" s="6" t="s">
        <v>170</v>
      </c>
      <c r="E390" s="6" t="n">
        <v>9</v>
      </c>
      <c r="F390" s="7" t="n">
        <v>26.8</v>
      </c>
      <c r="G390" s="7" t="n">
        <v>0</v>
      </c>
      <c r="H390" s="7" t="n">
        <v>27.4</v>
      </c>
      <c r="I390" s="7" t="n">
        <v>0.6</v>
      </c>
      <c r="J390" s="7" t="n">
        <v>1.2</v>
      </c>
      <c r="K390" s="7" t="n">
        <v>2</v>
      </c>
      <c r="L390" s="6" t="n">
        <v>42</v>
      </c>
      <c r="M390" s="6" t="n">
        <v>60</v>
      </c>
      <c r="N390" s="7" t="n">
        <v>47.1</v>
      </c>
      <c r="O390" s="6" t="s">
        <v>191</v>
      </c>
      <c r="P390" s="6" t="s">
        <v>439</v>
      </c>
      <c r="Q390" s="6" t="s">
        <v>656</v>
      </c>
      <c r="R390" s="6" t="s">
        <v>657</v>
      </c>
      <c r="S390" s="6"/>
    </row>
    <row r="391" customFormat="false" ht="15" hidden="false" customHeight="false" outlineLevel="0" collapsed="false">
      <c r="A391" s="6" t="s">
        <v>666</v>
      </c>
      <c r="B391" s="6" t="s">
        <v>51</v>
      </c>
      <c r="C391" s="6" t="s">
        <v>106</v>
      </c>
      <c r="D391" s="6" t="s">
        <v>170</v>
      </c>
      <c r="E391" s="6" t="n">
        <v>10</v>
      </c>
      <c r="F391" s="7" t="n">
        <v>27.4</v>
      </c>
      <c r="G391" s="7" t="n">
        <v>0</v>
      </c>
      <c r="H391" s="7" t="n">
        <v>27.4</v>
      </c>
      <c r="I391" s="7" t="n">
        <v>0.6</v>
      </c>
      <c r="J391" s="7" t="n">
        <v>1.2</v>
      </c>
      <c r="K391" s="7" t="n">
        <v>2</v>
      </c>
      <c r="L391" s="6" t="n">
        <v>42</v>
      </c>
      <c r="M391" s="6" t="n">
        <v>60</v>
      </c>
      <c r="N391" s="7" t="n">
        <v>47.1</v>
      </c>
      <c r="O391" s="6" t="s">
        <v>191</v>
      </c>
      <c r="P391" s="6" t="s">
        <v>439</v>
      </c>
      <c r="Q391" s="6" t="s">
        <v>656</v>
      </c>
      <c r="R391" s="6" t="s">
        <v>657</v>
      </c>
      <c r="S391" s="6"/>
    </row>
    <row r="392" customFormat="false" ht="15" hidden="false" customHeight="false" outlineLevel="0" collapsed="false">
      <c r="A392" s="6" t="s">
        <v>667</v>
      </c>
      <c r="B392" s="6" t="s">
        <v>51</v>
      </c>
      <c r="C392" s="6" t="s">
        <v>106</v>
      </c>
      <c r="D392" s="6" t="s">
        <v>170</v>
      </c>
      <c r="E392" s="6" t="n">
        <v>11</v>
      </c>
      <c r="F392" s="7" t="n">
        <v>28</v>
      </c>
      <c r="G392" s="7" t="n">
        <v>0</v>
      </c>
      <c r="H392" s="7" t="n">
        <v>27.4</v>
      </c>
      <c r="I392" s="7" t="n">
        <v>0.6</v>
      </c>
      <c r="J392" s="7" t="n">
        <v>1.2</v>
      </c>
      <c r="K392" s="7" t="n">
        <v>2</v>
      </c>
      <c r="L392" s="6" t="n">
        <v>42</v>
      </c>
      <c r="M392" s="6" t="n">
        <v>60</v>
      </c>
      <c r="N392" s="7" t="n">
        <v>47.1</v>
      </c>
      <c r="O392" s="6" t="s">
        <v>191</v>
      </c>
      <c r="P392" s="6" t="s">
        <v>439</v>
      </c>
      <c r="Q392" s="6" t="s">
        <v>668</v>
      </c>
      <c r="R392" s="6" t="s">
        <v>669</v>
      </c>
      <c r="S392" s="6"/>
    </row>
    <row r="393" customFormat="false" ht="15" hidden="false" customHeight="false" outlineLevel="0" collapsed="false">
      <c r="A393" s="6" t="s">
        <v>670</v>
      </c>
      <c r="B393" s="6" t="s">
        <v>51</v>
      </c>
      <c r="C393" s="6" t="s">
        <v>106</v>
      </c>
      <c r="D393" s="6" t="s">
        <v>170</v>
      </c>
      <c r="E393" s="6" t="n">
        <v>12</v>
      </c>
      <c r="F393" s="7" t="n">
        <v>28.6</v>
      </c>
      <c r="G393" s="7" t="n">
        <v>0</v>
      </c>
      <c r="H393" s="7" t="n">
        <v>27.4</v>
      </c>
      <c r="I393" s="7" t="n">
        <v>0.6</v>
      </c>
      <c r="J393" s="7" t="n">
        <v>1.2</v>
      </c>
      <c r="K393" s="7" t="n">
        <v>2</v>
      </c>
      <c r="L393" s="6" t="n">
        <v>42</v>
      </c>
      <c r="M393" s="6" t="n">
        <v>60</v>
      </c>
      <c r="N393" s="7" t="n">
        <v>47.1</v>
      </c>
      <c r="O393" s="6" t="s">
        <v>191</v>
      </c>
      <c r="P393" s="6" t="s">
        <v>439</v>
      </c>
      <c r="Q393" s="6" t="s">
        <v>668</v>
      </c>
      <c r="R393" s="6" t="s">
        <v>669</v>
      </c>
      <c r="S393" s="6"/>
    </row>
    <row r="394" customFormat="false" ht="15" hidden="false" customHeight="false" outlineLevel="0" collapsed="false">
      <c r="A394" s="6" t="s">
        <v>671</v>
      </c>
      <c r="B394" s="6" t="s">
        <v>51</v>
      </c>
      <c r="C394" s="6" t="s">
        <v>106</v>
      </c>
      <c r="D394" s="6" t="s">
        <v>170</v>
      </c>
      <c r="E394" s="6" t="n">
        <v>13</v>
      </c>
      <c r="F394" s="7" t="n">
        <v>29.2</v>
      </c>
      <c r="G394" s="7" t="n">
        <v>0</v>
      </c>
      <c r="H394" s="7" t="n">
        <v>27.4</v>
      </c>
      <c r="I394" s="7" t="n">
        <v>0.6</v>
      </c>
      <c r="J394" s="7" t="n">
        <v>1.2</v>
      </c>
      <c r="K394" s="7" t="n">
        <v>2</v>
      </c>
      <c r="L394" s="6" t="n">
        <v>42</v>
      </c>
      <c r="M394" s="6" t="n">
        <v>60</v>
      </c>
      <c r="N394" s="7" t="n">
        <v>47.1</v>
      </c>
      <c r="O394" s="6" t="s">
        <v>191</v>
      </c>
      <c r="P394" s="6" t="s">
        <v>439</v>
      </c>
      <c r="Q394" s="6" t="s">
        <v>668</v>
      </c>
      <c r="R394" s="6" t="s">
        <v>669</v>
      </c>
      <c r="S394" s="6"/>
    </row>
    <row r="395" customFormat="false" ht="15" hidden="false" customHeight="false" outlineLevel="0" collapsed="false">
      <c r="A395" s="6" t="s">
        <v>672</v>
      </c>
      <c r="B395" s="6" t="s">
        <v>51</v>
      </c>
      <c r="C395" s="6" t="s">
        <v>106</v>
      </c>
      <c r="D395" s="6" t="s">
        <v>170</v>
      </c>
      <c r="E395" s="6" t="n">
        <v>14</v>
      </c>
      <c r="F395" s="7" t="n">
        <v>29.8</v>
      </c>
      <c r="G395" s="7" t="n">
        <v>0</v>
      </c>
      <c r="H395" s="7" t="n">
        <v>27.4</v>
      </c>
      <c r="I395" s="7" t="n">
        <v>0.6</v>
      </c>
      <c r="J395" s="7" t="n">
        <v>1.2</v>
      </c>
      <c r="K395" s="7" t="n">
        <v>2</v>
      </c>
      <c r="L395" s="6" t="n">
        <v>42</v>
      </c>
      <c r="M395" s="6" t="n">
        <v>60</v>
      </c>
      <c r="N395" s="7" t="n">
        <v>47.7</v>
      </c>
      <c r="O395" s="6" t="s">
        <v>191</v>
      </c>
      <c r="P395" s="6" t="s">
        <v>439</v>
      </c>
      <c r="Q395" s="6" t="s">
        <v>668</v>
      </c>
      <c r="R395" s="6" t="s">
        <v>669</v>
      </c>
      <c r="S395" s="6"/>
    </row>
    <row r="396" customFormat="false" ht="15" hidden="false" customHeight="false" outlineLevel="0" collapsed="false">
      <c r="A396" s="6" t="s">
        <v>673</v>
      </c>
      <c r="B396" s="6" t="s">
        <v>51</v>
      </c>
      <c r="C396" s="6" t="s">
        <v>106</v>
      </c>
      <c r="D396" s="6" t="s">
        <v>170</v>
      </c>
      <c r="E396" s="6" t="n">
        <v>15</v>
      </c>
      <c r="F396" s="7" t="n">
        <v>30.4</v>
      </c>
      <c r="G396" s="7" t="n">
        <v>0</v>
      </c>
      <c r="H396" s="7" t="n">
        <v>27.4</v>
      </c>
      <c r="I396" s="7" t="n">
        <v>0.6</v>
      </c>
      <c r="J396" s="7" t="n">
        <v>1.2</v>
      </c>
      <c r="K396" s="7" t="n">
        <v>2</v>
      </c>
      <c r="L396" s="6" t="n">
        <v>42</v>
      </c>
      <c r="M396" s="6" t="n">
        <v>60</v>
      </c>
      <c r="N396" s="7" t="n">
        <v>0</v>
      </c>
      <c r="O396" s="6" t="s">
        <v>215</v>
      </c>
      <c r="P396" s="6"/>
      <c r="Q396" s="6" t="s">
        <v>668</v>
      </c>
      <c r="R396" s="6" t="s">
        <v>669</v>
      </c>
      <c r="S396" s="6"/>
    </row>
    <row r="397" customFormat="false" ht="15" hidden="false" customHeight="false" outlineLevel="0" collapsed="false">
      <c r="A397" s="6" t="s">
        <v>674</v>
      </c>
      <c r="B397" s="6" t="s">
        <v>51</v>
      </c>
      <c r="C397" s="6" t="s">
        <v>106</v>
      </c>
      <c r="D397" s="6" t="s">
        <v>170</v>
      </c>
      <c r="E397" s="6" t="n">
        <v>16</v>
      </c>
      <c r="F397" s="7" t="n">
        <v>31</v>
      </c>
      <c r="G397" s="7" t="n">
        <v>0</v>
      </c>
      <c r="H397" s="7" t="n">
        <v>27.4</v>
      </c>
      <c r="I397" s="7" t="n">
        <v>0.6</v>
      </c>
      <c r="J397" s="7" t="n">
        <v>1.2</v>
      </c>
      <c r="K397" s="7" t="n">
        <v>2</v>
      </c>
      <c r="L397" s="6" t="n">
        <v>42</v>
      </c>
      <c r="M397" s="6" t="n">
        <v>60</v>
      </c>
      <c r="N397" s="7" t="n">
        <v>0</v>
      </c>
      <c r="O397" s="6" t="s">
        <v>215</v>
      </c>
      <c r="P397" s="6"/>
      <c r="Q397" s="6" t="s">
        <v>668</v>
      </c>
      <c r="R397" s="6" t="s">
        <v>669</v>
      </c>
      <c r="S397" s="6"/>
    </row>
    <row r="398" customFormat="false" ht="15" hidden="false" customHeight="false" outlineLevel="0" collapsed="false">
      <c r="A398" s="6" t="s">
        <v>675</v>
      </c>
      <c r="B398" s="6" t="s">
        <v>51</v>
      </c>
      <c r="C398" s="6" t="s">
        <v>106</v>
      </c>
      <c r="D398" s="6" t="s">
        <v>170</v>
      </c>
      <c r="E398" s="6" t="n">
        <v>17</v>
      </c>
      <c r="F398" s="7" t="n">
        <v>31.6</v>
      </c>
      <c r="G398" s="7" t="n">
        <v>0</v>
      </c>
      <c r="H398" s="7" t="n">
        <v>27.4</v>
      </c>
      <c r="I398" s="7" t="n">
        <v>0.6</v>
      </c>
      <c r="J398" s="7" t="n">
        <v>1.2</v>
      </c>
      <c r="K398" s="7" t="n">
        <v>2</v>
      </c>
      <c r="L398" s="6" t="n">
        <v>42</v>
      </c>
      <c r="M398" s="6" t="n">
        <v>60</v>
      </c>
      <c r="N398" s="7" t="n">
        <v>0</v>
      </c>
      <c r="O398" s="6" t="s">
        <v>215</v>
      </c>
      <c r="P398" s="6"/>
      <c r="Q398" s="6" t="s">
        <v>668</v>
      </c>
      <c r="R398" s="6" t="s">
        <v>669</v>
      </c>
      <c r="S398" s="6"/>
    </row>
    <row r="399" customFormat="false" ht="15" hidden="false" customHeight="false" outlineLevel="0" collapsed="false">
      <c r="A399" s="6" t="s">
        <v>676</v>
      </c>
      <c r="B399" s="6" t="s">
        <v>51</v>
      </c>
      <c r="C399" s="6" t="s">
        <v>106</v>
      </c>
      <c r="D399" s="6" t="s">
        <v>170</v>
      </c>
      <c r="E399" s="6" t="n">
        <v>18</v>
      </c>
      <c r="F399" s="7" t="n">
        <v>32.2</v>
      </c>
      <c r="G399" s="7" t="n">
        <v>0</v>
      </c>
      <c r="H399" s="7" t="n">
        <v>27.4</v>
      </c>
      <c r="I399" s="7" t="n">
        <v>0.6</v>
      </c>
      <c r="J399" s="7" t="n">
        <v>1.2</v>
      </c>
      <c r="K399" s="7" t="n">
        <v>2</v>
      </c>
      <c r="L399" s="6" t="n">
        <v>42</v>
      </c>
      <c r="M399" s="6" t="n">
        <v>60</v>
      </c>
      <c r="N399" s="7" t="n">
        <v>0</v>
      </c>
      <c r="O399" s="6" t="s">
        <v>215</v>
      </c>
      <c r="P399" s="6"/>
      <c r="Q399" s="6" t="s">
        <v>668</v>
      </c>
      <c r="R399" s="6" t="s">
        <v>669</v>
      </c>
      <c r="S399" s="6"/>
    </row>
    <row r="400" customFormat="false" ht="15" hidden="false" customHeight="false" outlineLevel="0" collapsed="false">
      <c r="A400" s="6" t="s">
        <v>677</v>
      </c>
      <c r="B400" s="6" t="s">
        <v>51</v>
      </c>
      <c r="C400" s="6" t="s">
        <v>106</v>
      </c>
      <c r="D400" s="6" t="s">
        <v>170</v>
      </c>
      <c r="E400" s="6" t="n">
        <v>19</v>
      </c>
      <c r="F400" s="7" t="n">
        <v>32.8</v>
      </c>
      <c r="G400" s="7" t="n">
        <v>0</v>
      </c>
      <c r="H400" s="7" t="n">
        <v>27.4</v>
      </c>
      <c r="I400" s="7" t="n">
        <v>0.6</v>
      </c>
      <c r="J400" s="7" t="n">
        <v>1.2</v>
      </c>
      <c r="K400" s="7" t="n">
        <v>2</v>
      </c>
      <c r="L400" s="6" t="n">
        <v>42</v>
      </c>
      <c r="M400" s="6" t="n">
        <v>60</v>
      </c>
      <c r="N400" s="7" t="n">
        <v>0</v>
      </c>
      <c r="O400" s="6" t="s">
        <v>215</v>
      </c>
      <c r="P400" s="6"/>
      <c r="Q400" s="6" t="s">
        <v>668</v>
      </c>
      <c r="R400" s="6" t="s">
        <v>669</v>
      </c>
      <c r="S400" s="6"/>
    </row>
    <row r="401" customFormat="false" ht="15" hidden="false" customHeight="false" outlineLevel="0" collapsed="false">
      <c r="A401" s="6" t="s">
        <v>678</v>
      </c>
      <c r="B401" s="6" t="s">
        <v>51</v>
      </c>
      <c r="C401" s="6" t="s">
        <v>106</v>
      </c>
      <c r="D401" s="6" t="s">
        <v>170</v>
      </c>
      <c r="E401" s="6" t="n">
        <v>20</v>
      </c>
      <c r="F401" s="7" t="n">
        <v>33.4</v>
      </c>
      <c r="G401" s="7" t="n">
        <v>0</v>
      </c>
      <c r="H401" s="7" t="n">
        <v>27.4</v>
      </c>
      <c r="I401" s="7" t="n">
        <v>0.6</v>
      </c>
      <c r="J401" s="7" t="n">
        <v>1.2</v>
      </c>
      <c r="K401" s="7" t="n">
        <v>2</v>
      </c>
      <c r="L401" s="6" t="n">
        <v>42</v>
      </c>
      <c r="M401" s="6" t="n">
        <v>60</v>
      </c>
      <c r="N401" s="7" t="n">
        <v>0</v>
      </c>
      <c r="O401" s="6" t="s">
        <v>215</v>
      </c>
      <c r="P401" s="6"/>
      <c r="Q401" s="6" t="s">
        <v>668</v>
      </c>
      <c r="R401" s="6" t="s">
        <v>669</v>
      </c>
      <c r="S401" s="6"/>
    </row>
    <row r="402" customFormat="false" ht="15" hidden="false" customHeight="false" outlineLevel="0" collapsed="false">
      <c r="A402" s="6" t="s">
        <v>679</v>
      </c>
      <c r="B402" s="6" t="s">
        <v>51</v>
      </c>
      <c r="C402" s="6" t="s">
        <v>106</v>
      </c>
      <c r="D402" s="6" t="s">
        <v>171</v>
      </c>
      <c r="E402" s="6" t="n">
        <v>1</v>
      </c>
      <c r="F402" s="7" t="n">
        <v>22</v>
      </c>
      <c r="G402" s="7" t="n">
        <v>0</v>
      </c>
      <c r="H402" s="7" t="n">
        <v>29.8</v>
      </c>
      <c r="I402" s="7" t="n">
        <v>0.6</v>
      </c>
      <c r="J402" s="7" t="n">
        <v>1.2</v>
      </c>
      <c r="K402" s="7" t="n">
        <v>2</v>
      </c>
      <c r="L402" s="6" t="n">
        <v>42</v>
      </c>
      <c r="M402" s="6" t="n">
        <v>60</v>
      </c>
      <c r="N402" s="7" t="n">
        <v>46</v>
      </c>
      <c r="O402" s="6" t="s">
        <v>191</v>
      </c>
      <c r="P402" s="6" t="s">
        <v>439</v>
      </c>
      <c r="Q402" s="6" t="s">
        <v>680</v>
      </c>
      <c r="R402" s="6" t="s">
        <v>681</v>
      </c>
      <c r="S402" s="6"/>
    </row>
    <row r="403" customFormat="false" ht="15" hidden="false" customHeight="false" outlineLevel="0" collapsed="false">
      <c r="A403" s="6" t="s">
        <v>682</v>
      </c>
      <c r="B403" s="6" t="s">
        <v>51</v>
      </c>
      <c r="C403" s="6" t="s">
        <v>106</v>
      </c>
      <c r="D403" s="6" t="s">
        <v>171</v>
      </c>
      <c r="E403" s="6" t="n">
        <v>2</v>
      </c>
      <c r="F403" s="7" t="n">
        <v>22.6</v>
      </c>
      <c r="G403" s="7" t="n">
        <v>0</v>
      </c>
      <c r="H403" s="7" t="n">
        <v>29.8</v>
      </c>
      <c r="I403" s="7" t="n">
        <v>0.6</v>
      </c>
      <c r="J403" s="7" t="n">
        <v>1.2</v>
      </c>
      <c r="K403" s="7" t="n">
        <v>2</v>
      </c>
      <c r="L403" s="6" t="n">
        <v>42</v>
      </c>
      <c r="M403" s="6" t="n">
        <v>60</v>
      </c>
      <c r="N403" s="7" t="n">
        <v>46</v>
      </c>
      <c r="O403" s="6" t="s">
        <v>191</v>
      </c>
      <c r="P403" s="6" t="s">
        <v>439</v>
      </c>
      <c r="Q403" s="6" t="s">
        <v>680</v>
      </c>
      <c r="R403" s="6" t="s">
        <v>681</v>
      </c>
      <c r="S403" s="6"/>
    </row>
    <row r="404" customFormat="false" ht="15" hidden="false" customHeight="false" outlineLevel="0" collapsed="false">
      <c r="A404" s="6" t="s">
        <v>683</v>
      </c>
      <c r="B404" s="6" t="s">
        <v>51</v>
      </c>
      <c r="C404" s="6" t="s">
        <v>106</v>
      </c>
      <c r="D404" s="6" t="s">
        <v>171</v>
      </c>
      <c r="E404" s="6" t="n">
        <v>3</v>
      </c>
      <c r="F404" s="7" t="n">
        <v>23.2</v>
      </c>
      <c r="G404" s="7" t="n">
        <v>0</v>
      </c>
      <c r="H404" s="7" t="n">
        <v>29.8</v>
      </c>
      <c r="I404" s="7" t="n">
        <v>0.6</v>
      </c>
      <c r="J404" s="7" t="n">
        <v>1.2</v>
      </c>
      <c r="K404" s="7" t="n">
        <v>2</v>
      </c>
      <c r="L404" s="6" t="n">
        <v>42</v>
      </c>
      <c r="M404" s="6" t="n">
        <v>60</v>
      </c>
      <c r="N404" s="7" t="n">
        <v>46</v>
      </c>
      <c r="O404" s="6" t="s">
        <v>191</v>
      </c>
      <c r="P404" s="6" t="s">
        <v>439</v>
      </c>
      <c r="Q404" s="6" t="s">
        <v>680</v>
      </c>
      <c r="R404" s="6" t="s">
        <v>681</v>
      </c>
      <c r="S404" s="6"/>
    </row>
    <row r="405" customFormat="false" ht="15" hidden="false" customHeight="false" outlineLevel="0" collapsed="false">
      <c r="A405" s="6" t="s">
        <v>684</v>
      </c>
      <c r="B405" s="6" t="s">
        <v>51</v>
      </c>
      <c r="C405" s="6" t="s">
        <v>106</v>
      </c>
      <c r="D405" s="6" t="s">
        <v>171</v>
      </c>
      <c r="E405" s="6" t="n">
        <v>4</v>
      </c>
      <c r="F405" s="7" t="n">
        <v>23.8</v>
      </c>
      <c r="G405" s="7" t="n">
        <v>0</v>
      </c>
      <c r="H405" s="7" t="n">
        <v>29.8</v>
      </c>
      <c r="I405" s="7" t="n">
        <v>0.6</v>
      </c>
      <c r="J405" s="7" t="n">
        <v>1.2</v>
      </c>
      <c r="K405" s="7" t="n">
        <v>2</v>
      </c>
      <c r="L405" s="6" t="n">
        <v>42</v>
      </c>
      <c r="M405" s="6" t="n">
        <v>60</v>
      </c>
      <c r="N405" s="7" t="n">
        <v>46</v>
      </c>
      <c r="O405" s="6" t="s">
        <v>191</v>
      </c>
      <c r="P405" s="6" t="s">
        <v>439</v>
      </c>
      <c r="Q405" s="6" t="s">
        <v>680</v>
      </c>
      <c r="R405" s="6" t="s">
        <v>681</v>
      </c>
      <c r="S405" s="6"/>
    </row>
    <row r="406" customFormat="false" ht="15" hidden="false" customHeight="false" outlineLevel="0" collapsed="false">
      <c r="A406" s="6" t="s">
        <v>685</v>
      </c>
      <c r="B406" s="6" t="s">
        <v>51</v>
      </c>
      <c r="C406" s="6" t="s">
        <v>106</v>
      </c>
      <c r="D406" s="6" t="s">
        <v>171</v>
      </c>
      <c r="E406" s="6" t="n">
        <v>5</v>
      </c>
      <c r="F406" s="7" t="n">
        <v>24.4</v>
      </c>
      <c r="G406" s="7" t="n">
        <v>0</v>
      </c>
      <c r="H406" s="7" t="n">
        <v>29.8</v>
      </c>
      <c r="I406" s="7" t="n">
        <v>0.6</v>
      </c>
      <c r="J406" s="7" t="n">
        <v>1.2</v>
      </c>
      <c r="K406" s="7" t="n">
        <v>2</v>
      </c>
      <c r="L406" s="6" t="n">
        <v>42</v>
      </c>
      <c r="M406" s="6" t="n">
        <v>60</v>
      </c>
      <c r="N406" s="7" t="n">
        <v>46</v>
      </c>
      <c r="O406" s="6" t="s">
        <v>191</v>
      </c>
      <c r="P406" s="6" t="s">
        <v>439</v>
      </c>
      <c r="Q406" s="6" t="s">
        <v>680</v>
      </c>
      <c r="R406" s="6" t="s">
        <v>681</v>
      </c>
      <c r="S406" s="6"/>
    </row>
    <row r="407" customFormat="false" ht="15" hidden="false" customHeight="false" outlineLevel="0" collapsed="false">
      <c r="A407" s="6" t="s">
        <v>686</v>
      </c>
      <c r="B407" s="6" t="s">
        <v>51</v>
      </c>
      <c r="C407" s="6" t="s">
        <v>106</v>
      </c>
      <c r="D407" s="6" t="s">
        <v>171</v>
      </c>
      <c r="E407" s="6" t="n">
        <v>6</v>
      </c>
      <c r="F407" s="7" t="n">
        <v>25</v>
      </c>
      <c r="G407" s="7" t="n">
        <v>0</v>
      </c>
      <c r="H407" s="7" t="n">
        <v>29.8</v>
      </c>
      <c r="I407" s="7" t="n">
        <v>0.6</v>
      </c>
      <c r="J407" s="7" t="n">
        <v>1.2</v>
      </c>
      <c r="K407" s="7" t="n">
        <v>2</v>
      </c>
      <c r="L407" s="6" t="n">
        <v>42</v>
      </c>
      <c r="M407" s="6" t="n">
        <v>60</v>
      </c>
      <c r="N407" s="7" t="n">
        <v>46</v>
      </c>
      <c r="O407" s="6" t="s">
        <v>191</v>
      </c>
      <c r="P407" s="6" t="s">
        <v>439</v>
      </c>
      <c r="Q407" s="6" t="s">
        <v>680</v>
      </c>
      <c r="R407" s="6" t="s">
        <v>681</v>
      </c>
      <c r="S407" s="6"/>
    </row>
    <row r="408" customFormat="false" ht="15" hidden="false" customHeight="false" outlineLevel="0" collapsed="false">
      <c r="A408" s="6" t="s">
        <v>687</v>
      </c>
      <c r="B408" s="6" t="s">
        <v>51</v>
      </c>
      <c r="C408" s="6" t="s">
        <v>106</v>
      </c>
      <c r="D408" s="6" t="s">
        <v>171</v>
      </c>
      <c r="E408" s="6" t="n">
        <v>7</v>
      </c>
      <c r="F408" s="7" t="n">
        <v>25.6</v>
      </c>
      <c r="G408" s="7" t="n">
        <v>0</v>
      </c>
      <c r="H408" s="7" t="n">
        <v>29.8</v>
      </c>
      <c r="I408" s="7" t="n">
        <v>0.6</v>
      </c>
      <c r="J408" s="7" t="n">
        <v>1.2</v>
      </c>
      <c r="K408" s="7" t="n">
        <v>2</v>
      </c>
      <c r="L408" s="6" t="n">
        <v>42</v>
      </c>
      <c r="M408" s="6" t="n">
        <v>60</v>
      </c>
      <c r="N408" s="7" t="n">
        <v>46</v>
      </c>
      <c r="O408" s="6" t="s">
        <v>191</v>
      </c>
      <c r="P408" s="6" t="s">
        <v>439</v>
      </c>
      <c r="Q408" s="6" t="s">
        <v>680</v>
      </c>
      <c r="R408" s="6" t="s">
        <v>681</v>
      </c>
      <c r="S408" s="6"/>
    </row>
    <row r="409" customFormat="false" ht="15" hidden="false" customHeight="false" outlineLevel="0" collapsed="false">
      <c r="A409" s="6" t="s">
        <v>688</v>
      </c>
      <c r="B409" s="6" t="s">
        <v>51</v>
      </c>
      <c r="C409" s="6" t="s">
        <v>106</v>
      </c>
      <c r="D409" s="6" t="s">
        <v>171</v>
      </c>
      <c r="E409" s="6" t="n">
        <v>8</v>
      </c>
      <c r="F409" s="7" t="n">
        <v>26.2</v>
      </c>
      <c r="G409" s="7" t="n">
        <v>0</v>
      </c>
      <c r="H409" s="7" t="n">
        <v>29.8</v>
      </c>
      <c r="I409" s="7" t="n">
        <v>0.6</v>
      </c>
      <c r="J409" s="7" t="n">
        <v>1.2</v>
      </c>
      <c r="K409" s="7" t="n">
        <v>2</v>
      </c>
      <c r="L409" s="6" t="n">
        <v>42</v>
      </c>
      <c r="M409" s="6" t="n">
        <v>60</v>
      </c>
      <c r="N409" s="7" t="n">
        <v>46</v>
      </c>
      <c r="O409" s="6" t="s">
        <v>191</v>
      </c>
      <c r="P409" s="6" t="s">
        <v>439</v>
      </c>
      <c r="Q409" s="6" t="s">
        <v>680</v>
      </c>
      <c r="R409" s="6" t="s">
        <v>681</v>
      </c>
      <c r="S409" s="6"/>
    </row>
    <row r="410" customFormat="false" ht="15" hidden="false" customHeight="false" outlineLevel="0" collapsed="false">
      <c r="A410" s="6" t="s">
        <v>689</v>
      </c>
      <c r="B410" s="6" t="s">
        <v>51</v>
      </c>
      <c r="C410" s="6" t="s">
        <v>106</v>
      </c>
      <c r="D410" s="6" t="s">
        <v>171</v>
      </c>
      <c r="E410" s="6" t="n">
        <v>9</v>
      </c>
      <c r="F410" s="7" t="n">
        <v>26.8</v>
      </c>
      <c r="G410" s="7" t="n">
        <v>0</v>
      </c>
      <c r="H410" s="7" t="n">
        <v>29.8</v>
      </c>
      <c r="I410" s="7" t="n">
        <v>0.6</v>
      </c>
      <c r="J410" s="7" t="n">
        <v>1.2</v>
      </c>
      <c r="K410" s="7" t="n">
        <v>2</v>
      </c>
      <c r="L410" s="6" t="n">
        <v>42</v>
      </c>
      <c r="M410" s="6" t="n">
        <v>60</v>
      </c>
      <c r="N410" s="7" t="n">
        <v>46</v>
      </c>
      <c r="O410" s="6" t="s">
        <v>191</v>
      </c>
      <c r="P410" s="6" t="s">
        <v>439</v>
      </c>
      <c r="Q410" s="6" t="s">
        <v>680</v>
      </c>
      <c r="R410" s="6" t="s">
        <v>681</v>
      </c>
      <c r="S410" s="6"/>
    </row>
    <row r="411" customFormat="false" ht="15" hidden="false" customHeight="false" outlineLevel="0" collapsed="false">
      <c r="A411" s="6" t="s">
        <v>690</v>
      </c>
      <c r="B411" s="6" t="s">
        <v>51</v>
      </c>
      <c r="C411" s="6" t="s">
        <v>106</v>
      </c>
      <c r="D411" s="6" t="s">
        <v>171</v>
      </c>
      <c r="E411" s="6" t="n">
        <v>10</v>
      </c>
      <c r="F411" s="7" t="n">
        <v>27.4</v>
      </c>
      <c r="G411" s="7" t="n">
        <v>0</v>
      </c>
      <c r="H411" s="7" t="n">
        <v>29.8</v>
      </c>
      <c r="I411" s="7" t="n">
        <v>0.6</v>
      </c>
      <c r="J411" s="7" t="n">
        <v>1.2</v>
      </c>
      <c r="K411" s="7" t="n">
        <v>2</v>
      </c>
      <c r="L411" s="6" t="n">
        <v>42</v>
      </c>
      <c r="M411" s="6" t="n">
        <v>60</v>
      </c>
      <c r="N411" s="7" t="n">
        <v>46</v>
      </c>
      <c r="O411" s="6" t="s">
        <v>191</v>
      </c>
      <c r="P411" s="6" t="s">
        <v>439</v>
      </c>
      <c r="Q411" s="6" t="s">
        <v>680</v>
      </c>
      <c r="R411" s="6" t="s">
        <v>681</v>
      </c>
      <c r="S411" s="6"/>
    </row>
    <row r="412" customFormat="false" ht="15" hidden="false" customHeight="false" outlineLevel="0" collapsed="false">
      <c r="A412" s="6" t="s">
        <v>691</v>
      </c>
      <c r="B412" s="6" t="s">
        <v>51</v>
      </c>
      <c r="C412" s="6" t="s">
        <v>106</v>
      </c>
      <c r="D412" s="6" t="s">
        <v>171</v>
      </c>
      <c r="E412" s="6" t="n">
        <v>11</v>
      </c>
      <c r="F412" s="7" t="n">
        <v>28</v>
      </c>
      <c r="G412" s="7" t="n">
        <v>0</v>
      </c>
      <c r="H412" s="7" t="n">
        <v>29.8</v>
      </c>
      <c r="I412" s="7" t="n">
        <v>0.6</v>
      </c>
      <c r="J412" s="7" t="n">
        <v>1.2</v>
      </c>
      <c r="K412" s="7" t="n">
        <v>2</v>
      </c>
      <c r="L412" s="6" t="n">
        <v>42</v>
      </c>
      <c r="M412" s="6" t="n">
        <v>60</v>
      </c>
      <c r="N412" s="7" t="n">
        <v>46</v>
      </c>
      <c r="O412" s="6" t="s">
        <v>191</v>
      </c>
      <c r="P412" s="6" t="s">
        <v>439</v>
      </c>
      <c r="Q412" s="6" t="s">
        <v>692</v>
      </c>
      <c r="R412" s="6" t="s">
        <v>693</v>
      </c>
      <c r="S412" s="6"/>
    </row>
    <row r="413" customFormat="false" ht="15" hidden="false" customHeight="false" outlineLevel="0" collapsed="false">
      <c r="A413" s="6" t="s">
        <v>694</v>
      </c>
      <c r="B413" s="6" t="s">
        <v>51</v>
      </c>
      <c r="C413" s="6" t="s">
        <v>106</v>
      </c>
      <c r="D413" s="6" t="s">
        <v>171</v>
      </c>
      <c r="E413" s="6" t="n">
        <v>12</v>
      </c>
      <c r="F413" s="7" t="n">
        <v>28.6</v>
      </c>
      <c r="G413" s="7" t="n">
        <v>0</v>
      </c>
      <c r="H413" s="7" t="n">
        <v>29.8</v>
      </c>
      <c r="I413" s="7" t="n">
        <v>0.6</v>
      </c>
      <c r="J413" s="7" t="n">
        <v>1.2</v>
      </c>
      <c r="K413" s="7" t="n">
        <v>2</v>
      </c>
      <c r="L413" s="6" t="n">
        <v>42</v>
      </c>
      <c r="M413" s="6" t="n">
        <v>60</v>
      </c>
      <c r="N413" s="7" t="n">
        <v>46</v>
      </c>
      <c r="O413" s="6" t="s">
        <v>191</v>
      </c>
      <c r="P413" s="6" t="s">
        <v>439</v>
      </c>
      <c r="Q413" s="6" t="s">
        <v>692</v>
      </c>
      <c r="R413" s="6" t="s">
        <v>693</v>
      </c>
      <c r="S413" s="6"/>
    </row>
    <row r="414" customFormat="false" ht="15" hidden="false" customHeight="false" outlineLevel="0" collapsed="false">
      <c r="A414" s="6" t="s">
        <v>695</v>
      </c>
      <c r="B414" s="6" t="s">
        <v>51</v>
      </c>
      <c r="C414" s="6" t="s">
        <v>106</v>
      </c>
      <c r="D414" s="6" t="s">
        <v>171</v>
      </c>
      <c r="E414" s="6" t="n">
        <v>13</v>
      </c>
      <c r="F414" s="7" t="n">
        <v>29.2</v>
      </c>
      <c r="G414" s="7" t="n">
        <v>0</v>
      </c>
      <c r="H414" s="7" t="n">
        <v>29.8</v>
      </c>
      <c r="I414" s="7" t="n">
        <v>0.6</v>
      </c>
      <c r="J414" s="7" t="n">
        <v>1.2</v>
      </c>
      <c r="K414" s="7" t="n">
        <v>2</v>
      </c>
      <c r="L414" s="6" t="n">
        <v>42</v>
      </c>
      <c r="M414" s="6" t="n">
        <v>60</v>
      </c>
      <c r="N414" s="7" t="n">
        <v>46</v>
      </c>
      <c r="O414" s="6" t="s">
        <v>191</v>
      </c>
      <c r="P414" s="6" t="s">
        <v>439</v>
      </c>
      <c r="Q414" s="6" t="s">
        <v>692</v>
      </c>
      <c r="R414" s="6" t="s">
        <v>693</v>
      </c>
      <c r="S414" s="6"/>
    </row>
    <row r="415" customFormat="false" ht="15" hidden="false" customHeight="false" outlineLevel="0" collapsed="false">
      <c r="A415" s="6" t="s">
        <v>696</v>
      </c>
      <c r="B415" s="6" t="s">
        <v>51</v>
      </c>
      <c r="C415" s="6" t="s">
        <v>106</v>
      </c>
      <c r="D415" s="6" t="s">
        <v>171</v>
      </c>
      <c r="E415" s="6" t="n">
        <v>14</v>
      </c>
      <c r="F415" s="7" t="n">
        <v>29.8</v>
      </c>
      <c r="G415" s="7" t="n">
        <v>0</v>
      </c>
      <c r="H415" s="7" t="n">
        <v>29.8</v>
      </c>
      <c r="I415" s="7" t="n">
        <v>0.6</v>
      </c>
      <c r="J415" s="7" t="n">
        <v>1.2</v>
      </c>
      <c r="K415" s="7" t="n">
        <v>2</v>
      </c>
      <c r="L415" s="6" t="n">
        <v>42</v>
      </c>
      <c r="M415" s="6" t="n">
        <v>60</v>
      </c>
      <c r="N415" s="7" t="n">
        <v>46</v>
      </c>
      <c r="O415" s="6" t="s">
        <v>191</v>
      </c>
      <c r="P415" s="6" t="s">
        <v>439</v>
      </c>
      <c r="Q415" s="6" t="s">
        <v>692</v>
      </c>
      <c r="R415" s="6" t="s">
        <v>693</v>
      </c>
      <c r="S415" s="6"/>
    </row>
    <row r="416" customFormat="false" ht="15" hidden="false" customHeight="false" outlineLevel="0" collapsed="false">
      <c r="A416" s="6" t="s">
        <v>697</v>
      </c>
      <c r="B416" s="6" t="s">
        <v>51</v>
      </c>
      <c r="C416" s="6" t="s">
        <v>106</v>
      </c>
      <c r="D416" s="6" t="s">
        <v>171</v>
      </c>
      <c r="E416" s="6" t="n">
        <v>15</v>
      </c>
      <c r="F416" s="7" t="n">
        <v>30.4</v>
      </c>
      <c r="G416" s="7" t="n">
        <v>0</v>
      </c>
      <c r="H416" s="7" t="n">
        <v>29.8</v>
      </c>
      <c r="I416" s="7" t="n">
        <v>0.6</v>
      </c>
      <c r="J416" s="7" t="n">
        <v>1.2</v>
      </c>
      <c r="K416" s="7" t="n">
        <v>2</v>
      </c>
      <c r="L416" s="6" t="n">
        <v>42</v>
      </c>
      <c r="M416" s="6" t="n">
        <v>60</v>
      </c>
      <c r="N416" s="7" t="n">
        <v>46</v>
      </c>
      <c r="O416" s="6" t="s">
        <v>191</v>
      </c>
      <c r="P416" s="6" t="s">
        <v>439</v>
      </c>
      <c r="Q416" s="6" t="s">
        <v>692</v>
      </c>
      <c r="R416" s="6" t="s">
        <v>693</v>
      </c>
      <c r="S416" s="6"/>
    </row>
    <row r="417" customFormat="false" ht="15" hidden="false" customHeight="false" outlineLevel="0" collapsed="false">
      <c r="A417" s="6" t="s">
        <v>698</v>
      </c>
      <c r="B417" s="6" t="s">
        <v>51</v>
      </c>
      <c r="C417" s="6" t="s">
        <v>106</v>
      </c>
      <c r="D417" s="6" t="s">
        <v>171</v>
      </c>
      <c r="E417" s="6" t="n">
        <v>16</v>
      </c>
      <c r="F417" s="7" t="n">
        <v>31</v>
      </c>
      <c r="G417" s="7" t="n">
        <v>0</v>
      </c>
      <c r="H417" s="7" t="n">
        <v>29.8</v>
      </c>
      <c r="I417" s="7" t="n">
        <v>0.6</v>
      </c>
      <c r="J417" s="7" t="n">
        <v>1.2</v>
      </c>
      <c r="K417" s="7" t="n">
        <v>2</v>
      </c>
      <c r="L417" s="6" t="n">
        <v>42</v>
      </c>
      <c r="M417" s="6" t="n">
        <v>60</v>
      </c>
      <c r="N417" s="7" t="n">
        <v>0</v>
      </c>
      <c r="O417" s="6" t="s">
        <v>215</v>
      </c>
      <c r="P417" s="6"/>
      <c r="Q417" s="6" t="s">
        <v>692</v>
      </c>
      <c r="R417" s="6" t="s">
        <v>693</v>
      </c>
      <c r="S417" s="6"/>
    </row>
    <row r="418" customFormat="false" ht="15" hidden="false" customHeight="false" outlineLevel="0" collapsed="false">
      <c r="A418" s="6" t="s">
        <v>699</v>
      </c>
      <c r="B418" s="6" t="s">
        <v>51</v>
      </c>
      <c r="C418" s="6" t="s">
        <v>106</v>
      </c>
      <c r="D418" s="6" t="s">
        <v>171</v>
      </c>
      <c r="E418" s="6" t="n">
        <v>17</v>
      </c>
      <c r="F418" s="7" t="n">
        <v>31.6</v>
      </c>
      <c r="G418" s="7" t="n">
        <v>0</v>
      </c>
      <c r="H418" s="7" t="n">
        <v>29.8</v>
      </c>
      <c r="I418" s="7" t="n">
        <v>0.6</v>
      </c>
      <c r="J418" s="7" t="n">
        <v>1.2</v>
      </c>
      <c r="K418" s="7" t="n">
        <v>2</v>
      </c>
      <c r="L418" s="6" t="n">
        <v>42</v>
      </c>
      <c r="M418" s="6" t="n">
        <v>60</v>
      </c>
      <c r="N418" s="7" t="n">
        <v>0</v>
      </c>
      <c r="O418" s="6" t="s">
        <v>215</v>
      </c>
      <c r="P418" s="6"/>
      <c r="Q418" s="6" t="s">
        <v>692</v>
      </c>
      <c r="R418" s="6" t="s">
        <v>693</v>
      </c>
      <c r="S418" s="6"/>
    </row>
    <row r="419" customFormat="false" ht="15" hidden="false" customHeight="false" outlineLevel="0" collapsed="false">
      <c r="A419" s="6" t="s">
        <v>700</v>
      </c>
      <c r="B419" s="6" t="s">
        <v>51</v>
      </c>
      <c r="C419" s="6" t="s">
        <v>106</v>
      </c>
      <c r="D419" s="6" t="s">
        <v>171</v>
      </c>
      <c r="E419" s="6" t="n">
        <v>18</v>
      </c>
      <c r="F419" s="7" t="n">
        <v>32.2</v>
      </c>
      <c r="G419" s="7" t="n">
        <v>0</v>
      </c>
      <c r="H419" s="7" t="n">
        <v>29.8</v>
      </c>
      <c r="I419" s="7" t="n">
        <v>0.6</v>
      </c>
      <c r="J419" s="7" t="n">
        <v>1.2</v>
      </c>
      <c r="K419" s="7" t="n">
        <v>2</v>
      </c>
      <c r="L419" s="6" t="n">
        <v>42</v>
      </c>
      <c r="M419" s="6" t="n">
        <v>60</v>
      </c>
      <c r="N419" s="7" t="n">
        <v>0</v>
      </c>
      <c r="O419" s="6" t="s">
        <v>215</v>
      </c>
      <c r="P419" s="6"/>
      <c r="Q419" s="6" t="s">
        <v>692</v>
      </c>
      <c r="R419" s="6" t="s">
        <v>693</v>
      </c>
      <c r="S419" s="6"/>
    </row>
    <row r="420" customFormat="false" ht="15" hidden="false" customHeight="false" outlineLevel="0" collapsed="false">
      <c r="A420" s="6" t="s">
        <v>701</v>
      </c>
      <c r="B420" s="6" t="s">
        <v>51</v>
      </c>
      <c r="C420" s="6" t="s">
        <v>106</v>
      </c>
      <c r="D420" s="6" t="s">
        <v>171</v>
      </c>
      <c r="E420" s="6" t="n">
        <v>19</v>
      </c>
      <c r="F420" s="7" t="n">
        <v>32.8</v>
      </c>
      <c r="G420" s="7" t="n">
        <v>0</v>
      </c>
      <c r="H420" s="7" t="n">
        <v>29.8</v>
      </c>
      <c r="I420" s="7" t="n">
        <v>0.6</v>
      </c>
      <c r="J420" s="7" t="n">
        <v>1.2</v>
      </c>
      <c r="K420" s="7" t="n">
        <v>2</v>
      </c>
      <c r="L420" s="6" t="n">
        <v>42</v>
      </c>
      <c r="M420" s="6" t="n">
        <v>60</v>
      </c>
      <c r="N420" s="7" t="n">
        <v>0</v>
      </c>
      <c r="O420" s="6" t="s">
        <v>215</v>
      </c>
      <c r="P420" s="6"/>
      <c r="Q420" s="6" t="s">
        <v>692</v>
      </c>
      <c r="R420" s="6" t="s">
        <v>693</v>
      </c>
      <c r="S420" s="6"/>
    </row>
    <row r="421" customFormat="false" ht="15" hidden="false" customHeight="false" outlineLevel="0" collapsed="false">
      <c r="A421" s="6" t="s">
        <v>702</v>
      </c>
      <c r="B421" s="6" t="s">
        <v>51</v>
      </c>
      <c r="C421" s="6" t="s">
        <v>106</v>
      </c>
      <c r="D421" s="6" t="s">
        <v>171</v>
      </c>
      <c r="E421" s="6" t="n">
        <v>20</v>
      </c>
      <c r="F421" s="7" t="n">
        <v>33.4</v>
      </c>
      <c r="G421" s="7" t="n">
        <v>0</v>
      </c>
      <c r="H421" s="7" t="n">
        <v>29.8</v>
      </c>
      <c r="I421" s="7" t="n">
        <v>0.6</v>
      </c>
      <c r="J421" s="7" t="n">
        <v>1.2</v>
      </c>
      <c r="K421" s="7" t="n">
        <v>2</v>
      </c>
      <c r="L421" s="6" t="n">
        <v>42</v>
      </c>
      <c r="M421" s="6" t="n">
        <v>60</v>
      </c>
      <c r="N421" s="7" t="n">
        <v>0</v>
      </c>
      <c r="O421" s="6" t="s">
        <v>215</v>
      </c>
      <c r="P421" s="6"/>
      <c r="Q421" s="6" t="s">
        <v>692</v>
      </c>
      <c r="R421" s="6" t="s">
        <v>693</v>
      </c>
      <c r="S421" s="6"/>
    </row>
    <row r="422" customFormat="false" ht="15" hidden="false" customHeight="false" outlineLevel="0" collapsed="false">
      <c r="A422" s="6" t="s">
        <v>703</v>
      </c>
      <c r="B422" s="6" t="s">
        <v>51</v>
      </c>
      <c r="C422" s="6" t="s">
        <v>106</v>
      </c>
      <c r="D422" s="6" t="s">
        <v>172</v>
      </c>
      <c r="E422" s="6" t="n">
        <v>1</v>
      </c>
      <c r="F422" s="7" t="n">
        <v>22</v>
      </c>
      <c r="G422" s="7" t="n">
        <v>0</v>
      </c>
      <c r="H422" s="7" t="n">
        <v>32.2</v>
      </c>
      <c r="I422" s="7" t="n">
        <v>0.6</v>
      </c>
      <c r="J422" s="7" t="n">
        <v>1.2</v>
      </c>
      <c r="K422" s="7" t="n">
        <v>2</v>
      </c>
      <c r="L422" s="6" t="n">
        <v>42</v>
      </c>
      <c r="M422" s="6" t="n">
        <v>60</v>
      </c>
      <c r="N422" s="7" t="n">
        <v>48.5</v>
      </c>
      <c r="O422" s="6" t="s">
        <v>191</v>
      </c>
      <c r="P422" s="6" t="s">
        <v>439</v>
      </c>
      <c r="Q422" s="6" t="s">
        <v>704</v>
      </c>
      <c r="R422" s="6" t="s">
        <v>705</v>
      </c>
      <c r="S422" s="6"/>
    </row>
    <row r="423" customFormat="false" ht="15" hidden="false" customHeight="false" outlineLevel="0" collapsed="false">
      <c r="A423" s="6" t="s">
        <v>706</v>
      </c>
      <c r="B423" s="6" t="s">
        <v>51</v>
      </c>
      <c r="C423" s="6" t="s">
        <v>106</v>
      </c>
      <c r="D423" s="6" t="s">
        <v>172</v>
      </c>
      <c r="E423" s="6" t="n">
        <v>2</v>
      </c>
      <c r="F423" s="7" t="n">
        <v>22.6</v>
      </c>
      <c r="G423" s="7" t="n">
        <v>0</v>
      </c>
      <c r="H423" s="7" t="n">
        <v>32.2</v>
      </c>
      <c r="I423" s="7" t="n">
        <v>0.6</v>
      </c>
      <c r="J423" s="7" t="n">
        <v>1.2</v>
      </c>
      <c r="K423" s="7" t="n">
        <v>2</v>
      </c>
      <c r="L423" s="6" t="n">
        <v>42</v>
      </c>
      <c r="M423" s="6" t="n">
        <v>60</v>
      </c>
      <c r="N423" s="7" t="n">
        <v>48.5</v>
      </c>
      <c r="O423" s="6" t="s">
        <v>191</v>
      </c>
      <c r="P423" s="6" t="s">
        <v>439</v>
      </c>
      <c r="Q423" s="6" t="s">
        <v>704</v>
      </c>
      <c r="R423" s="6" t="s">
        <v>705</v>
      </c>
      <c r="S423" s="6"/>
    </row>
    <row r="424" customFormat="false" ht="15" hidden="false" customHeight="false" outlineLevel="0" collapsed="false">
      <c r="A424" s="6" t="s">
        <v>707</v>
      </c>
      <c r="B424" s="6" t="s">
        <v>51</v>
      </c>
      <c r="C424" s="6" t="s">
        <v>106</v>
      </c>
      <c r="D424" s="6" t="s">
        <v>172</v>
      </c>
      <c r="E424" s="6" t="n">
        <v>3</v>
      </c>
      <c r="F424" s="7" t="n">
        <v>23.2</v>
      </c>
      <c r="G424" s="7" t="n">
        <v>0</v>
      </c>
      <c r="H424" s="7" t="n">
        <v>32.2</v>
      </c>
      <c r="I424" s="7" t="n">
        <v>0.6</v>
      </c>
      <c r="J424" s="7" t="n">
        <v>1.2</v>
      </c>
      <c r="K424" s="7" t="n">
        <v>2</v>
      </c>
      <c r="L424" s="6" t="n">
        <v>42</v>
      </c>
      <c r="M424" s="6" t="n">
        <v>60</v>
      </c>
      <c r="N424" s="7" t="n">
        <v>48.5</v>
      </c>
      <c r="O424" s="6" t="s">
        <v>191</v>
      </c>
      <c r="P424" s="6" t="s">
        <v>439</v>
      </c>
      <c r="Q424" s="6" t="s">
        <v>704</v>
      </c>
      <c r="R424" s="6" t="s">
        <v>705</v>
      </c>
      <c r="S424" s="6"/>
    </row>
    <row r="425" customFormat="false" ht="15" hidden="false" customHeight="false" outlineLevel="0" collapsed="false">
      <c r="A425" s="6" t="s">
        <v>708</v>
      </c>
      <c r="B425" s="6" t="s">
        <v>51</v>
      </c>
      <c r="C425" s="6" t="s">
        <v>106</v>
      </c>
      <c r="D425" s="6" t="s">
        <v>172</v>
      </c>
      <c r="E425" s="6" t="n">
        <v>4</v>
      </c>
      <c r="F425" s="7" t="n">
        <v>23.8</v>
      </c>
      <c r="G425" s="7" t="n">
        <v>0</v>
      </c>
      <c r="H425" s="7" t="n">
        <v>32.2</v>
      </c>
      <c r="I425" s="7" t="n">
        <v>0.6</v>
      </c>
      <c r="J425" s="7" t="n">
        <v>1.2</v>
      </c>
      <c r="K425" s="7" t="n">
        <v>2</v>
      </c>
      <c r="L425" s="6" t="n">
        <v>42</v>
      </c>
      <c r="M425" s="6" t="n">
        <v>60</v>
      </c>
      <c r="N425" s="7" t="n">
        <v>48.5</v>
      </c>
      <c r="O425" s="6" t="s">
        <v>191</v>
      </c>
      <c r="P425" s="6" t="s">
        <v>439</v>
      </c>
      <c r="Q425" s="6" t="s">
        <v>704</v>
      </c>
      <c r="R425" s="6" t="s">
        <v>705</v>
      </c>
      <c r="S425" s="6"/>
    </row>
    <row r="426" customFormat="false" ht="15" hidden="false" customHeight="false" outlineLevel="0" collapsed="false">
      <c r="A426" s="6" t="s">
        <v>709</v>
      </c>
      <c r="B426" s="6" t="s">
        <v>51</v>
      </c>
      <c r="C426" s="6" t="s">
        <v>106</v>
      </c>
      <c r="D426" s="6" t="s">
        <v>172</v>
      </c>
      <c r="E426" s="6" t="n">
        <v>5</v>
      </c>
      <c r="F426" s="7" t="n">
        <v>24.4</v>
      </c>
      <c r="G426" s="7" t="n">
        <v>0</v>
      </c>
      <c r="H426" s="7" t="n">
        <v>32.2</v>
      </c>
      <c r="I426" s="7" t="n">
        <v>0.6</v>
      </c>
      <c r="J426" s="7" t="n">
        <v>1.2</v>
      </c>
      <c r="K426" s="7" t="n">
        <v>2</v>
      </c>
      <c r="L426" s="6" t="n">
        <v>42</v>
      </c>
      <c r="M426" s="6" t="n">
        <v>60</v>
      </c>
      <c r="N426" s="7" t="n">
        <v>48.5</v>
      </c>
      <c r="O426" s="6" t="s">
        <v>191</v>
      </c>
      <c r="P426" s="6" t="s">
        <v>439</v>
      </c>
      <c r="Q426" s="6" t="s">
        <v>704</v>
      </c>
      <c r="R426" s="6" t="s">
        <v>705</v>
      </c>
      <c r="S426" s="6"/>
    </row>
    <row r="427" customFormat="false" ht="15" hidden="false" customHeight="false" outlineLevel="0" collapsed="false">
      <c r="A427" s="6" t="s">
        <v>710</v>
      </c>
      <c r="B427" s="6" t="s">
        <v>51</v>
      </c>
      <c r="C427" s="6" t="s">
        <v>106</v>
      </c>
      <c r="D427" s="6" t="s">
        <v>172</v>
      </c>
      <c r="E427" s="6" t="n">
        <v>6</v>
      </c>
      <c r="F427" s="7" t="n">
        <v>25</v>
      </c>
      <c r="G427" s="7" t="n">
        <v>0</v>
      </c>
      <c r="H427" s="7" t="n">
        <v>32.2</v>
      </c>
      <c r="I427" s="7" t="n">
        <v>0.6</v>
      </c>
      <c r="J427" s="7" t="n">
        <v>1.2</v>
      </c>
      <c r="K427" s="7" t="n">
        <v>2</v>
      </c>
      <c r="L427" s="6" t="n">
        <v>42</v>
      </c>
      <c r="M427" s="6" t="n">
        <v>60</v>
      </c>
      <c r="N427" s="7" t="n">
        <v>48.5</v>
      </c>
      <c r="O427" s="6" t="s">
        <v>191</v>
      </c>
      <c r="P427" s="6" t="s">
        <v>439</v>
      </c>
      <c r="Q427" s="6" t="s">
        <v>704</v>
      </c>
      <c r="R427" s="6" t="s">
        <v>705</v>
      </c>
      <c r="S427" s="6"/>
    </row>
    <row r="428" customFormat="false" ht="15" hidden="false" customHeight="false" outlineLevel="0" collapsed="false">
      <c r="A428" s="6" t="s">
        <v>711</v>
      </c>
      <c r="B428" s="6" t="s">
        <v>51</v>
      </c>
      <c r="C428" s="6" t="s">
        <v>106</v>
      </c>
      <c r="D428" s="6" t="s">
        <v>172</v>
      </c>
      <c r="E428" s="6" t="n">
        <v>7</v>
      </c>
      <c r="F428" s="7" t="n">
        <v>25.6</v>
      </c>
      <c r="G428" s="7" t="n">
        <v>0</v>
      </c>
      <c r="H428" s="7" t="n">
        <v>32.2</v>
      </c>
      <c r="I428" s="7" t="n">
        <v>0.6</v>
      </c>
      <c r="J428" s="7" t="n">
        <v>1.2</v>
      </c>
      <c r="K428" s="7" t="n">
        <v>2</v>
      </c>
      <c r="L428" s="6" t="n">
        <v>42</v>
      </c>
      <c r="M428" s="6" t="n">
        <v>60</v>
      </c>
      <c r="N428" s="7" t="n">
        <v>48.5</v>
      </c>
      <c r="O428" s="6" t="s">
        <v>191</v>
      </c>
      <c r="P428" s="6" t="s">
        <v>439</v>
      </c>
      <c r="Q428" s="6" t="s">
        <v>704</v>
      </c>
      <c r="R428" s="6" t="s">
        <v>705</v>
      </c>
      <c r="S428" s="6"/>
    </row>
    <row r="429" customFormat="false" ht="15" hidden="false" customHeight="false" outlineLevel="0" collapsed="false">
      <c r="A429" s="6" t="s">
        <v>712</v>
      </c>
      <c r="B429" s="6" t="s">
        <v>51</v>
      </c>
      <c r="C429" s="6" t="s">
        <v>106</v>
      </c>
      <c r="D429" s="6" t="s">
        <v>172</v>
      </c>
      <c r="E429" s="6" t="n">
        <v>8</v>
      </c>
      <c r="F429" s="7" t="n">
        <v>26.2</v>
      </c>
      <c r="G429" s="7" t="n">
        <v>0</v>
      </c>
      <c r="H429" s="7" t="n">
        <v>32.2</v>
      </c>
      <c r="I429" s="7" t="n">
        <v>0.6</v>
      </c>
      <c r="J429" s="7" t="n">
        <v>1.2</v>
      </c>
      <c r="K429" s="7" t="n">
        <v>2</v>
      </c>
      <c r="L429" s="6" t="n">
        <v>42</v>
      </c>
      <c r="M429" s="6" t="n">
        <v>60</v>
      </c>
      <c r="N429" s="7" t="n">
        <v>48.5</v>
      </c>
      <c r="O429" s="6" t="s">
        <v>191</v>
      </c>
      <c r="P429" s="6" t="s">
        <v>439</v>
      </c>
      <c r="Q429" s="6" t="s">
        <v>704</v>
      </c>
      <c r="R429" s="6" t="s">
        <v>705</v>
      </c>
      <c r="S429" s="6"/>
    </row>
    <row r="430" customFormat="false" ht="15" hidden="false" customHeight="false" outlineLevel="0" collapsed="false">
      <c r="A430" s="6" t="s">
        <v>713</v>
      </c>
      <c r="B430" s="6" t="s">
        <v>51</v>
      </c>
      <c r="C430" s="6" t="s">
        <v>106</v>
      </c>
      <c r="D430" s="6" t="s">
        <v>172</v>
      </c>
      <c r="E430" s="6" t="n">
        <v>9</v>
      </c>
      <c r="F430" s="7" t="n">
        <v>26.8</v>
      </c>
      <c r="G430" s="7" t="n">
        <v>0</v>
      </c>
      <c r="H430" s="7" t="n">
        <v>32.2</v>
      </c>
      <c r="I430" s="7" t="n">
        <v>0.6</v>
      </c>
      <c r="J430" s="7" t="n">
        <v>1.2</v>
      </c>
      <c r="K430" s="7" t="n">
        <v>2</v>
      </c>
      <c r="L430" s="6" t="n">
        <v>42</v>
      </c>
      <c r="M430" s="6" t="n">
        <v>60</v>
      </c>
      <c r="N430" s="7" t="n">
        <v>48.5</v>
      </c>
      <c r="O430" s="6" t="s">
        <v>191</v>
      </c>
      <c r="P430" s="6" t="s">
        <v>439</v>
      </c>
      <c r="Q430" s="6" t="s">
        <v>704</v>
      </c>
      <c r="R430" s="6" t="s">
        <v>705</v>
      </c>
      <c r="S430" s="6"/>
    </row>
    <row r="431" customFormat="false" ht="15" hidden="false" customHeight="false" outlineLevel="0" collapsed="false">
      <c r="A431" s="6" t="s">
        <v>714</v>
      </c>
      <c r="B431" s="6" t="s">
        <v>51</v>
      </c>
      <c r="C431" s="6" t="s">
        <v>106</v>
      </c>
      <c r="D431" s="6" t="s">
        <v>172</v>
      </c>
      <c r="E431" s="6" t="n">
        <v>10</v>
      </c>
      <c r="F431" s="7" t="n">
        <v>27.4</v>
      </c>
      <c r="G431" s="7" t="n">
        <v>0</v>
      </c>
      <c r="H431" s="7" t="n">
        <v>32.2</v>
      </c>
      <c r="I431" s="7" t="n">
        <v>0.6</v>
      </c>
      <c r="J431" s="7" t="n">
        <v>1.2</v>
      </c>
      <c r="K431" s="7" t="n">
        <v>2</v>
      </c>
      <c r="L431" s="6" t="n">
        <v>42</v>
      </c>
      <c r="M431" s="6" t="n">
        <v>60</v>
      </c>
      <c r="N431" s="7" t="n">
        <v>48.5</v>
      </c>
      <c r="O431" s="6" t="s">
        <v>191</v>
      </c>
      <c r="P431" s="6" t="s">
        <v>439</v>
      </c>
      <c r="Q431" s="6" t="s">
        <v>704</v>
      </c>
      <c r="R431" s="6" t="s">
        <v>705</v>
      </c>
      <c r="S431" s="6"/>
    </row>
    <row r="432" customFormat="false" ht="15" hidden="false" customHeight="false" outlineLevel="0" collapsed="false">
      <c r="A432" s="6" t="s">
        <v>715</v>
      </c>
      <c r="B432" s="6" t="s">
        <v>51</v>
      </c>
      <c r="C432" s="6" t="s">
        <v>106</v>
      </c>
      <c r="D432" s="6" t="s">
        <v>172</v>
      </c>
      <c r="E432" s="6" t="n">
        <v>11</v>
      </c>
      <c r="F432" s="7" t="n">
        <v>28</v>
      </c>
      <c r="G432" s="7" t="n">
        <v>0</v>
      </c>
      <c r="H432" s="7" t="n">
        <v>32.2</v>
      </c>
      <c r="I432" s="7" t="n">
        <v>0.6</v>
      </c>
      <c r="J432" s="7" t="n">
        <v>1.2</v>
      </c>
      <c r="K432" s="7" t="n">
        <v>2</v>
      </c>
      <c r="L432" s="6" t="n">
        <v>42</v>
      </c>
      <c r="M432" s="6" t="n">
        <v>60</v>
      </c>
      <c r="N432" s="7" t="n">
        <v>48.5</v>
      </c>
      <c r="O432" s="6" t="s">
        <v>191</v>
      </c>
      <c r="P432" s="6" t="s">
        <v>439</v>
      </c>
      <c r="Q432" s="6" t="s">
        <v>716</v>
      </c>
      <c r="R432" s="6" t="s">
        <v>717</v>
      </c>
      <c r="S432" s="6"/>
    </row>
    <row r="433" customFormat="false" ht="15" hidden="false" customHeight="false" outlineLevel="0" collapsed="false">
      <c r="A433" s="6" t="s">
        <v>718</v>
      </c>
      <c r="B433" s="6" t="s">
        <v>51</v>
      </c>
      <c r="C433" s="6" t="s">
        <v>106</v>
      </c>
      <c r="D433" s="6" t="s">
        <v>172</v>
      </c>
      <c r="E433" s="6" t="n">
        <v>12</v>
      </c>
      <c r="F433" s="7" t="n">
        <v>28.6</v>
      </c>
      <c r="G433" s="7" t="n">
        <v>0</v>
      </c>
      <c r="H433" s="7" t="n">
        <v>32.2</v>
      </c>
      <c r="I433" s="7" t="n">
        <v>0.6</v>
      </c>
      <c r="J433" s="7" t="n">
        <v>1.2</v>
      </c>
      <c r="K433" s="7" t="n">
        <v>2</v>
      </c>
      <c r="L433" s="6" t="n">
        <v>42</v>
      </c>
      <c r="M433" s="6" t="n">
        <v>60</v>
      </c>
      <c r="N433" s="7" t="n">
        <v>48.5</v>
      </c>
      <c r="O433" s="6" t="s">
        <v>191</v>
      </c>
      <c r="P433" s="6" t="s">
        <v>439</v>
      </c>
      <c r="Q433" s="6" t="s">
        <v>716</v>
      </c>
      <c r="R433" s="6" t="s">
        <v>717</v>
      </c>
      <c r="S433" s="6"/>
    </row>
    <row r="434" customFormat="false" ht="15" hidden="false" customHeight="false" outlineLevel="0" collapsed="false">
      <c r="A434" s="6" t="s">
        <v>719</v>
      </c>
      <c r="B434" s="6" t="s">
        <v>51</v>
      </c>
      <c r="C434" s="6" t="s">
        <v>106</v>
      </c>
      <c r="D434" s="6" t="s">
        <v>172</v>
      </c>
      <c r="E434" s="6" t="n">
        <v>13</v>
      </c>
      <c r="F434" s="7" t="n">
        <v>29.2</v>
      </c>
      <c r="G434" s="7" t="n">
        <v>0</v>
      </c>
      <c r="H434" s="7" t="n">
        <v>32.2</v>
      </c>
      <c r="I434" s="7" t="n">
        <v>0.6</v>
      </c>
      <c r="J434" s="7" t="n">
        <v>1.2</v>
      </c>
      <c r="K434" s="7" t="n">
        <v>2</v>
      </c>
      <c r="L434" s="6" t="n">
        <v>42</v>
      </c>
      <c r="M434" s="6" t="n">
        <v>60</v>
      </c>
      <c r="N434" s="7" t="n">
        <v>48</v>
      </c>
      <c r="O434" s="6" t="s">
        <v>191</v>
      </c>
      <c r="P434" s="6" t="s">
        <v>439</v>
      </c>
      <c r="Q434" s="6" t="s">
        <v>716</v>
      </c>
      <c r="R434" s="6" t="s">
        <v>717</v>
      </c>
      <c r="S434" s="6"/>
    </row>
    <row r="435" customFormat="false" ht="15" hidden="false" customHeight="false" outlineLevel="0" collapsed="false">
      <c r="A435" s="6" t="s">
        <v>720</v>
      </c>
      <c r="B435" s="6" t="s">
        <v>51</v>
      </c>
      <c r="C435" s="6" t="s">
        <v>106</v>
      </c>
      <c r="D435" s="6" t="s">
        <v>172</v>
      </c>
      <c r="E435" s="6" t="n">
        <v>14</v>
      </c>
      <c r="F435" s="7" t="n">
        <v>29.8</v>
      </c>
      <c r="G435" s="7" t="n">
        <v>0</v>
      </c>
      <c r="H435" s="7" t="n">
        <v>32.2</v>
      </c>
      <c r="I435" s="7" t="n">
        <v>0.6</v>
      </c>
      <c r="J435" s="7" t="n">
        <v>1.2</v>
      </c>
      <c r="K435" s="7" t="n">
        <v>2</v>
      </c>
      <c r="L435" s="6" t="n">
        <v>42</v>
      </c>
      <c r="M435" s="6" t="n">
        <v>60</v>
      </c>
      <c r="N435" s="7" t="n">
        <v>0</v>
      </c>
      <c r="O435" s="6" t="s">
        <v>215</v>
      </c>
      <c r="P435" s="6"/>
      <c r="Q435" s="6" t="s">
        <v>716</v>
      </c>
      <c r="R435" s="6" t="s">
        <v>717</v>
      </c>
      <c r="S435" s="6"/>
    </row>
    <row r="436" customFormat="false" ht="15" hidden="false" customHeight="false" outlineLevel="0" collapsed="false">
      <c r="A436" s="6" t="s">
        <v>721</v>
      </c>
      <c r="B436" s="6" t="s">
        <v>51</v>
      </c>
      <c r="C436" s="6" t="s">
        <v>106</v>
      </c>
      <c r="D436" s="6" t="s">
        <v>172</v>
      </c>
      <c r="E436" s="6" t="n">
        <v>15</v>
      </c>
      <c r="F436" s="7" t="n">
        <v>30.4</v>
      </c>
      <c r="G436" s="7" t="n">
        <v>0</v>
      </c>
      <c r="H436" s="7" t="n">
        <v>32.2</v>
      </c>
      <c r="I436" s="7" t="n">
        <v>0.6</v>
      </c>
      <c r="J436" s="7" t="n">
        <v>1.2</v>
      </c>
      <c r="K436" s="7" t="n">
        <v>2</v>
      </c>
      <c r="L436" s="6" t="n">
        <v>42</v>
      </c>
      <c r="M436" s="6" t="n">
        <v>60</v>
      </c>
      <c r="N436" s="7" t="n">
        <v>0</v>
      </c>
      <c r="O436" s="6" t="s">
        <v>215</v>
      </c>
      <c r="P436" s="6"/>
      <c r="Q436" s="6" t="s">
        <v>716</v>
      </c>
      <c r="R436" s="6" t="s">
        <v>717</v>
      </c>
      <c r="S436" s="6"/>
    </row>
    <row r="437" customFormat="false" ht="15" hidden="false" customHeight="false" outlineLevel="0" collapsed="false">
      <c r="A437" s="6" t="s">
        <v>722</v>
      </c>
      <c r="B437" s="6" t="s">
        <v>51</v>
      </c>
      <c r="C437" s="6" t="s">
        <v>106</v>
      </c>
      <c r="D437" s="6" t="s">
        <v>172</v>
      </c>
      <c r="E437" s="6" t="n">
        <v>16</v>
      </c>
      <c r="F437" s="7" t="n">
        <v>31</v>
      </c>
      <c r="G437" s="7" t="n">
        <v>0</v>
      </c>
      <c r="H437" s="7" t="n">
        <v>32.2</v>
      </c>
      <c r="I437" s="7" t="n">
        <v>0.6</v>
      </c>
      <c r="J437" s="7" t="n">
        <v>1.2</v>
      </c>
      <c r="K437" s="7" t="n">
        <v>2</v>
      </c>
      <c r="L437" s="6" t="n">
        <v>42</v>
      </c>
      <c r="M437" s="6" t="n">
        <v>60</v>
      </c>
      <c r="N437" s="7" t="n">
        <v>0</v>
      </c>
      <c r="O437" s="6" t="s">
        <v>215</v>
      </c>
      <c r="P437" s="6"/>
      <c r="Q437" s="6" t="s">
        <v>716</v>
      </c>
      <c r="R437" s="6" t="s">
        <v>717</v>
      </c>
      <c r="S437" s="6"/>
    </row>
    <row r="438" customFormat="false" ht="15" hidden="false" customHeight="false" outlineLevel="0" collapsed="false">
      <c r="A438" s="6" t="s">
        <v>723</v>
      </c>
      <c r="B438" s="6" t="s">
        <v>51</v>
      </c>
      <c r="C438" s="6" t="s">
        <v>106</v>
      </c>
      <c r="D438" s="6" t="s">
        <v>172</v>
      </c>
      <c r="E438" s="6" t="n">
        <v>17</v>
      </c>
      <c r="F438" s="7" t="n">
        <v>31.6</v>
      </c>
      <c r="G438" s="7" t="n">
        <v>0</v>
      </c>
      <c r="H438" s="7" t="n">
        <v>32.2</v>
      </c>
      <c r="I438" s="7" t="n">
        <v>0.6</v>
      </c>
      <c r="J438" s="7" t="n">
        <v>1.2</v>
      </c>
      <c r="K438" s="7" t="n">
        <v>2</v>
      </c>
      <c r="L438" s="6" t="n">
        <v>42</v>
      </c>
      <c r="M438" s="6" t="n">
        <v>60</v>
      </c>
      <c r="N438" s="7" t="n">
        <v>0</v>
      </c>
      <c r="O438" s="6" t="s">
        <v>215</v>
      </c>
      <c r="P438" s="6"/>
      <c r="Q438" s="6" t="s">
        <v>716</v>
      </c>
      <c r="R438" s="6" t="s">
        <v>717</v>
      </c>
      <c r="S438" s="6"/>
    </row>
    <row r="439" customFormat="false" ht="15" hidden="false" customHeight="false" outlineLevel="0" collapsed="false">
      <c r="A439" s="6" t="s">
        <v>724</v>
      </c>
      <c r="B439" s="6" t="s">
        <v>51</v>
      </c>
      <c r="C439" s="6" t="s">
        <v>106</v>
      </c>
      <c r="D439" s="6" t="s">
        <v>172</v>
      </c>
      <c r="E439" s="6" t="n">
        <v>18</v>
      </c>
      <c r="F439" s="7" t="n">
        <v>32.2</v>
      </c>
      <c r="G439" s="7" t="n">
        <v>0</v>
      </c>
      <c r="H439" s="7" t="n">
        <v>32.2</v>
      </c>
      <c r="I439" s="7" t="n">
        <v>0.6</v>
      </c>
      <c r="J439" s="7" t="n">
        <v>1.2</v>
      </c>
      <c r="K439" s="7" t="n">
        <v>2</v>
      </c>
      <c r="L439" s="6" t="n">
        <v>42</v>
      </c>
      <c r="M439" s="6" t="n">
        <v>60</v>
      </c>
      <c r="N439" s="7" t="n">
        <v>0</v>
      </c>
      <c r="O439" s="6" t="s">
        <v>215</v>
      </c>
      <c r="P439" s="6"/>
      <c r="Q439" s="6" t="s">
        <v>716</v>
      </c>
      <c r="R439" s="6" t="s">
        <v>717</v>
      </c>
      <c r="S439" s="6"/>
    </row>
    <row r="440" customFormat="false" ht="15" hidden="false" customHeight="false" outlineLevel="0" collapsed="false">
      <c r="A440" s="6" t="s">
        <v>725</v>
      </c>
      <c r="B440" s="6" t="s">
        <v>51</v>
      </c>
      <c r="C440" s="6" t="s">
        <v>106</v>
      </c>
      <c r="D440" s="6" t="s">
        <v>172</v>
      </c>
      <c r="E440" s="6" t="n">
        <v>19</v>
      </c>
      <c r="F440" s="7" t="n">
        <v>32.8</v>
      </c>
      <c r="G440" s="7" t="n">
        <v>0</v>
      </c>
      <c r="H440" s="7" t="n">
        <v>32.2</v>
      </c>
      <c r="I440" s="7" t="n">
        <v>0.6</v>
      </c>
      <c r="J440" s="7" t="n">
        <v>1.2</v>
      </c>
      <c r="K440" s="7" t="n">
        <v>2</v>
      </c>
      <c r="L440" s="6" t="n">
        <v>42</v>
      </c>
      <c r="M440" s="6" t="n">
        <v>60</v>
      </c>
      <c r="N440" s="7" t="n">
        <v>0</v>
      </c>
      <c r="O440" s="6" t="s">
        <v>215</v>
      </c>
      <c r="P440" s="6"/>
      <c r="Q440" s="6" t="s">
        <v>716</v>
      </c>
      <c r="R440" s="6" t="s">
        <v>717</v>
      </c>
      <c r="S440" s="6"/>
    </row>
    <row r="441" customFormat="false" ht="15" hidden="false" customHeight="false" outlineLevel="0" collapsed="false">
      <c r="A441" s="6" t="s">
        <v>726</v>
      </c>
      <c r="B441" s="6" t="s">
        <v>51</v>
      </c>
      <c r="C441" s="6" t="s">
        <v>106</v>
      </c>
      <c r="D441" s="6" t="s">
        <v>172</v>
      </c>
      <c r="E441" s="6" t="n">
        <v>20</v>
      </c>
      <c r="F441" s="7" t="n">
        <v>33.4</v>
      </c>
      <c r="G441" s="7" t="n">
        <v>0</v>
      </c>
      <c r="H441" s="7" t="n">
        <v>32.2</v>
      </c>
      <c r="I441" s="7" t="n">
        <v>0.6</v>
      </c>
      <c r="J441" s="7" t="n">
        <v>1.2</v>
      </c>
      <c r="K441" s="7" t="n">
        <v>2</v>
      </c>
      <c r="L441" s="6" t="n">
        <v>42</v>
      </c>
      <c r="M441" s="6" t="n">
        <v>60</v>
      </c>
      <c r="N441" s="7" t="n">
        <v>0</v>
      </c>
      <c r="O441" s="6" t="s">
        <v>215</v>
      </c>
      <c r="P441" s="6"/>
      <c r="Q441" s="6" t="s">
        <v>716</v>
      </c>
      <c r="R441" s="6" t="s">
        <v>717</v>
      </c>
      <c r="S441" s="6"/>
    </row>
    <row r="442" customFormat="false" ht="15" hidden="false" customHeight="false" outlineLevel="0" collapsed="false">
      <c r="A442" s="6" t="s">
        <v>727</v>
      </c>
      <c r="B442" s="6" t="s">
        <v>51</v>
      </c>
      <c r="C442" s="6" t="s">
        <v>106</v>
      </c>
      <c r="D442" s="6" t="s">
        <v>173</v>
      </c>
      <c r="E442" s="6" t="n">
        <v>1</v>
      </c>
      <c r="F442" s="7" t="n">
        <v>22</v>
      </c>
      <c r="G442" s="7" t="n">
        <v>0</v>
      </c>
      <c r="H442" s="7" t="n">
        <v>34.6</v>
      </c>
      <c r="I442" s="7" t="n">
        <v>0.6</v>
      </c>
      <c r="J442" s="7" t="n">
        <v>1.2</v>
      </c>
      <c r="K442" s="7" t="n">
        <v>2</v>
      </c>
      <c r="L442" s="6" t="n">
        <v>42</v>
      </c>
      <c r="M442" s="6" t="n">
        <v>60</v>
      </c>
      <c r="N442" s="7" t="n">
        <v>47.9</v>
      </c>
      <c r="O442" s="6" t="s">
        <v>191</v>
      </c>
      <c r="P442" s="6" t="s">
        <v>439</v>
      </c>
      <c r="Q442" s="6" t="s">
        <v>728</v>
      </c>
      <c r="R442" s="6" t="s">
        <v>729</v>
      </c>
      <c r="S442" s="6"/>
    </row>
    <row r="443" customFormat="false" ht="15" hidden="false" customHeight="false" outlineLevel="0" collapsed="false">
      <c r="A443" s="6" t="s">
        <v>730</v>
      </c>
      <c r="B443" s="6" t="s">
        <v>51</v>
      </c>
      <c r="C443" s="6" t="s">
        <v>106</v>
      </c>
      <c r="D443" s="6" t="s">
        <v>173</v>
      </c>
      <c r="E443" s="6" t="n">
        <v>2</v>
      </c>
      <c r="F443" s="7" t="n">
        <v>22.6</v>
      </c>
      <c r="G443" s="7" t="n">
        <v>0</v>
      </c>
      <c r="H443" s="7" t="n">
        <v>34.6</v>
      </c>
      <c r="I443" s="7" t="n">
        <v>0.6</v>
      </c>
      <c r="J443" s="7" t="n">
        <v>1.2</v>
      </c>
      <c r="K443" s="7" t="n">
        <v>2</v>
      </c>
      <c r="L443" s="6" t="n">
        <v>42</v>
      </c>
      <c r="M443" s="6" t="n">
        <v>60</v>
      </c>
      <c r="N443" s="7" t="n">
        <v>47.9</v>
      </c>
      <c r="O443" s="6" t="s">
        <v>191</v>
      </c>
      <c r="P443" s="6" t="s">
        <v>439</v>
      </c>
      <c r="Q443" s="6" t="s">
        <v>728</v>
      </c>
      <c r="R443" s="6" t="s">
        <v>729</v>
      </c>
      <c r="S443" s="6"/>
    </row>
    <row r="444" customFormat="false" ht="15" hidden="false" customHeight="false" outlineLevel="0" collapsed="false">
      <c r="A444" s="6" t="s">
        <v>731</v>
      </c>
      <c r="B444" s="6" t="s">
        <v>51</v>
      </c>
      <c r="C444" s="6" t="s">
        <v>106</v>
      </c>
      <c r="D444" s="6" t="s">
        <v>173</v>
      </c>
      <c r="E444" s="6" t="n">
        <v>3</v>
      </c>
      <c r="F444" s="7" t="n">
        <v>23.2</v>
      </c>
      <c r="G444" s="7" t="n">
        <v>0</v>
      </c>
      <c r="H444" s="7" t="n">
        <v>34.6</v>
      </c>
      <c r="I444" s="7" t="n">
        <v>0.6</v>
      </c>
      <c r="J444" s="7" t="n">
        <v>1.2</v>
      </c>
      <c r="K444" s="7" t="n">
        <v>2</v>
      </c>
      <c r="L444" s="6" t="n">
        <v>42</v>
      </c>
      <c r="M444" s="6" t="n">
        <v>60</v>
      </c>
      <c r="N444" s="7" t="n">
        <v>47.9</v>
      </c>
      <c r="O444" s="6" t="s">
        <v>191</v>
      </c>
      <c r="P444" s="6" t="s">
        <v>439</v>
      </c>
      <c r="Q444" s="6" t="s">
        <v>728</v>
      </c>
      <c r="R444" s="6" t="s">
        <v>729</v>
      </c>
      <c r="S444" s="6"/>
    </row>
    <row r="445" customFormat="false" ht="15" hidden="false" customHeight="false" outlineLevel="0" collapsed="false">
      <c r="A445" s="6" t="s">
        <v>732</v>
      </c>
      <c r="B445" s="6" t="s">
        <v>51</v>
      </c>
      <c r="C445" s="6" t="s">
        <v>106</v>
      </c>
      <c r="D445" s="6" t="s">
        <v>173</v>
      </c>
      <c r="E445" s="6" t="n">
        <v>4</v>
      </c>
      <c r="F445" s="7" t="n">
        <v>23.8</v>
      </c>
      <c r="G445" s="7" t="n">
        <v>0</v>
      </c>
      <c r="H445" s="7" t="n">
        <v>34.6</v>
      </c>
      <c r="I445" s="7" t="n">
        <v>0.6</v>
      </c>
      <c r="J445" s="7" t="n">
        <v>1.2</v>
      </c>
      <c r="K445" s="7" t="n">
        <v>2</v>
      </c>
      <c r="L445" s="6" t="n">
        <v>42</v>
      </c>
      <c r="M445" s="6" t="n">
        <v>60</v>
      </c>
      <c r="N445" s="7" t="n">
        <v>47.9</v>
      </c>
      <c r="O445" s="6" t="s">
        <v>191</v>
      </c>
      <c r="P445" s="6" t="s">
        <v>439</v>
      </c>
      <c r="Q445" s="6" t="s">
        <v>728</v>
      </c>
      <c r="R445" s="6" t="s">
        <v>729</v>
      </c>
      <c r="S445" s="6"/>
    </row>
    <row r="446" customFormat="false" ht="15" hidden="false" customHeight="false" outlineLevel="0" collapsed="false">
      <c r="A446" s="6" t="s">
        <v>733</v>
      </c>
      <c r="B446" s="6" t="s">
        <v>51</v>
      </c>
      <c r="C446" s="6" t="s">
        <v>106</v>
      </c>
      <c r="D446" s="6" t="s">
        <v>173</v>
      </c>
      <c r="E446" s="6" t="n">
        <v>5</v>
      </c>
      <c r="F446" s="7" t="n">
        <v>24.4</v>
      </c>
      <c r="G446" s="7" t="n">
        <v>0</v>
      </c>
      <c r="H446" s="7" t="n">
        <v>34.6</v>
      </c>
      <c r="I446" s="7" t="n">
        <v>0.6</v>
      </c>
      <c r="J446" s="7" t="n">
        <v>1.2</v>
      </c>
      <c r="K446" s="7" t="n">
        <v>2</v>
      </c>
      <c r="L446" s="6" t="n">
        <v>42</v>
      </c>
      <c r="M446" s="6" t="n">
        <v>60</v>
      </c>
      <c r="N446" s="7" t="n">
        <v>47.9</v>
      </c>
      <c r="O446" s="6" t="s">
        <v>191</v>
      </c>
      <c r="P446" s="6" t="s">
        <v>439</v>
      </c>
      <c r="Q446" s="6" t="s">
        <v>728</v>
      </c>
      <c r="R446" s="6" t="s">
        <v>729</v>
      </c>
      <c r="S446" s="6"/>
    </row>
    <row r="447" customFormat="false" ht="15" hidden="false" customHeight="false" outlineLevel="0" collapsed="false">
      <c r="A447" s="6" t="s">
        <v>734</v>
      </c>
      <c r="B447" s="6" t="s">
        <v>51</v>
      </c>
      <c r="C447" s="6" t="s">
        <v>106</v>
      </c>
      <c r="D447" s="6" t="s">
        <v>173</v>
      </c>
      <c r="E447" s="6" t="n">
        <v>6</v>
      </c>
      <c r="F447" s="7" t="n">
        <v>25</v>
      </c>
      <c r="G447" s="7" t="n">
        <v>0</v>
      </c>
      <c r="H447" s="7" t="n">
        <v>34.6</v>
      </c>
      <c r="I447" s="7" t="n">
        <v>0.6</v>
      </c>
      <c r="J447" s="7" t="n">
        <v>1.2</v>
      </c>
      <c r="K447" s="7" t="n">
        <v>2</v>
      </c>
      <c r="L447" s="6" t="n">
        <v>42</v>
      </c>
      <c r="M447" s="6" t="n">
        <v>60</v>
      </c>
      <c r="N447" s="7" t="n">
        <v>47.9</v>
      </c>
      <c r="O447" s="6" t="s">
        <v>191</v>
      </c>
      <c r="P447" s="6" t="s">
        <v>439</v>
      </c>
      <c r="Q447" s="6" t="s">
        <v>728</v>
      </c>
      <c r="R447" s="6" t="s">
        <v>729</v>
      </c>
      <c r="S447" s="6"/>
    </row>
    <row r="448" customFormat="false" ht="15" hidden="false" customHeight="false" outlineLevel="0" collapsed="false">
      <c r="A448" s="6" t="s">
        <v>735</v>
      </c>
      <c r="B448" s="6" t="s">
        <v>51</v>
      </c>
      <c r="C448" s="6" t="s">
        <v>106</v>
      </c>
      <c r="D448" s="6" t="s">
        <v>173</v>
      </c>
      <c r="E448" s="6" t="n">
        <v>7</v>
      </c>
      <c r="F448" s="7" t="n">
        <v>25.6</v>
      </c>
      <c r="G448" s="7" t="n">
        <v>0</v>
      </c>
      <c r="H448" s="7" t="n">
        <v>34.6</v>
      </c>
      <c r="I448" s="7" t="n">
        <v>0.6</v>
      </c>
      <c r="J448" s="7" t="n">
        <v>1.2</v>
      </c>
      <c r="K448" s="7" t="n">
        <v>2</v>
      </c>
      <c r="L448" s="6" t="n">
        <v>42</v>
      </c>
      <c r="M448" s="6" t="n">
        <v>60</v>
      </c>
      <c r="N448" s="7" t="n">
        <v>47.9</v>
      </c>
      <c r="O448" s="6" t="s">
        <v>191</v>
      </c>
      <c r="P448" s="6" t="s">
        <v>439</v>
      </c>
      <c r="Q448" s="6" t="s">
        <v>728</v>
      </c>
      <c r="R448" s="6" t="s">
        <v>729</v>
      </c>
      <c r="S448" s="6"/>
    </row>
    <row r="449" customFormat="false" ht="15" hidden="false" customHeight="false" outlineLevel="0" collapsed="false">
      <c r="A449" s="6" t="s">
        <v>736</v>
      </c>
      <c r="B449" s="6" t="s">
        <v>51</v>
      </c>
      <c r="C449" s="6" t="s">
        <v>106</v>
      </c>
      <c r="D449" s="6" t="s">
        <v>173</v>
      </c>
      <c r="E449" s="6" t="n">
        <v>8</v>
      </c>
      <c r="F449" s="7" t="n">
        <v>26.2</v>
      </c>
      <c r="G449" s="7" t="n">
        <v>0</v>
      </c>
      <c r="H449" s="7" t="n">
        <v>34.6</v>
      </c>
      <c r="I449" s="7" t="n">
        <v>0.6</v>
      </c>
      <c r="J449" s="7" t="n">
        <v>1.2</v>
      </c>
      <c r="K449" s="7" t="n">
        <v>2</v>
      </c>
      <c r="L449" s="6" t="n">
        <v>42</v>
      </c>
      <c r="M449" s="6" t="n">
        <v>60</v>
      </c>
      <c r="N449" s="7" t="n">
        <v>47.9</v>
      </c>
      <c r="O449" s="6" t="s">
        <v>191</v>
      </c>
      <c r="P449" s="6" t="s">
        <v>439</v>
      </c>
      <c r="Q449" s="6" t="s">
        <v>728</v>
      </c>
      <c r="R449" s="6" t="s">
        <v>729</v>
      </c>
      <c r="S449" s="6"/>
    </row>
    <row r="450" customFormat="false" ht="15" hidden="false" customHeight="false" outlineLevel="0" collapsed="false">
      <c r="A450" s="6" t="s">
        <v>737</v>
      </c>
      <c r="B450" s="6" t="s">
        <v>51</v>
      </c>
      <c r="C450" s="6" t="s">
        <v>106</v>
      </c>
      <c r="D450" s="6" t="s">
        <v>173</v>
      </c>
      <c r="E450" s="6" t="n">
        <v>9</v>
      </c>
      <c r="F450" s="7" t="n">
        <v>26.8</v>
      </c>
      <c r="G450" s="7" t="n">
        <v>0</v>
      </c>
      <c r="H450" s="7" t="n">
        <v>34.6</v>
      </c>
      <c r="I450" s="7" t="n">
        <v>0.6</v>
      </c>
      <c r="J450" s="7" t="n">
        <v>1.2</v>
      </c>
      <c r="K450" s="7" t="n">
        <v>2</v>
      </c>
      <c r="L450" s="6" t="n">
        <v>42</v>
      </c>
      <c r="M450" s="6" t="n">
        <v>60</v>
      </c>
      <c r="N450" s="7" t="n">
        <v>47.9</v>
      </c>
      <c r="O450" s="6" t="s">
        <v>191</v>
      </c>
      <c r="P450" s="6" t="s">
        <v>439</v>
      </c>
      <c r="Q450" s="6" t="s">
        <v>728</v>
      </c>
      <c r="R450" s="6" t="s">
        <v>729</v>
      </c>
      <c r="S450" s="6"/>
    </row>
    <row r="451" customFormat="false" ht="15" hidden="false" customHeight="false" outlineLevel="0" collapsed="false">
      <c r="A451" s="6" t="s">
        <v>738</v>
      </c>
      <c r="B451" s="6" t="s">
        <v>51</v>
      </c>
      <c r="C451" s="6" t="s">
        <v>106</v>
      </c>
      <c r="D451" s="6" t="s">
        <v>173</v>
      </c>
      <c r="E451" s="6" t="n">
        <v>10</v>
      </c>
      <c r="F451" s="7" t="n">
        <v>27.4</v>
      </c>
      <c r="G451" s="7" t="n">
        <v>0</v>
      </c>
      <c r="H451" s="7" t="n">
        <v>34.6</v>
      </c>
      <c r="I451" s="7" t="n">
        <v>0.6</v>
      </c>
      <c r="J451" s="7" t="n">
        <v>1.2</v>
      </c>
      <c r="K451" s="7" t="n">
        <v>2</v>
      </c>
      <c r="L451" s="6" t="n">
        <v>42</v>
      </c>
      <c r="M451" s="6" t="n">
        <v>60</v>
      </c>
      <c r="N451" s="7" t="n">
        <v>47.9</v>
      </c>
      <c r="O451" s="6" t="s">
        <v>191</v>
      </c>
      <c r="P451" s="6" t="s">
        <v>439</v>
      </c>
      <c r="Q451" s="6" t="s">
        <v>728</v>
      </c>
      <c r="R451" s="6" t="s">
        <v>729</v>
      </c>
      <c r="S451" s="6"/>
    </row>
    <row r="452" customFormat="false" ht="15" hidden="false" customHeight="false" outlineLevel="0" collapsed="false">
      <c r="A452" s="6" t="s">
        <v>739</v>
      </c>
      <c r="B452" s="6" t="s">
        <v>51</v>
      </c>
      <c r="C452" s="6" t="s">
        <v>106</v>
      </c>
      <c r="D452" s="6" t="s">
        <v>173</v>
      </c>
      <c r="E452" s="6" t="n">
        <v>11</v>
      </c>
      <c r="F452" s="7" t="n">
        <v>28</v>
      </c>
      <c r="G452" s="7" t="n">
        <v>0</v>
      </c>
      <c r="H452" s="7" t="n">
        <v>34.6</v>
      </c>
      <c r="I452" s="7" t="n">
        <v>0.6</v>
      </c>
      <c r="J452" s="7" t="n">
        <v>1.2</v>
      </c>
      <c r="K452" s="7" t="n">
        <v>2</v>
      </c>
      <c r="L452" s="6" t="n">
        <v>42</v>
      </c>
      <c r="M452" s="6" t="n">
        <v>60</v>
      </c>
      <c r="N452" s="7" t="n">
        <v>47.9</v>
      </c>
      <c r="O452" s="6" t="s">
        <v>191</v>
      </c>
      <c r="P452" s="6" t="s">
        <v>439</v>
      </c>
      <c r="Q452" s="6" t="s">
        <v>740</v>
      </c>
      <c r="R452" s="6" t="s">
        <v>741</v>
      </c>
      <c r="S452" s="6"/>
    </row>
    <row r="453" customFormat="false" ht="15" hidden="false" customHeight="false" outlineLevel="0" collapsed="false">
      <c r="A453" s="6" t="s">
        <v>742</v>
      </c>
      <c r="B453" s="6" t="s">
        <v>51</v>
      </c>
      <c r="C453" s="6" t="s">
        <v>106</v>
      </c>
      <c r="D453" s="6" t="s">
        <v>173</v>
      </c>
      <c r="E453" s="6" t="n">
        <v>12</v>
      </c>
      <c r="F453" s="7" t="n">
        <v>28.6</v>
      </c>
      <c r="G453" s="7" t="n">
        <v>0</v>
      </c>
      <c r="H453" s="7" t="n">
        <v>34.6</v>
      </c>
      <c r="I453" s="7" t="n">
        <v>0.6</v>
      </c>
      <c r="J453" s="7" t="n">
        <v>1.2</v>
      </c>
      <c r="K453" s="7" t="n">
        <v>2</v>
      </c>
      <c r="L453" s="6" t="n">
        <v>42</v>
      </c>
      <c r="M453" s="6" t="n">
        <v>60</v>
      </c>
      <c r="N453" s="7" t="n">
        <v>47.9</v>
      </c>
      <c r="O453" s="6" t="s">
        <v>191</v>
      </c>
      <c r="P453" s="6" t="s">
        <v>439</v>
      </c>
      <c r="Q453" s="6" t="s">
        <v>740</v>
      </c>
      <c r="R453" s="6" t="s">
        <v>741</v>
      </c>
      <c r="S453" s="6"/>
    </row>
    <row r="454" customFormat="false" ht="15" hidden="false" customHeight="false" outlineLevel="0" collapsed="false">
      <c r="A454" s="6" t="s">
        <v>743</v>
      </c>
      <c r="B454" s="6" t="s">
        <v>51</v>
      </c>
      <c r="C454" s="6" t="s">
        <v>106</v>
      </c>
      <c r="D454" s="6" t="s">
        <v>173</v>
      </c>
      <c r="E454" s="6" t="n">
        <v>13</v>
      </c>
      <c r="F454" s="7" t="n">
        <v>29.2</v>
      </c>
      <c r="G454" s="7" t="n">
        <v>0</v>
      </c>
      <c r="H454" s="7" t="n">
        <v>34.6</v>
      </c>
      <c r="I454" s="7" t="n">
        <v>0.6</v>
      </c>
      <c r="J454" s="7" t="n">
        <v>1.2</v>
      </c>
      <c r="K454" s="7" t="n">
        <v>2</v>
      </c>
      <c r="L454" s="6" t="n">
        <v>42</v>
      </c>
      <c r="M454" s="6" t="n">
        <v>60</v>
      </c>
      <c r="N454" s="7" t="n">
        <v>47.9</v>
      </c>
      <c r="O454" s="6" t="s">
        <v>191</v>
      </c>
      <c r="P454" s="6" t="s">
        <v>439</v>
      </c>
      <c r="Q454" s="6" t="s">
        <v>740</v>
      </c>
      <c r="R454" s="6" t="s">
        <v>741</v>
      </c>
      <c r="S454" s="6"/>
    </row>
    <row r="455" customFormat="false" ht="15" hidden="false" customHeight="false" outlineLevel="0" collapsed="false">
      <c r="A455" s="6" t="s">
        <v>744</v>
      </c>
      <c r="B455" s="6" t="s">
        <v>51</v>
      </c>
      <c r="C455" s="6" t="s">
        <v>106</v>
      </c>
      <c r="D455" s="6" t="s">
        <v>173</v>
      </c>
      <c r="E455" s="6" t="n">
        <v>14</v>
      </c>
      <c r="F455" s="7" t="n">
        <v>29.8</v>
      </c>
      <c r="G455" s="7" t="n">
        <v>0</v>
      </c>
      <c r="H455" s="7" t="n">
        <v>34.6</v>
      </c>
      <c r="I455" s="7" t="n">
        <v>0.6</v>
      </c>
      <c r="J455" s="7" t="n">
        <v>1.2</v>
      </c>
      <c r="K455" s="7" t="n">
        <v>2</v>
      </c>
      <c r="L455" s="6" t="n">
        <v>42</v>
      </c>
      <c r="M455" s="6" t="n">
        <v>60</v>
      </c>
      <c r="N455" s="7" t="n">
        <v>47.3</v>
      </c>
      <c r="O455" s="6" t="s">
        <v>191</v>
      </c>
      <c r="P455" s="6" t="s">
        <v>439</v>
      </c>
      <c r="Q455" s="6" t="s">
        <v>740</v>
      </c>
      <c r="R455" s="6" t="s">
        <v>741</v>
      </c>
      <c r="S455" s="6"/>
    </row>
    <row r="456" customFormat="false" ht="15" hidden="false" customHeight="false" outlineLevel="0" collapsed="false">
      <c r="A456" s="6" t="s">
        <v>745</v>
      </c>
      <c r="B456" s="6" t="s">
        <v>51</v>
      </c>
      <c r="C456" s="6" t="s">
        <v>106</v>
      </c>
      <c r="D456" s="6" t="s">
        <v>173</v>
      </c>
      <c r="E456" s="6" t="n">
        <v>15</v>
      </c>
      <c r="F456" s="7" t="n">
        <v>30.4</v>
      </c>
      <c r="G456" s="7" t="n">
        <v>0</v>
      </c>
      <c r="H456" s="7" t="n">
        <v>34.6</v>
      </c>
      <c r="I456" s="7" t="n">
        <v>0.6</v>
      </c>
      <c r="J456" s="7" t="n">
        <v>1.2</v>
      </c>
      <c r="K456" s="7" t="n">
        <v>2</v>
      </c>
      <c r="L456" s="6" t="n">
        <v>42</v>
      </c>
      <c r="M456" s="6" t="n">
        <v>60</v>
      </c>
      <c r="N456" s="7" t="n">
        <v>0</v>
      </c>
      <c r="O456" s="6" t="s">
        <v>215</v>
      </c>
      <c r="P456" s="6"/>
      <c r="Q456" s="6" t="s">
        <v>740</v>
      </c>
      <c r="R456" s="6" t="s">
        <v>741</v>
      </c>
      <c r="S456" s="6"/>
    </row>
    <row r="457" customFormat="false" ht="15" hidden="false" customHeight="false" outlineLevel="0" collapsed="false">
      <c r="A457" s="6" t="s">
        <v>746</v>
      </c>
      <c r="B457" s="6" t="s">
        <v>51</v>
      </c>
      <c r="C457" s="6" t="s">
        <v>106</v>
      </c>
      <c r="D457" s="6" t="s">
        <v>173</v>
      </c>
      <c r="E457" s="6" t="n">
        <v>16</v>
      </c>
      <c r="F457" s="7" t="n">
        <v>31</v>
      </c>
      <c r="G457" s="7" t="n">
        <v>0</v>
      </c>
      <c r="H457" s="7" t="n">
        <v>34.6</v>
      </c>
      <c r="I457" s="7" t="n">
        <v>0.6</v>
      </c>
      <c r="J457" s="7" t="n">
        <v>1.2</v>
      </c>
      <c r="K457" s="7" t="n">
        <v>2</v>
      </c>
      <c r="L457" s="6" t="n">
        <v>42</v>
      </c>
      <c r="M457" s="6" t="n">
        <v>60</v>
      </c>
      <c r="N457" s="7" t="n">
        <v>0</v>
      </c>
      <c r="O457" s="6" t="s">
        <v>215</v>
      </c>
      <c r="P457" s="6"/>
      <c r="Q457" s="6" t="s">
        <v>740</v>
      </c>
      <c r="R457" s="6" t="s">
        <v>741</v>
      </c>
      <c r="S457" s="6"/>
    </row>
    <row r="458" customFormat="false" ht="15" hidden="false" customHeight="false" outlineLevel="0" collapsed="false">
      <c r="A458" s="6" t="s">
        <v>747</v>
      </c>
      <c r="B458" s="6" t="s">
        <v>51</v>
      </c>
      <c r="C458" s="6" t="s">
        <v>106</v>
      </c>
      <c r="D458" s="6" t="s">
        <v>173</v>
      </c>
      <c r="E458" s="6" t="n">
        <v>17</v>
      </c>
      <c r="F458" s="7" t="n">
        <v>31.6</v>
      </c>
      <c r="G458" s="7" t="n">
        <v>0</v>
      </c>
      <c r="H458" s="7" t="n">
        <v>34.6</v>
      </c>
      <c r="I458" s="7" t="n">
        <v>0.6</v>
      </c>
      <c r="J458" s="7" t="n">
        <v>1.2</v>
      </c>
      <c r="K458" s="7" t="n">
        <v>2</v>
      </c>
      <c r="L458" s="6" t="n">
        <v>42</v>
      </c>
      <c r="M458" s="6" t="n">
        <v>60</v>
      </c>
      <c r="N458" s="7" t="n">
        <v>0</v>
      </c>
      <c r="O458" s="6" t="s">
        <v>215</v>
      </c>
      <c r="P458" s="6"/>
      <c r="Q458" s="6" t="s">
        <v>740</v>
      </c>
      <c r="R458" s="6" t="s">
        <v>741</v>
      </c>
      <c r="S458" s="6"/>
    </row>
    <row r="459" customFormat="false" ht="15" hidden="false" customHeight="false" outlineLevel="0" collapsed="false">
      <c r="A459" s="6" t="s">
        <v>748</v>
      </c>
      <c r="B459" s="6" t="s">
        <v>51</v>
      </c>
      <c r="C459" s="6" t="s">
        <v>106</v>
      </c>
      <c r="D459" s="6" t="s">
        <v>173</v>
      </c>
      <c r="E459" s="6" t="n">
        <v>18</v>
      </c>
      <c r="F459" s="7" t="n">
        <v>32.2</v>
      </c>
      <c r="G459" s="7" t="n">
        <v>0</v>
      </c>
      <c r="H459" s="7" t="n">
        <v>34.6</v>
      </c>
      <c r="I459" s="7" t="n">
        <v>0.6</v>
      </c>
      <c r="J459" s="7" t="n">
        <v>1.2</v>
      </c>
      <c r="K459" s="7" t="n">
        <v>2</v>
      </c>
      <c r="L459" s="6" t="n">
        <v>42</v>
      </c>
      <c r="M459" s="6" t="n">
        <v>60</v>
      </c>
      <c r="N459" s="7" t="n">
        <v>0</v>
      </c>
      <c r="O459" s="6" t="s">
        <v>215</v>
      </c>
      <c r="P459" s="6"/>
      <c r="Q459" s="6" t="s">
        <v>740</v>
      </c>
      <c r="R459" s="6" t="s">
        <v>741</v>
      </c>
      <c r="S459" s="6"/>
    </row>
    <row r="460" customFormat="false" ht="15" hidden="false" customHeight="false" outlineLevel="0" collapsed="false">
      <c r="A460" s="6" t="s">
        <v>749</v>
      </c>
      <c r="B460" s="6" t="s">
        <v>51</v>
      </c>
      <c r="C460" s="6" t="s">
        <v>106</v>
      </c>
      <c r="D460" s="6" t="s">
        <v>173</v>
      </c>
      <c r="E460" s="6" t="n">
        <v>19</v>
      </c>
      <c r="F460" s="7" t="n">
        <v>32.8</v>
      </c>
      <c r="G460" s="7" t="n">
        <v>0</v>
      </c>
      <c r="H460" s="7" t="n">
        <v>34.6</v>
      </c>
      <c r="I460" s="7" t="n">
        <v>0.6</v>
      </c>
      <c r="J460" s="7" t="n">
        <v>1.2</v>
      </c>
      <c r="K460" s="7" t="n">
        <v>2</v>
      </c>
      <c r="L460" s="6" t="n">
        <v>42</v>
      </c>
      <c r="M460" s="6" t="n">
        <v>60</v>
      </c>
      <c r="N460" s="7" t="n">
        <v>0</v>
      </c>
      <c r="O460" s="6" t="s">
        <v>215</v>
      </c>
      <c r="P460" s="6"/>
      <c r="Q460" s="6" t="s">
        <v>740</v>
      </c>
      <c r="R460" s="6" t="s">
        <v>741</v>
      </c>
      <c r="S460" s="6"/>
    </row>
    <row r="461" customFormat="false" ht="15" hidden="false" customHeight="false" outlineLevel="0" collapsed="false">
      <c r="A461" s="6" t="s">
        <v>750</v>
      </c>
      <c r="B461" s="6" t="s">
        <v>51</v>
      </c>
      <c r="C461" s="6" t="s">
        <v>106</v>
      </c>
      <c r="D461" s="6" t="s">
        <v>173</v>
      </c>
      <c r="E461" s="6" t="n">
        <v>20</v>
      </c>
      <c r="F461" s="7" t="n">
        <v>33.4</v>
      </c>
      <c r="G461" s="7" t="n">
        <v>0</v>
      </c>
      <c r="H461" s="7" t="n">
        <v>34.6</v>
      </c>
      <c r="I461" s="7" t="n">
        <v>0.6</v>
      </c>
      <c r="J461" s="7" t="n">
        <v>1.2</v>
      </c>
      <c r="K461" s="7" t="n">
        <v>2</v>
      </c>
      <c r="L461" s="6" t="n">
        <v>42</v>
      </c>
      <c r="M461" s="6" t="n">
        <v>60</v>
      </c>
      <c r="N461" s="7" t="n">
        <v>0</v>
      </c>
      <c r="O461" s="6" t="s">
        <v>215</v>
      </c>
      <c r="P461" s="6"/>
      <c r="Q461" s="6" t="s">
        <v>740</v>
      </c>
      <c r="R461" s="6" t="s">
        <v>741</v>
      </c>
      <c r="S461" s="6"/>
    </row>
    <row r="462" customFormat="false" ht="15" hidden="false" customHeight="false" outlineLevel="0" collapsed="false">
      <c r="A462" s="6" t="s">
        <v>751</v>
      </c>
      <c r="B462" s="6" t="s">
        <v>51</v>
      </c>
      <c r="C462" s="6" t="s">
        <v>106</v>
      </c>
      <c r="D462" s="6" t="s">
        <v>174</v>
      </c>
      <c r="E462" s="6" t="n">
        <v>1</v>
      </c>
      <c r="F462" s="7" t="n">
        <v>22</v>
      </c>
      <c r="G462" s="7" t="n">
        <v>0</v>
      </c>
      <c r="H462" s="7" t="n">
        <v>37</v>
      </c>
      <c r="I462" s="7" t="n">
        <v>0.6</v>
      </c>
      <c r="J462" s="7" t="n">
        <v>1.2</v>
      </c>
      <c r="K462" s="7" t="n">
        <v>2</v>
      </c>
      <c r="L462" s="6" t="n">
        <v>42</v>
      </c>
      <c r="M462" s="6" t="n">
        <v>60</v>
      </c>
      <c r="N462" s="7" t="n">
        <v>50.7</v>
      </c>
      <c r="O462" s="6" t="s">
        <v>191</v>
      </c>
      <c r="P462" s="6" t="s">
        <v>439</v>
      </c>
      <c r="Q462" s="6" t="s">
        <v>752</v>
      </c>
      <c r="R462" s="6" t="s">
        <v>753</v>
      </c>
      <c r="S462" s="6"/>
    </row>
    <row r="463" customFormat="false" ht="15" hidden="false" customHeight="false" outlineLevel="0" collapsed="false">
      <c r="A463" s="6" t="s">
        <v>754</v>
      </c>
      <c r="B463" s="6" t="s">
        <v>51</v>
      </c>
      <c r="C463" s="6" t="s">
        <v>106</v>
      </c>
      <c r="D463" s="6" t="s">
        <v>174</v>
      </c>
      <c r="E463" s="6" t="n">
        <v>2</v>
      </c>
      <c r="F463" s="7" t="n">
        <v>22.6</v>
      </c>
      <c r="G463" s="7" t="n">
        <v>0</v>
      </c>
      <c r="H463" s="7" t="n">
        <v>37</v>
      </c>
      <c r="I463" s="7" t="n">
        <v>0.6</v>
      </c>
      <c r="J463" s="7" t="n">
        <v>1.2</v>
      </c>
      <c r="K463" s="7" t="n">
        <v>2</v>
      </c>
      <c r="L463" s="6" t="n">
        <v>42</v>
      </c>
      <c r="M463" s="6" t="n">
        <v>60</v>
      </c>
      <c r="N463" s="7" t="n">
        <v>50.7</v>
      </c>
      <c r="O463" s="6" t="s">
        <v>191</v>
      </c>
      <c r="P463" s="6" t="s">
        <v>439</v>
      </c>
      <c r="Q463" s="6" t="s">
        <v>752</v>
      </c>
      <c r="R463" s="6" t="s">
        <v>753</v>
      </c>
      <c r="S463" s="6"/>
    </row>
    <row r="464" customFormat="false" ht="15" hidden="false" customHeight="false" outlineLevel="0" collapsed="false">
      <c r="A464" s="6" t="s">
        <v>755</v>
      </c>
      <c r="B464" s="6" t="s">
        <v>51</v>
      </c>
      <c r="C464" s="6" t="s">
        <v>106</v>
      </c>
      <c r="D464" s="6" t="s">
        <v>174</v>
      </c>
      <c r="E464" s="6" t="n">
        <v>3</v>
      </c>
      <c r="F464" s="7" t="n">
        <v>23.2</v>
      </c>
      <c r="G464" s="7" t="n">
        <v>0</v>
      </c>
      <c r="H464" s="7" t="n">
        <v>37</v>
      </c>
      <c r="I464" s="7" t="n">
        <v>0.6</v>
      </c>
      <c r="J464" s="7" t="n">
        <v>1.2</v>
      </c>
      <c r="K464" s="7" t="n">
        <v>2</v>
      </c>
      <c r="L464" s="6" t="n">
        <v>42</v>
      </c>
      <c r="M464" s="6" t="n">
        <v>60</v>
      </c>
      <c r="N464" s="7" t="n">
        <v>50.7</v>
      </c>
      <c r="O464" s="6" t="s">
        <v>191</v>
      </c>
      <c r="P464" s="6" t="s">
        <v>439</v>
      </c>
      <c r="Q464" s="6" t="s">
        <v>752</v>
      </c>
      <c r="R464" s="6" t="s">
        <v>753</v>
      </c>
      <c r="S464" s="6"/>
    </row>
    <row r="465" customFormat="false" ht="15" hidden="false" customHeight="false" outlineLevel="0" collapsed="false">
      <c r="A465" s="6" t="s">
        <v>756</v>
      </c>
      <c r="B465" s="6" t="s">
        <v>51</v>
      </c>
      <c r="C465" s="6" t="s">
        <v>106</v>
      </c>
      <c r="D465" s="6" t="s">
        <v>174</v>
      </c>
      <c r="E465" s="6" t="n">
        <v>4</v>
      </c>
      <c r="F465" s="7" t="n">
        <v>23.8</v>
      </c>
      <c r="G465" s="7" t="n">
        <v>0</v>
      </c>
      <c r="H465" s="7" t="n">
        <v>37</v>
      </c>
      <c r="I465" s="7" t="n">
        <v>0.6</v>
      </c>
      <c r="J465" s="7" t="n">
        <v>1.2</v>
      </c>
      <c r="K465" s="7" t="n">
        <v>2</v>
      </c>
      <c r="L465" s="6" t="n">
        <v>42</v>
      </c>
      <c r="M465" s="6" t="n">
        <v>60</v>
      </c>
      <c r="N465" s="7" t="n">
        <v>50.7</v>
      </c>
      <c r="O465" s="6" t="s">
        <v>191</v>
      </c>
      <c r="P465" s="6" t="s">
        <v>439</v>
      </c>
      <c r="Q465" s="6" t="s">
        <v>752</v>
      </c>
      <c r="R465" s="6" t="s">
        <v>753</v>
      </c>
      <c r="S465" s="6"/>
    </row>
    <row r="466" customFormat="false" ht="15" hidden="false" customHeight="false" outlineLevel="0" collapsed="false">
      <c r="A466" s="6" t="s">
        <v>757</v>
      </c>
      <c r="B466" s="6" t="s">
        <v>51</v>
      </c>
      <c r="C466" s="6" t="s">
        <v>106</v>
      </c>
      <c r="D466" s="6" t="s">
        <v>174</v>
      </c>
      <c r="E466" s="6" t="n">
        <v>5</v>
      </c>
      <c r="F466" s="7" t="n">
        <v>24.4</v>
      </c>
      <c r="G466" s="7" t="n">
        <v>0</v>
      </c>
      <c r="H466" s="7" t="n">
        <v>37</v>
      </c>
      <c r="I466" s="7" t="n">
        <v>0.6</v>
      </c>
      <c r="J466" s="7" t="n">
        <v>1.2</v>
      </c>
      <c r="K466" s="7" t="n">
        <v>2</v>
      </c>
      <c r="L466" s="6" t="n">
        <v>42</v>
      </c>
      <c r="M466" s="6" t="n">
        <v>60</v>
      </c>
      <c r="N466" s="7" t="n">
        <v>50.7</v>
      </c>
      <c r="O466" s="6" t="s">
        <v>191</v>
      </c>
      <c r="P466" s="6" t="s">
        <v>439</v>
      </c>
      <c r="Q466" s="6" t="s">
        <v>752</v>
      </c>
      <c r="R466" s="6" t="s">
        <v>753</v>
      </c>
      <c r="S466" s="6"/>
    </row>
    <row r="467" customFormat="false" ht="15" hidden="false" customHeight="false" outlineLevel="0" collapsed="false">
      <c r="A467" s="6" t="s">
        <v>758</v>
      </c>
      <c r="B467" s="6" t="s">
        <v>51</v>
      </c>
      <c r="C467" s="6" t="s">
        <v>106</v>
      </c>
      <c r="D467" s="6" t="s">
        <v>174</v>
      </c>
      <c r="E467" s="6" t="n">
        <v>6</v>
      </c>
      <c r="F467" s="7" t="n">
        <v>25</v>
      </c>
      <c r="G467" s="7" t="n">
        <v>0</v>
      </c>
      <c r="H467" s="7" t="n">
        <v>37</v>
      </c>
      <c r="I467" s="7" t="n">
        <v>0.6</v>
      </c>
      <c r="J467" s="7" t="n">
        <v>1.2</v>
      </c>
      <c r="K467" s="7" t="n">
        <v>2</v>
      </c>
      <c r="L467" s="6" t="n">
        <v>42</v>
      </c>
      <c r="M467" s="6" t="n">
        <v>60</v>
      </c>
      <c r="N467" s="7" t="n">
        <v>50.7</v>
      </c>
      <c r="O467" s="6" t="s">
        <v>191</v>
      </c>
      <c r="P467" s="6" t="s">
        <v>439</v>
      </c>
      <c r="Q467" s="6" t="s">
        <v>752</v>
      </c>
      <c r="R467" s="6" t="s">
        <v>753</v>
      </c>
      <c r="S467" s="6"/>
    </row>
    <row r="468" customFormat="false" ht="15" hidden="false" customHeight="false" outlineLevel="0" collapsed="false">
      <c r="A468" s="6" t="s">
        <v>759</v>
      </c>
      <c r="B468" s="6" t="s">
        <v>51</v>
      </c>
      <c r="C468" s="6" t="s">
        <v>106</v>
      </c>
      <c r="D468" s="6" t="s">
        <v>174</v>
      </c>
      <c r="E468" s="6" t="n">
        <v>7</v>
      </c>
      <c r="F468" s="7" t="n">
        <v>25.6</v>
      </c>
      <c r="G468" s="7" t="n">
        <v>0</v>
      </c>
      <c r="H468" s="7" t="n">
        <v>37</v>
      </c>
      <c r="I468" s="7" t="n">
        <v>0.6</v>
      </c>
      <c r="J468" s="7" t="n">
        <v>1.2</v>
      </c>
      <c r="K468" s="7" t="n">
        <v>2</v>
      </c>
      <c r="L468" s="6" t="n">
        <v>42</v>
      </c>
      <c r="M468" s="6" t="n">
        <v>60</v>
      </c>
      <c r="N468" s="7" t="n">
        <v>50.7</v>
      </c>
      <c r="O468" s="6" t="s">
        <v>191</v>
      </c>
      <c r="P468" s="6" t="s">
        <v>439</v>
      </c>
      <c r="Q468" s="6" t="s">
        <v>752</v>
      </c>
      <c r="R468" s="6" t="s">
        <v>753</v>
      </c>
      <c r="S468" s="6"/>
    </row>
    <row r="469" customFormat="false" ht="15" hidden="false" customHeight="false" outlineLevel="0" collapsed="false">
      <c r="A469" s="6" t="s">
        <v>760</v>
      </c>
      <c r="B469" s="6" t="s">
        <v>51</v>
      </c>
      <c r="C469" s="6" t="s">
        <v>106</v>
      </c>
      <c r="D469" s="6" t="s">
        <v>174</v>
      </c>
      <c r="E469" s="6" t="n">
        <v>8</v>
      </c>
      <c r="F469" s="7" t="n">
        <v>26.2</v>
      </c>
      <c r="G469" s="7" t="n">
        <v>0</v>
      </c>
      <c r="H469" s="7" t="n">
        <v>37</v>
      </c>
      <c r="I469" s="7" t="n">
        <v>0.6</v>
      </c>
      <c r="J469" s="7" t="n">
        <v>1.2</v>
      </c>
      <c r="K469" s="7" t="n">
        <v>2</v>
      </c>
      <c r="L469" s="6" t="n">
        <v>42</v>
      </c>
      <c r="M469" s="6" t="n">
        <v>60</v>
      </c>
      <c r="N469" s="7" t="n">
        <v>50.7</v>
      </c>
      <c r="O469" s="6" t="s">
        <v>191</v>
      </c>
      <c r="P469" s="6" t="s">
        <v>439</v>
      </c>
      <c r="Q469" s="6" t="s">
        <v>752</v>
      </c>
      <c r="R469" s="6" t="s">
        <v>753</v>
      </c>
      <c r="S469" s="6"/>
    </row>
    <row r="470" customFormat="false" ht="15" hidden="false" customHeight="false" outlineLevel="0" collapsed="false">
      <c r="A470" s="6" t="s">
        <v>761</v>
      </c>
      <c r="B470" s="6" t="s">
        <v>51</v>
      </c>
      <c r="C470" s="6" t="s">
        <v>106</v>
      </c>
      <c r="D470" s="6" t="s">
        <v>174</v>
      </c>
      <c r="E470" s="6" t="n">
        <v>9</v>
      </c>
      <c r="F470" s="7" t="n">
        <v>26.8</v>
      </c>
      <c r="G470" s="7" t="n">
        <v>0</v>
      </c>
      <c r="H470" s="7" t="n">
        <v>37</v>
      </c>
      <c r="I470" s="7" t="n">
        <v>0.6</v>
      </c>
      <c r="J470" s="7" t="n">
        <v>1.2</v>
      </c>
      <c r="K470" s="7" t="n">
        <v>2</v>
      </c>
      <c r="L470" s="6" t="n">
        <v>42</v>
      </c>
      <c r="M470" s="6" t="n">
        <v>60</v>
      </c>
      <c r="N470" s="7" t="n">
        <v>50.7</v>
      </c>
      <c r="O470" s="6" t="s">
        <v>191</v>
      </c>
      <c r="P470" s="6" t="s">
        <v>439</v>
      </c>
      <c r="Q470" s="6" t="s">
        <v>752</v>
      </c>
      <c r="R470" s="6" t="s">
        <v>753</v>
      </c>
      <c r="S470" s="6"/>
    </row>
    <row r="471" customFormat="false" ht="15" hidden="false" customHeight="false" outlineLevel="0" collapsed="false">
      <c r="A471" s="6" t="s">
        <v>762</v>
      </c>
      <c r="B471" s="6" t="s">
        <v>51</v>
      </c>
      <c r="C471" s="6" t="s">
        <v>106</v>
      </c>
      <c r="D471" s="6" t="s">
        <v>174</v>
      </c>
      <c r="E471" s="6" t="n">
        <v>10</v>
      </c>
      <c r="F471" s="7" t="n">
        <v>27.4</v>
      </c>
      <c r="G471" s="7" t="n">
        <v>0</v>
      </c>
      <c r="H471" s="7" t="n">
        <v>37</v>
      </c>
      <c r="I471" s="7" t="n">
        <v>0.6</v>
      </c>
      <c r="J471" s="7" t="n">
        <v>1.2</v>
      </c>
      <c r="K471" s="7" t="n">
        <v>2</v>
      </c>
      <c r="L471" s="6" t="n">
        <v>42</v>
      </c>
      <c r="M471" s="6" t="n">
        <v>60</v>
      </c>
      <c r="N471" s="7" t="n">
        <v>50.7</v>
      </c>
      <c r="O471" s="6" t="s">
        <v>191</v>
      </c>
      <c r="P471" s="6" t="s">
        <v>439</v>
      </c>
      <c r="Q471" s="6" t="s">
        <v>752</v>
      </c>
      <c r="R471" s="6" t="s">
        <v>753</v>
      </c>
      <c r="S471" s="6"/>
    </row>
    <row r="472" customFormat="false" ht="15" hidden="false" customHeight="false" outlineLevel="0" collapsed="false">
      <c r="A472" s="6" t="s">
        <v>763</v>
      </c>
      <c r="B472" s="6" t="s">
        <v>51</v>
      </c>
      <c r="C472" s="6" t="s">
        <v>106</v>
      </c>
      <c r="D472" s="6" t="s">
        <v>174</v>
      </c>
      <c r="E472" s="6" t="n">
        <v>11</v>
      </c>
      <c r="F472" s="7" t="n">
        <v>28</v>
      </c>
      <c r="G472" s="7" t="n">
        <v>0</v>
      </c>
      <c r="H472" s="7" t="n">
        <v>37</v>
      </c>
      <c r="I472" s="7" t="n">
        <v>0.6</v>
      </c>
      <c r="J472" s="7" t="n">
        <v>1.2</v>
      </c>
      <c r="K472" s="7" t="n">
        <v>2</v>
      </c>
      <c r="L472" s="6" t="n">
        <v>42</v>
      </c>
      <c r="M472" s="6" t="n">
        <v>60</v>
      </c>
      <c r="N472" s="7" t="n">
        <v>50.7</v>
      </c>
      <c r="O472" s="6" t="s">
        <v>191</v>
      </c>
      <c r="P472" s="6" t="s">
        <v>439</v>
      </c>
      <c r="Q472" s="6" t="s">
        <v>764</v>
      </c>
      <c r="R472" s="6" t="s">
        <v>765</v>
      </c>
      <c r="S472" s="6"/>
    </row>
    <row r="473" customFormat="false" ht="15" hidden="false" customHeight="false" outlineLevel="0" collapsed="false">
      <c r="A473" s="6" t="s">
        <v>766</v>
      </c>
      <c r="B473" s="6" t="s">
        <v>51</v>
      </c>
      <c r="C473" s="6" t="s">
        <v>106</v>
      </c>
      <c r="D473" s="6" t="s">
        <v>174</v>
      </c>
      <c r="E473" s="6" t="n">
        <v>12</v>
      </c>
      <c r="F473" s="7" t="n">
        <v>28.6</v>
      </c>
      <c r="G473" s="7" t="n">
        <v>0</v>
      </c>
      <c r="H473" s="7" t="n">
        <v>37</v>
      </c>
      <c r="I473" s="7" t="n">
        <v>0.6</v>
      </c>
      <c r="J473" s="7" t="n">
        <v>1.2</v>
      </c>
      <c r="K473" s="7" t="n">
        <v>2</v>
      </c>
      <c r="L473" s="6" t="n">
        <v>42</v>
      </c>
      <c r="M473" s="6" t="n">
        <v>60</v>
      </c>
      <c r="N473" s="7" t="n">
        <v>50.7</v>
      </c>
      <c r="O473" s="6" t="s">
        <v>191</v>
      </c>
      <c r="P473" s="6" t="s">
        <v>439</v>
      </c>
      <c r="Q473" s="6" t="s">
        <v>764</v>
      </c>
      <c r="R473" s="6" t="s">
        <v>765</v>
      </c>
      <c r="S473" s="6"/>
    </row>
    <row r="474" customFormat="false" ht="15" hidden="false" customHeight="false" outlineLevel="0" collapsed="false">
      <c r="A474" s="6" t="s">
        <v>767</v>
      </c>
      <c r="B474" s="6" t="s">
        <v>51</v>
      </c>
      <c r="C474" s="6" t="s">
        <v>106</v>
      </c>
      <c r="D474" s="6" t="s">
        <v>174</v>
      </c>
      <c r="E474" s="6" t="n">
        <v>13</v>
      </c>
      <c r="F474" s="7" t="n">
        <v>29.2</v>
      </c>
      <c r="G474" s="7" t="n">
        <v>0</v>
      </c>
      <c r="H474" s="7" t="n">
        <v>37</v>
      </c>
      <c r="I474" s="7" t="n">
        <v>0.6</v>
      </c>
      <c r="J474" s="7" t="n">
        <v>1.2</v>
      </c>
      <c r="K474" s="7" t="n">
        <v>2</v>
      </c>
      <c r="L474" s="6" t="n">
        <v>42</v>
      </c>
      <c r="M474" s="6" t="n">
        <v>60</v>
      </c>
      <c r="N474" s="7" t="n">
        <v>50.7</v>
      </c>
      <c r="O474" s="6" t="s">
        <v>191</v>
      </c>
      <c r="P474" s="6" t="s">
        <v>439</v>
      </c>
      <c r="Q474" s="6" t="s">
        <v>764</v>
      </c>
      <c r="R474" s="6" t="s">
        <v>765</v>
      </c>
      <c r="S474" s="6"/>
    </row>
    <row r="475" customFormat="false" ht="15" hidden="false" customHeight="false" outlineLevel="0" collapsed="false">
      <c r="A475" s="6" t="s">
        <v>768</v>
      </c>
      <c r="B475" s="6" t="s">
        <v>51</v>
      </c>
      <c r="C475" s="6" t="s">
        <v>106</v>
      </c>
      <c r="D475" s="6" t="s">
        <v>174</v>
      </c>
      <c r="E475" s="6" t="n">
        <v>14</v>
      </c>
      <c r="F475" s="7" t="n">
        <v>29.8</v>
      </c>
      <c r="G475" s="7" t="n">
        <v>0</v>
      </c>
      <c r="H475" s="7" t="n">
        <v>37</v>
      </c>
      <c r="I475" s="7" t="n">
        <v>0.6</v>
      </c>
      <c r="J475" s="7" t="n">
        <v>1.2</v>
      </c>
      <c r="K475" s="7" t="n">
        <v>2</v>
      </c>
      <c r="L475" s="6" t="n">
        <v>42</v>
      </c>
      <c r="M475" s="6" t="n">
        <v>60</v>
      </c>
      <c r="N475" s="7" t="n">
        <v>50.9</v>
      </c>
      <c r="O475" s="6" t="s">
        <v>191</v>
      </c>
      <c r="P475" s="6" t="s">
        <v>439</v>
      </c>
      <c r="Q475" s="6" t="s">
        <v>764</v>
      </c>
      <c r="R475" s="6" t="s">
        <v>765</v>
      </c>
      <c r="S475" s="6"/>
    </row>
    <row r="476" customFormat="false" ht="15" hidden="false" customHeight="false" outlineLevel="0" collapsed="false">
      <c r="A476" s="6" t="s">
        <v>769</v>
      </c>
      <c r="B476" s="6" t="s">
        <v>51</v>
      </c>
      <c r="C476" s="6" t="s">
        <v>106</v>
      </c>
      <c r="D476" s="6" t="s">
        <v>174</v>
      </c>
      <c r="E476" s="6" t="n">
        <v>15</v>
      </c>
      <c r="F476" s="7" t="n">
        <v>30.4</v>
      </c>
      <c r="G476" s="7" t="n">
        <v>0</v>
      </c>
      <c r="H476" s="7" t="n">
        <v>37</v>
      </c>
      <c r="I476" s="7" t="n">
        <v>0.6</v>
      </c>
      <c r="J476" s="7" t="n">
        <v>1.2</v>
      </c>
      <c r="K476" s="7" t="n">
        <v>2</v>
      </c>
      <c r="L476" s="6" t="n">
        <v>42</v>
      </c>
      <c r="M476" s="6" t="n">
        <v>60</v>
      </c>
      <c r="N476" s="7" t="n">
        <v>0</v>
      </c>
      <c r="O476" s="6" t="s">
        <v>215</v>
      </c>
      <c r="P476" s="6"/>
      <c r="Q476" s="6" t="s">
        <v>764</v>
      </c>
      <c r="R476" s="6" t="s">
        <v>765</v>
      </c>
      <c r="S476" s="6"/>
    </row>
    <row r="477" customFormat="false" ht="15" hidden="false" customHeight="false" outlineLevel="0" collapsed="false">
      <c r="A477" s="6" t="s">
        <v>770</v>
      </c>
      <c r="B477" s="6" t="s">
        <v>51</v>
      </c>
      <c r="C477" s="6" t="s">
        <v>106</v>
      </c>
      <c r="D477" s="6" t="s">
        <v>174</v>
      </c>
      <c r="E477" s="6" t="n">
        <v>16</v>
      </c>
      <c r="F477" s="7" t="n">
        <v>31</v>
      </c>
      <c r="G477" s="7" t="n">
        <v>0</v>
      </c>
      <c r="H477" s="7" t="n">
        <v>37</v>
      </c>
      <c r="I477" s="7" t="n">
        <v>0.6</v>
      </c>
      <c r="J477" s="7" t="n">
        <v>1.2</v>
      </c>
      <c r="K477" s="7" t="n">
        <v>2</v>
      </c>
      <c r="L477" s="6" t="n">
        <v>42</v>
      </c>
      <c r="M477" s="6" t="n">
        <v>60</v>
      </c>
      <c r="N477" s="7" t="n">
        <v>0</v>
      </c>
      <c r="O477" s="6" t="s">
        <v>215</v>
      </c>
      <c r="P477" s="6"/>
      <c r="Q477" s="6" t="s">
        <v>764</v>
      </c>
      <c r="R477" s="6" t="s">
        <v>765</v>
      </c>
      <c r="S477" s="6"/>
    </row>
    <row r="478" customFormat="false" ht="15" hidden="false" customHeight="false" outlineLevel="0" collapsed="false">
      <c r="A478" s="6" t="s">
        <v>771</v>
      </c>
      <c r="B478" s="6" t="s">
        <v>51</v>
      </c>
      <c r="C478" s="6" t="s">
        <v>106</v>
      </c>
      <c r="D478" s="6" t="s">
        <v>174</v>
      </c>
      <c r="E478" s="6" t="n">
        <v>17</v>
      </c>
      <c r="F478" s="7" t="n">
        <v>31.6</v>
      </c>
      <c r="G478" s="7" t="n">
        <v>0</v>
      </c>
      <c r="H478" s="7" t="n">
        <v>37</v>
      </c>
      <c r="I478" s="7" t="n">
        <v>0.6</v>
      </c>
      <c r="J478" s="7" t="n">
        <v>1.2</v>
      </c>
      <c r="K478" s="7" t="n">
        <v>2</v>
      </c>
      <c r="L478" s="6" t="n">
        <v>42</v>
      </c>
      <c r="M478" s="6" t="n">
        <v>60</v>
      </c>
      <c r="N478" s="7" t="n">
        <v>0</v>
      </c>
      <c r="O478" s="6" t="s">
        <v>215</v>
      </c>
      <c r="P478" s="6"/>
      <c r="Q478" s="6" t="s">
        <v>764</v>
      </c>
      <c r="R478" s="6" t="s">
        <v>765</v>
      </c>
      <c r="S478" s="6"/>
    </row>
    <row r="479" customFormat="false" ht="15" hidden="false" customHeight="false" outlineLevel="0" collapsed="false">
      <c r="A479" s="6" t="s">
        <v>772</v>
      </c>
      <c r="B479" s="6" t="s">
        <v>51</v>
      </c>
      <c r="C479" s="6" t="s">
        <v>106</v>
      </c>
      <c r="D479" s="6" t="s">
        <v>174</v>
      </c>
      <c r="E479" s="6" t="n">
        <v>18</v>
      </c>
      <c r="F479" s="7" t="n">
        <v>32.2</v>
      </c>
      <c r="G479" s="7" t="n">
        <v>0</v>
      </c>
      <c r="H479" s="7" t="n">
        <v>37</v>
      </c>
      <c r="I479" s="7" t="n">
        <v>0.6</v>
      </c>
      <c r="J479" s="7" t="n">
        <v>1.2</v>
      </c>
      <c r="K479" s="7" t="n">
        <v>2</v>
      </c>
      <c r="L479" s="6" t="n">
        <v>42</v>
      </c>
      <c r="M479" s="6" t="n">
        <v>60</v>
      </c>
      <c r="N479" s="7" t="n">
        <v>0</v>
      </c>
      <c r="O479" s="6" t="s">
        <v>215</v>
      </c>
      <c r="P479" s="6"/>
      <c r="Q479" s="6" t="s">
        <v>764</v>
      </c>
      <c r="R479" s="6" t="s">
        <v>765</v>
      </c>
      <c r="S479" s="6"/>
    </row>
    <row r="480" customFormat="false" ht="15" hidden="false" customHeight="false" outlineLevel="0" collapsed="false">
      <c r="A480" s="6" t="s">
        <v>773</v>
      </c>
      <c r="B480" s="6" t="s">
        <v>51</v>
      </c>
      <c r="C480" s="6" t="s">
        <v>106</v>
      </c>
      <c r="D480" s="6" t="s">
        <v>174</v>
      </c>
      <c r="E480" s="6" t="n">
        <v>19</v>
      </c>
      <c r="F480" s="7" t="n">
        <v>32.8</v>
      </c>
      <c r="G480" s="7" t="n">
        <v>0</v>
      </c>
      <c r="H480" s="7" t="n">
        <v>37</v>
      </c>
      <c r="I480" s="7" t="n">
        <v>0.6</v>
      </c>
      <c r="J480" s="7" t="n">
        <v>1.2</v>
      </c>
      <c r="K480" s="7" t="n">
        <v>2</v>
      </c>
      <c r="L480" s="6" t="n">
        <v>42</v>
      </c>
      <c r="M480" s="6" t="n">
        <v>60</v>
      </c>
      <c r="N480" s="7" t="n">
        <v>0</v>
      </c>
      <c r="O480" s="6" t="s">
        <v>215</v>
      </c>
      <c r="P480" s="6"/>
      <c r="Q480" s="6" t="s">
        <v>764</v>
      </c>
      <c r="R480" s="6" t="s">
        <v>765</v>
      </c>
      <c r="S480" s="6"/>
    </row>
    <row r="481" customFormat="false" ht="15" hidden="false" customHeight="false" outlineLevel="0" collapsed="false">
      <c r="A481" s="6" t="s">
        <v>774</v>
      </c>
      <c r="B481" s="6" t="s">
        <v>51</v>
      </c>
      <c r="C481" s="6" t="s">
        <v>106</v>
      </c>
      <c r="D481" s="6" t="s">
        <v>174</v>
      </c>
      <c r="E481" s="6" t="n">
        <v>20</v>
      </c>
      <c r="F481" s="7" t="n">
        <v>33.4</v>
      </c>
      <c r="G481" s="7" t="n">
        <v>0</v>
      </c>
      <c r="H481" s="7" t="n">
        <v>37</v>
      </c>
      <c r="I481" s="7" t="n">
        <v>0.6</v>
      </c>
      <c r="J481" s="7" t="n">
        <v>1.2</v>
      </c>
      <c r="K481" s="7" t="n">
        <v>2</v>
      </c>
      <c r="L481" s="6" t="n">
        <v>42</v>
      </c>
      <c r="M481" s="6" t="n">
        <v>60</v>
      </c>
      <c r="N481" s="7" t="n">
        <v>0</v>
      </c>
      <c r="O481" s="6" t="s">
        <v>215</v>
      </c>
      <c r="P481" s="6"/>
      <c r="Q481" s="6" t="s">
        <v>764</v>
      </c>
      <c r="R481" s="6" t="s">
        <v>765</v>
      </c>
      <c r="S481" s="6"/>
    </row>
    <row r="483" customFormat="false" ht="15" hidden="false" customHeight="false" outlineLevel="0" collapsed="false">
      <c r="A483" s="9" t="s">
        <v>775</v>
      </c>
    </row>
    <row r="484" customFormat="false" ht="15" hidden="false" customHeight="false" outlineLevel="0" collapsed="false">
      <c r="A484" s="9" t="s">
        <v>776</v>
      </c>
    </row>
    <row r="485" customFormat="false" ht="15" hidden="false" customHeight="false" outlineLevel="0" collapsed="false">
      <c r="A485" s="9" t="s">
        <v>777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15"/>
    <col collapsed="false" customWidth="true" hidden="false" outlineLevel="0" max="4" min="4" style="0" width="26"/>
    <col collapsed="false" customWidth="true" hidden="false" outlineLevel="0" max="5" min="5" style="0" width="11"/>
    <col collapsed="false" customWidth="true" hidden="false" outlineLevel="0" max="6" min="6" style="0" width="10"/>
    <col collapsed="false" customWidth="true" hidden="false" outlineLevel="0" max="7" min="7" style="0" width="7"/>
    <col collapsed="false" customWidth="true" hidden="false" outlineLevel="0" max="8" min="8" style="0" width="12"/>
    <col collapsed="false" customWidth="true" hidden="false" outlineLevel="0" max="9" min="9" style="0" width="15"/>
    <col collapsed="false" customWidth="true" hidden="false" outlineLevel="0" max="10" min="10" style="0" width="12"/>
    <col collapsed="false" customWidth="true" hidden="false" outlineLevel="0" max="11" min="11" style="0" width="13"/>
    <col collapsed="false" customWidth="true" hidden="false" outlineLevel="0" max="12" min="12" style="0" width="12"/>
    <col collapsed="false" customWidth="true" hidden="false" outlineLevel="0" max="13" min="13" style="0" width="15"/>
    <col collapsed="false" customWidth="true" hidden="false" outlineLevel="0" max="14" min="14" style="0" width="22"/>
    <col collapsed="false" customWidth="true" hidden="false" outlineLevel="0" max="15" min="15" style="0" width="15"/>
    <col collapsed="false" customWidth="true" hidden="false" outlineLevel="0" max="16" min="16" style="0" width="46"/>
  </cols>
  <sheetData>
    <row r="1" customFormat="false" ht="30" hidden="false" customHeight="true" outlineLevel="0" collapsed="false">
      <c r="A1" s="5" t="s">
        <v>778</v>
      </c>
      <c r="B1" s="5" t="s">
        <v>32</v>
      </c>
      <c r="C1" s="5" t="s">
        <v>779</v>
      </c>
      <c r="D1" s="5" t="s">
        <v>780</v>
      </c>
      <c r="E1" s="5" t="s">
        <v>781</v>
      </c>
      <c r="F1" s="5" t="s">
        <v>782</v>
      </c>
      <c r="G1" s="5" t="s">
        <v>783</v>
      </c>
      <c r="H1" s="5" t="s">
        <v>784</v>
      </c>
      <c r="I1" s="5" t="s">
        <v>785</v>
      </c>
      <c r="J1" s="5" t="s">
        <v>786</v>
      </c>
      <c r="K1" s="5" t="s">
        <v>43</v>
      </c>
      <c r="L1" s="5" t="s">
        <v>787</v>
      </c>
      <c r="M1" s="5" t="s">
        <v>788</v>
      </c>
      <c r="N1" s="5" t="s">
        <v>789</v>
      </c>
      <c r="O1" s="5" t="s">
        <v>790</v>
      </c>
      <c r="P1" s="5" t="s">
        <v>97</v>
      </c>
    </row>
    <row r="2" customFormat="false" ht="15" hidden="false" customHeight="false" outlineLevel="0" collapsed="false">
      <c r="A2" s="6" t="s">
        <v>791</v>
      </c>
      <c r="B2" s="6" t="s">
        <v>51</v>
      </c>
      <c r="C2" s="6" t="s">
        <v>792</v>
      </c>
      <c r="D2" s="6" t="s">
        <v>793</v>
      </c>
      <c r="E2" s="6" t="s">
        <v>794</v>
      </c>
      <c r="F2" s="8" t="n">
        <v>6000</v>
      </c>
      <c r="G2" s="6" t="s">
        <v>795</v>
      </c>
      <c r="H2" s="7" t="n">
        <v>0.85</v>
      </c>
      <c r="I2" s="7" t="n">
        <v>5100</v>
      </c>
      <c r="J2" s="7" t="n">
        <v>3740</v>
      </c>
      <c r="K2" s="7" t="n">
        <v>73.3</v>
      </c>
      <c r="L2" s="6" t="s">
        <v>796</v>
      </c>
      <c r="M2" s="6" t="s">
        <v>797</v>
      </c>
      <c r="N2" s="6" t="n">
        <v>0</v>
      </c>
      <c r="O2" s="6" t="n">
        <v>260</v>
      </c>
      <c r="P2" s="6" t="s">
        <v>798</v>
      </c>
    </row>
    <row r="3" customFormat="false" ht="15" hidden="false" customHeight="false" outlineLevel="0" collapsed="false">
      <c r="A3" s="6" t="s">
        <v>797</v>
      </c>
      <c r="B3" s="6" t="s">
        <v>51</v>
      </c>
      <c r="C3" s="6" t="s">
        <v>792</v>
      </c>
      <c r="D3" s="6" t="s">
        <v>799</v>
      </c>
      <c r="E3" s="6" t="s">
        <v>794</v>
      </c>
      <c r="F3" s="8" t="n">
        <v>6000</v>
      </c>
      <c r="G3" s="6" t="s">
        <v>795</v>
      </c>
      <c r="H3" s="7" t="n">
        <v>0.85</v>
      </c>
      <c r="I3" s="7" t="n">
        <v>5100</v>
      </c>
      <c r="J3" s="7" t="n">
        <v>3060</v>
      </c>
      <c r="K3" s="7" t="n">
        <v>60</v>
      </c>
      <c r="L3" s="6" t="s">
        <v>796</v>
      </c>
      <c r="M3" s="6" t="s">
        <v>791</v>
      </c>
      <c r="N3" s="6" t="n">
        <v>0</v>
      </c>
      <c r="O3" s="6" t="n">
        <v>260</v>
      </c>
      <c r="P3" s="6" t="s">
        <v>800</v>
      </c>
    </row>
    <row r="4" customFormat="false" ht="15" hidden="false" customHeight="false" outlineLevel="0" collapsed="false">
      <c r="A4" s="6" t="s">
        <v>801</v>
      </c>
      <c r="B4" s="6" t="s">
        <v>51</v>
      </c>
      <c r="C4" s="6" t="s">
        <v>802</v>
      </c>
      <c r="D4" s="6" t="s">
        <v>803</v>
      </c>
      <c r="E4" s="6" t="s">
        <v>794</v>
      </c>
      <c r="F4" s="8" t="n">
        <v>7500</v>
      </c>
      <c r="G4" s="6" t="s">
        <v>804</v>
      </c>
      <c r="H4" s="7" t="n">
        <v>0.8</v>
      </c>
      <c r="I4" s="7" t="n">
        <v>6000</v>
      </c>
      <c r="J4" s="7" t="n">
        <v>4155.6</v>
      </c>
      <c r="K4" s="7" t="n">
        <v>69.3</v>
      </c>
      <c r="L4" s="6" t="s">
        <v>796</v>
      </c>
      <c r="M4" s="6" t="s">
        <v>805</v>
      </c>
      <c r="N4" s="6" t="n">
        <v>185</v>
      </c>
      <c r="O4" s="6" t="n">
        <v>34</v>
      </c>
      <c r="P4" s="6"/>
    </row>
    <row r="5" customFormat="false" ht="15" hidden="false" customHeight="false" outlineLevel="0" collapsed="false">
      <c r="A5" s="6" t="s">
        <v>805</v>
      </c>
      <c r="B5" s="6" t="s">
        <v>51</v>
      </c>
      <c r="C5" s="6" t="s">
        <v>802</v>
      </c>
      <c r="D5" s="6" t="s">
        <v>806</v>
      </c>
      <c r="E5" s="6" t="s">
        <v>794</v>
      </c>
      <c r="F5" s="8" t="n">
        <v>7500</v>
      </c>
      <c r="G5" s="6" t="s">
        <v>804</v>
      </c>
      <c r="H5" s="7" t="n">
        <v>0.8</v>
      </c>
      <c r="I5" s="7" t="n">
        <v>6000</v>
      </c>
      <c r="J5" s="7" t="n">
        <v>3400</v>
      </c>
      <c r="K5" s="7" t="n">
        <v>56.7</v>
      </c>
      <c r="L5" s="6" t="s">
        <v>796</v>
      </c>
      <c r="M5" s="6" t="s">
        <v>801</v>
      </c>
      <c r="N5" s="6" t="n">
        <v>185</v>
      </c>
      <c r="O5" s="6" t="n">
        <v>34</v>
      </c>
      <c r="P5" s="6"/>
    </row>
    <row r="6" customFormat="false" ht="15" hidden="false" customHeight="false" outlineLevel="0" collapsed="false">
      <c r="A6" s="6" t="s">
        <v>807</v>
      </c>
      <c r="B6" s="6" t="s">
        <v>51</v>
      </c>
      <c r="C6" s="6" t="s">
        <v>808</v>
      </c>
      <c r="D6" s="6" t="s">
        <v>809</v>
      </c>
      <c r="E6" s="6" t="s">
        <v>794</v>
      </c>
      <c r="F6" s="8" t="n">
        <v>3000</v>
      </c>
      <c r="G6" s="6" t="s">
        <v>795</v>
      </c>
      <c r="H6" s="7" t="n">
        <v>0.9</v>
      </c>
      <c r="I6" s="7" t="n">
        <v>2700</v>
      </c>
      <c r="J6" s="6" t="n">
        <v>0</v>
      </c>
      <c r="K6" s="7" t="n">
        <v>0</v>
      </c>
      <c r="L6" s="6" t="s">
        <v>810</v>
      </c>
      <c r="M6" s="6" t="s">
        <v>811</v>
      </c>
      <c r="N6" s="6" t="n">
        <v>420</v>
      </c>
      <c r="O6" s="6" t="n">
        <v>22</v>
      </c>
      <c r="P6" s="6" t="s">
        <v>812</v>
      </c>
    </row>
    <row r="7" customFormat="false" ht="15" hidden="false" customHeight="false" outlineLevel="0" collapsed="false">
      <c r="A7" s="6" t="s">
        <v>811</v>
      </c>
      <c r="B7" s="6" t="s">
        <v>51</v>
      </c>
      <c r="C7" s="6" t="s">
        <v>808</v>
      </c>
      <c r="D7" s="6" t="s">
        <v>813</v>
      </c>
      <c r="E7" s="6" t="s">
        <v>794</v>
      </c>
      <c r="F7" s="8" t="n">
        <v>3000</v>
      </c>
      <c r="G7" s="6" t="s">
        <v>795</v>
      </c>
      <c r="H7" s="7" t="n">
        <v>0.9</v>
      </c>
      <c r="I7" s="7" t="n">
        <v>2700</v>
      </c>
      <c r="J7" s="6" t="n">
        <v>0</v>
      </c>
      <c r="K7" s="7" t="n">
        <v>0</v>
      </c>
      <c r="L7" s="6" t="s">
        <v>810</v>
      </c>
      <c r="M7" s="6" t="s">
        <v>807</v>
      </c>
      <c r="N7" s="6" t="n">
        <v>420</v>
      </c>
      <c r="O7" s="6" t="n">
        <v>22</v>
      </c>
      <c r="P7" s="6" t="s">
        <v>814</v>
      </c>
    </row>
    <row r="8" customFormat="false" ht="15" hidden="false" customHeight="false" outlineLevel="0" collapsed="false">
      <c r="A8" s="6" t="s">
        <v>815</v>
      </c>
      <c r="B8" s="6" t="s">
        <v>51</v>
      </c>
      <c r="C8" s="6" t="s">
        <v>816</v>
      </c>
      <c r="D8" s="6" t="s">
        <v>817</v>
      </c>
      <c r="E8" s="6" t="s">
        <v>794</v>
      </c>
      <c r="F8" s="8" t="n">
        <v>6000</v>
      </c>
      <c r="G8" s="6" t="s">
        <v>795</v>
      </c>
      <c r="H8" s="7" t="n">
        <v>0.85</v>
      </c>
      <c r="I8" s="7" t="n">
        <v>5100</v>
      </c>
      <c r="J8" s="7" t="n">
        <v>3740</v>
      </c>
      <c r="K8" s="7" t="n">
        <v>73.3</v>
      </c>
      <c r="L8" s="6" t="s">
        <v>796</v>
      </c>
      <c r="M8" s="6" t="s">
        <v>818</v>
      </c>
      <c r="N8" s="6" t="n">
        <v>95</v>
      </c>
      <c r="O8" s="6" t="n">
        <v>18</v>
      </c>
      <c r="P8" s="6"/>
    </row>
    <row r="9" customFormat="false" ht="15" hidden="false" customHeight="false" outlineLevel="0" collapsed="false">
      <c r="A9" s="6" t="s">
        <v>818</v>
      </c>
      <c r="B9" s="6" t="s">
        <v>51</v>
      </c>
      <c r="C9" s="6" t="s">
        <v>816</v>
      </c>
      <c r="D9" s="6" t="s">
        <v>819</v>
      </c>
      <c r="E9" s="6" t="s">
        <v>794</v>
      </c>
      <c r="F9" s="8" t="n">
        <v>6000</v>
      </c>
      <c r="G9" s="6" t="s">
        <v>795</v>
      </c>
      <c r="H9" s="7" t="n">
        <v>0.85</v>
      </c>
      <c r="I9" s="7" t="n">
        <v>5100</v>
      </c>
      <c r="J9" s="7" t="n">
        <v>3060</v>
      </c>
      <c r="K9" s="7" t="n">
        <v>60</v>
      </c>
      <c r="L9" s="6" t="s">
        <v>796</v>
      </c>
      <c r="M9" s="6" t="s">
        <v>815</v>
      </c>
      <c r="N9" s="6" t="n">
        <v>95</v>
      </c>
      <c r="O9" s="6" t="n">
        <v>18</v>
      </c>
      <c r="P9" s="6"/>
    </row>
    <row r="10" customFormat="false" ht="15" hidden="false" customHeight="false" outlineLevel="0" collapsed="false">
      <c r="A10" s="6" t="s">
        <v>820</v>
      </c>
      <c r="B10" s="6" t="s">
        <v>51</v>
      </c>
      <c r="C10" s="6" t="s">
        <v>821</v>
      </c>
      <c r="D10" s="6" t="s">
        <v>822</v>
      </c>
      <c r="E10" s="6" t="s">
        <v>794</v>
      </c>
      <c r="F10" s="8" t="n">
        <v>3000</v>
      </c>
      <c r="G10" s="6" t="s">
        <v>804</v>
      </c>
      <c r="H10" s="7" t="n">
        <v>0.8</v>
      </c>
      <c r="I10" s="7" t="n">
        <v>2400</v>
      </c>
      <c r="J10" s="7" t="n">
        <v>2132.2</v>
      </c>
      <c r="K10" s="7" t="n">
        <v>88.8</v>
      </c>
      <c r="L10" s="6" t="s">
        <v>810</v>
      </c>
      <c r="M10" s="6" t="s">
        <v>823</v>
      </c>
      <c r="N10" s="6" t="n">
        <v>97</v>
      </c>
      <c r="O10" s="6" t="n">
        <v>16</v>
      </c>
      <c r="P10" s="6" t="s">
        <v>824</v>
      </c>
    </row>
    <row r="11" customFormat="false" ht="15" hidden="false" customHeight="false" outlineLevel="0" collapsed="false">
      <c r="A11" s="6" t="s">
        <v>823</v>
      </c>
      <c r="B11" s="6" t="s">
        <v>51</v>
      </c>
      <c r="C11" s="6" t="s">
        <v>821</v>
      </c>
      <c r="D11" s="6" t="s">
        <v>825</v>
      </c>
      <c r="E11" s="6" t="s">
        <v>794</v>
      </c>
      <c r="F11" s="8" t="n">
        <v>3000</v>
      </c>
      <c r="G11" s="6" t="s">
        <v>804</v>
      </c>
      <c r="H11" s="7" t="n">
        <v>0.8</v>
      </c>
      <c r="I11" s="7" t="n">
        <v>2400</v>
      </c>
      <c r="J11" s="7" t="n">
        <v>2132.2</v>
      </c>
      <c r="K11" s="7" t="n">
        <v>88.8</v>
      </c>
      <c r="L11" s="6" t="s">
        <v>810</v>
      </c>
      <c r="M11" s="6" t="s">
        <v>820</v>
      </c>
      <c r="N11" s="6" t="n">
        <v>97</v>
      </c>
      <c r="O11" s="6" t="n">
        <v>16</v>
      </c>
      <c r="P11" s="6" t="s">
        <v>824</v>
      </c>
    </row>
    <row r="12" customFormat="false" ht="15" hidden="false" customHeight="false" outlineLevel="0" collapsed="false">
      <c r="A12" s="6" t="s">
        <v>826</v>
      </c>
      <c r="B12" s="6" t="s">
        <v>51</v>
      </c>
      <c r="C12" s="6" t="s">
        <v>821</v>
      </c>
      <c r="D12" s="6" t="s">
        <v>827</v>
      </c>
      <c r="E12" s="6" t="s">
        <v>794</v>
      </c>
      <c r="F12" s="8" t="n">
        <v>2500</v>
      </c>
      <c r="G12" s="6" t="s">
        <v>804</v>
      </c>
      <c r="H12" s="7" t="n">
        <v>0.8</v>
      </c>
      <c r="I12" s="7" t="n">
        <v>2000</v>
      </c>
      <c r="J12" s="7" t="n">
        <v>890</v>
      </c>
      <c r="K12" s="7" t="n">
        <v>44.5</v>
      </c>
      <c r="L12" s="6" t="s">
        <v>810</v>
      </c>
      <c r="M12" s="6" t="s">
        <v>828</v>
      </c>
      <c r="N12" s="6" t="n">
        <v>97</v>
      </c>
      <c r="O12" s="6" t="n">
        <v>16</v>
      </c>
      <c r="P12" s="6" t="s">
        <v>829</v>
      </c>
    </row>
    <row r="13" customFormat="false" ht="15" hidden="false" customHeight="false" outlineLevel="0" collapsed="false">
      <c r="A13" s="6" t="s">
        <v>828</v>
      </c>
      <c r="B13" s="6" t="s">
        <v>51</v>
      </c>
      <c r="C13" s="6" t="s">
        <v>821</v>
      </c>
      <c r="D13" s="6" t="s">
        <v>830</v>
      </c>
      <c r="E13" s="6" t="s">
        <v>794</v>
      </c>
      <c r="F13" s="8" t="n">
        <v>2500</v>
      </c>
      <c r="G13" s="6" t="s">
        <v>804</v>
      </c>
      <c r="H13" s="7" t="n">
        <v>0.8</v>
      </c>
      <c r="I13" s="7" t="n">
        <v>2000</v>
      </c>
      <c r="J13" s="7" t="n">
        <v>890</v>
      </c>
      <c r="K13" s="7" t="n">
        <v>44.5</v>
      </c>
      <c r="L13" s="6" t="s">
        <v>810</v>
      </c>
      <c r="M13" s="6" t="s">
        <v>826</v>
      </c>
      <c r="N13" s="6" t="n">
        <v>97</v>
      </c>
      <c r="O13" s="6" t="n">
        <v>16</v>
      </c>
      <c r="P13" s="6" t="s">
        <v>829</v>
      </c>
    </row>
    <row r="14" customFormat="false" ht="15" hidden="false" customHeight="false" outlineLevel="0" collapsed="false">
      <c r="A14" s="6" t="s">
        <v>831</v>
      </c>
      <c r="B14" s="6" t="s">
        <v>51</v>
      </c>
      <c r="C14" s="6" t="s">
        <v>821</v>
      </c>
      <c r="D14" s="6" t="s">
        <v>832</v>
      </c>
      <c r="E14" s="6" t="s">
        <v>794</v>
      </c>
      <c r="F14" s="8" t="n">
        <v>3500</v>
      </c>
      <c r="G14" s="6" t="s">
        <v>804</v>
      </c>
      <c r="H14" s="7" t="n">
        <v>0.8</v>
      </c>
      <c r="I14" s="7" t="n">
        <v>2800</v>
      </c>
      <c r="J14" s="7" t="n">
        <v>4533.3</v>
      </c>
      <c r="K14" s="7" t="n">
        <v>161.9</v>
      </c>
      <c r="L14" s="6" t="s">
        <v>810</v>
      </c>
      <c r="M14" s="6" t="s">
        <v>833</v>
      </c>
      <c r="N14" s="6" t="n">
        <v>97</v>
      </c>
      <c r="O14" s="6" t="n">
        <v>16</v>
      </c>
      <c r="P14" s="6" t="s">
        <v>834</v>
      </c>
    </row>
    <row r="15" customFormat="false" ht="15" hidden="false" customHeight="false" outlineLevel="0" collapsed="false">
      <c r="A15" s="6" t="s">
        <v>833</v>
      </c>
      <c r="B15" s="6" t="s">
        <v>51</v>
      </c>
      <c r="C15" s="6" t="s">
        <v>821</v>
      </c>
      <c r="D15" s="6" t="s">
        <v>835</v>
      </c>
      <c r="E15" s="6" t="s">
        <v>794</v>
      </c>
      <c r="F15" s="8" t="n">
        <v>3500</v>
      </c>
      <c r="G15" s="6" t="s">
        <v>804</v>
      </c>
      <c r="H15" s="7" t="n">
        <v>0.8</v>
      </c>
      <c r="I15" s="7" t="n">
        <v>2800</v>
      </c>
      <c r="J15" s="7" t="n">
        <v>4533.3</v>
      </c>
      <c r="K15" s="7" t="n">
        <v>161.9</v>
      </c>
      <c r="L15" s="6" t="s">
        <v>810</v>
      </c>
      <c r="M15" s="6" t="s">
        <v>831</v>
      </c>
      <c r="N15" s="6" t="n">
        <v>97</v>
      </c>
      <c r="O15" s="6" t="n">
        <v>16</v>
      </c>
      <c r="P15" s="6" t="s">
        <v>834</v>
      </c>
    </row>
    <row r="16" customFormat="false" ht="15" hidden="false" customHeight="false" outlineLevel="0" collapsed="false">
      <c r="A16" s="6" t="s">
        <v>836</v>
      </c>
      <c r="B16" s="6" t="s">
        <v>51</v>
      </c>
      <c r="C16" s="6" t="s">
        <v>837</v>
      </c>
      <c r="D16" s="6" t="s">
        <v>838</v>
      </c>
      <c r="E16" s="6" t="s">
        <v>794</v>
      </c>
      <c r="F16" s="8" t="n">
        <v>2800</v>
      </c>
      <c r="G16" s="6" t="s">
        <v>795</v>
      </c>
      <c r="H16" s="7" t="n">
        <v>0.8</v>
      </c>
      <c r="I16" s="7" t="n">
        <v>2240</v>
      </c>
      <c r="J16" s="6" t="n">
        <v>943</v>
      </c>
      <c r="K16" s="7" t="n">
        <v>42.1</v>
      </c>
      <c r="L16" s="6" t="s">
        <v>810</v>
      </c>
      <c r="M16" s="6"/>
      <c r="N16" s="6" t="n">
        <v>48</v>
      </c>
      <c r="O16" s="6" t="n">
        <v>12</v>
      </c>
      <c r="P16" s="6" t="s">
        <v>839</v>
      </c>
    </row>
    <row r="17" customFormat="false" ht="15" hidden="false" customHeight="false" outlineLevel="0" collapsed="false">
      <c r="A17" s="6" t="s">
        <v>840</v>
      </c>
      <c r="B17" s="6" t="s">
        <v>51</v>
      </c>
      <c r="C17" s="6" t="s">
        <v>841</v>
      </c>
      <c r="D17" s="6" t="s">
        <v>842</v>
      </c>
      <c r="E17" s="6" t="s">
        <v>794</v>
      </c>
      <c r="F17" s="8" t="n">
        <v>1600</v>
      </c>
      <c r="G17" s="6" t="s">
        <v>795</v>
      </c>
      <c r="H17" s="7" t="n">
        <v>0.8</v>
      </c>
      <c r="I17" s="7" t="n">
        <v>1280</v>
      </c>
      <c r="J17" s="6" t="n">
        <v>943</v>
      </c>
      <c r="K17" s="7" t="n">
        <v>73.7</v>
      </c>
      <c r="L17" s="6" t="s">
        <v>160</v>
      </c>
      <c r="M17" s="6"/>
      <c r="N17" s="6" t="n">
        <v>45</v>
      </c>
      <c r="O17" s="6" t="n">
        <v>14</v>
      </c>
      <c r="P17" s="6" t="s">
        <v>843</v>
      </c>
    </row>
    <row r="18" customFormat="false" ht="15" hidden="false" customHeight="false" outlineLevel="0" collapsed="false">
      <c r="A18" s="6" t="s">
        <v>193</v>
      </c>
      <c r="B18" s="6" t="s">
        <v>51</v>
      </c>
      <c r="C18" s="6" t="s">
        <v>844</v>
      </c>
      <c r="D18" s="6" t="s">
        <v>845</v>
      </c>
      <c r="E18" s="6" t="s">
        <v>794</v>
      </c>
      <c r="F18" s="6" t="n">
        <v>400</v>
      </c>
      <c r="G18" s="6" t="s">
        <v>795</v>
      </c>
      <c r="H18" s="7" t="n">
        <v>0.8</v>
      </c>
      <c r="I18" s="7" t="n">
        <v>320</v>
      </c>
      <c r="J18" s="7" t="n">
        <v>77.5</v>
      </c>
      <c r="K18" s="7" t="n">
        <v>24.2</v>
      </c>
      <c r="L18" s="6" t="s">
        <v>160</v>
      </c>
      <c r="M18" s="6"/>
      <c r="N18" s="6" t="n">
        <v>14</v>
      </c>
      <c r="O18" s="6" t="n">
        <v>10</v>
      </c>
      <c r="P18" s="6" t="s">
        <v>846</v>
      </c>
    </row>
    <row r="19" customFormat="false" ht="15" hidden="false" customHeight="false" outlineLevel="0" collapsed="false">
      <c r="A19" s="6" t="s">
        <v>205</v>
      </c>
      <c r="B19" s="6" t="s">
        <v>51</v>
      </c>
      <c r="C19" s="6" t="s">
        <v>844</v>
      </c>
      <c r="D19" s="6" t="s">
        <v>847</v>
      </c>
      <c r="E19" s="6" t="s">
        <v>794</v>
      </c>
      <c r="F19" s="6" t="n">
        <v>400</v>
      </c>
      <c r="G19" s="6" t="s">
        <v>795</v>
      </c>
      <c r="H19" s="7" t="n">
        <v>0.8</v>
      </c>
      <c r="I19" s="7" t="n">
        <v>320</v>
      </c>
      <c r="J19" s="7" t="n">
        <v>77.5</v>
      </c>
      <c r="K19" s="7" t="n">
        <v>24.2</v>
      </c>
      <c r="L19" s="6" t="s">
        <v>160</v>
      </c>
      <c r="M19" s="6"/>
      <c r="N19" s="6" t="n">
        <v>14</v>
      </c>
      <c r="O19" s="6" t="n">
        <v>10</v>
      </c>
      <c r="P19" s="6" t="s">
        <v>848</v>
      </c>
    </row>
    <row r="20" customFormat="false" ht="15" hidden="false" customHeight="false" outlineLevel="0" collapsed="false">
      <c r="A20" s="6" t="s">
        <v>218</v>
      </c>
      <c r="B20" s="6" t="s">
        <v>51</v>
      </c>
      <c r="C20" s="6" t="s">
        <v>844</v>
      </c>
      <c r="D20" s="6" t="s">
        <v>849</v>
      </c>
      <c r="E20" s="6" t="s">
        <v>794</v>
      </c>
      <c r="F20" s="6" t="n">
        <v>400</v>
      </c>
      <c r="G20" s="6" t="s">
        <v>795</v>
      </c>
      <c r="H20" s="7" t="n">
        <v>0.8</v>
      </c>
      <c r="I20" s="7" t="n">
        <v>320</v>
      </c>
      <c r="J20" s="7" t="n">
        <v>81</v>
      </c>
      <c r="K20" s="7" t="n">
        <v>25.3</v>
      </c>
      <c r="L20" s="6" t="s">
        <v>160</v>
      </c>
      <c r="M20" s="6"/>
      <c r="N20" s="6" t="n">
        <v>14</v>
      </c>
      <c r="O20" s="6" t="n">
        <v>10</v>
      </c>
      <c r="P20" s="6" t="s">
        <v>850</v>
      </c>
    </row>
    <row r="21" customFormat="false" ht="15" hidden="false" customHeight="false" outlineLevel="0" collapsed="false">
      <c r="A21" s="6" t="s">
        <v>230</v>
      </c>
      <c r="B21" s="6" t="s">
        <v>51</v>
      </c>
      <c r="C21" s="6" t="s">
        <v>844</v>
      </c>
      <c r="D21" s="6" t="s">
        <v>851</v>
      </c>
      <c r="E21" s="6" t="s">
        <v>794</v>
      </c>
      <c r="F21" s="6" t="n">
        <v>400</v>
      </c>
      <c r="G21" s="6" t="s">
        <v>795</v>
      </c>
      <c r="H21" s="7" t="n">
        <v>0.8</v>
      </c>
      <c r="I21" s="7" t="n">
        <v>320</v>
      </c>
      <c r="J21" s="7" t="n">
        <v>81</v>
      </c>
      <c r="K21" s="7" t="n">
        <v>25.3</v>
      </c>
      <c r="L21" s="6" t="s">
        <v>160</v>
      </c>
      <c r="M21" s="6"/>
      <c r="N21" s="6" t="n">
        <v>14</v>
      </c>
      <c r="O21" s="6" t="n">
        <v>10</v>
      </c>
      <c r="P21" s="6" t="s">
        <v>852</v>
      </c>
    </row>
    <row r="22" customFormat="false" ht="15" hidden="false" customHeight="false" outlineLevel="0" collapsed="false">
      <c r="A22" s="6" t="s">
        <v>243</v>
      </c>
      <c r="B22" s="6" t="s">
        <v>51</v>
      </c>
      <c r="C22" s="6" t="s">
        <v>844</v>
      </c>
      <c r="D22" s="6" t="s">
        <v>853</v>
      </c>
      <c r="E22" s="6" t="s">
        <v>794</v>
      </c>
      <c r="F22" s="6" t="n">
        <v>400</v>
      </c>
      <c r="G22" s="6" t="s">
        <v>795</v>
      </c>
      <c r="H22" s="7" t="n">
        <v>0.8</v>
      </c>
      <c r="I22" s="7" t="n">
        <v>320</v>
      </c>
      <c r="J22" s="7" t="n">
        <v>74</v>
      </c>
      <c r="K22" s="7" t="n">
        <v>23.1</v>
      </c>
      <c r="L22" s="6" t="s">
        <v>160</v>
      </c>
      <c r="M22" s="6"/>
      <c r="N22" s="6" t="n">
        <v>14</v>
      </c>
      <c r="O22" s="6" t="n">
        <v>10</v>
      </c>
      <c r="P22" s="6" t="s">
        <v>854</v>
      </c>
    </row>
    <row r="23" customFormat="false" ht="15" hidden="false" customHeight="false" outlineLevel="0" collapsed="false">
      <c r="A23" s="6" t="s">
        <v>255</v>
      </c>
      <c r="B23" s="6" t="s">
        <v>51</v>
      </c>
      <c r="C23" s="6" t="s">
        <v>844</v>
      </c>
      <c r="D23" s="6" t="s">
        <v>855</v>
      </c>
      <c r="E23" s="6" t="s">
        <v>794</v>
      </c>
      <c r="F23" s="6" t="n">
        <v>400</v>
      </c>
      <c r="G23" s="6" t="s">
        <v>795</v>
      </c>
      <c r="H23" s="7" t="n">
        <v>0.8</v>
      </c>
      <c r="I23" s="7" t="n">
        <v>320</v>
      </c>
      <c r="J23" s="7" t="n">
        <v>74</v>
      </c>
      <c r="K23" s="7" t="n">
        <v>23.1</v>
      </c>
      <c r="L23" s="6" t="s">
        <v>160</v>
      </c>
      <c r="M23" s="6"/>
      <c r="N23" s="6" t="n">
        <v>14</v>
      </c>
      <c r="O23" s="6" t="n">
        <v>10</v>
      </c>
      <c r="P23" s="6" t="s">
        <v>856</v>
      </c>
    </row>
    <row r="24" customFormat="false" ht="15" hidden="false" customHeight="false" outlineLevel="0" collapsed="false">
      <c r="A24" s="6" t="s">
        <v>269</v>
      </c>
      <c r="B24" s="6" t="s">
        <v>51</v>
      </c>
      <c r="C24" s="6" t="s">
        <v>844</v>
      </c>
      <c r="D24" s="6" t="s">
        <v>857</v>
      </c>
      <c r="E24" s="6" t="s">
        <v>794</v>
      </c>
      <c r="F24" s="6" t="n">
        <v>400</v>
      </c>
      <c r="G24" s="6" t="s">
        <v>795</v>
      </c>
      <c r="H24" s="7" t="n">
        <v>0.8</v>
      </c>
      <c r="I24" s="7" t="n">
        <v>320</v>
      </c>
      <c r="J24" s="7" t="n">
        <v>84</v>
      </c>
      <c r="K24" s="7" t="n">
        <v>26.2</v>
      </c>
      <c r="L24" s="6" t="s">
        <v>160</v>
      </c>
      <c r="M24" s="6"/>
      <c r="N24" s="6" t="n">
        <v>14</v>
      </c>
      <c r="O24" s="6" t="n">
        <v>10</v>
      </c>
      <c r="P24" s="6" t="s">
        <v>858</v>
      </c>
    </row>
    <row r="25" customFormat="false" ht="15" hidden="false" customHeight="false" outlineLevel="0" collapsed="false">
      <c r="A25" s="6" t="s">
        <v>281</v>
      </c>
      <c r="B25" s="6" t="s">
        <v>51</v>
      </c>
      <c r="C25" s="6" t="s">
        <v>844</v>
      </c>
      <c r="D25" s="6" t="s">
        <v>859</v>
      </c>
      <c r="E25" s="6" t="s">
        <v>794</v>
      </c>
      <c r="F25" s="6" t="n">
        <v>400</v>
      </c>
      <c r="G25" s="6" t="s">
        <v>795</v>
      </c>
      <c r="H25" s="7" t="n">
        <v>0.8</v>
      </c>
      <c r="I25" s="7" t="n">
        <v>320</v>
      </c>
      <c r="J25" s="7" t="n">
        <v>84</v>
      </c>
      <c r="K25" s="7" t="n">
        <v>26.2</v>
      </c>
      <c r="L25" s="6" t="s">
        <v>160</v>
      </c>
      <c r="M25" s="6"/>
      <c r="N25" s="6" t="n">
        <v>14</v>
      </c>
      <c r="O25" s="6" t="n">
        <v>10</v>
      </c>
      <c r="P25" s="6" t="s">
        <v>860</v>
      </c>
    </row>
    <row r="26" customFormat="false" ht="15" hidden="false" customHeight="false" outlineLevel="0" collapsed="false">
      <c r="A26" s="6" t="s">
        <v>294</v>
      </c>
      <c r="B26" s="6" t="s">
        <v>51</v>
      </c>
      <c r="C26" s="6" t="s">
        <v>844</v>
      </c>
      <c r="D26" s="6" t="s">
        <v>861</v>
      </c>
      <c r="E26" s="6" t="s">
        <v>794</v>
      </c>
      <c r="F26" s="6" t="n">
        <v>400</v>
      </c>
      <c r="G26" s="6" t="s">
        <v>795</v>
      </c>
      <c r="H26" s="7" t="n">
        <v>0.8</v>
      </c>
      <c r="I26" s="7" t="n">
        <v>320</v>
      </c>
      <c r="J26" s="7" t="n">
        <v>75.5</v>
      </c>
      <c r="K26" s="7" t="n">
        <v>23.6</v>
      </c>
      <c r="L26" s="6" t="s">
        <v>160</v>
      </c>
      <c r="M26" s="6"/>
      <c r="N26" s="6" t="n">
        <v>14</v>
      </c>
      <c r="O26" s="6" t="n">
        <v>10</v>
      </c>
      <c r="P26" s="6" t="s">
        <v>862</v>
      </c>
    </row>
    <row r="27" customFormat="false" ht="15" hidden="false" customHeight="false" outlineLevel="0" collapsed="false">
      <c r="A27" s="6" t="s">
        <v>306</v>
      </c>
      <c r="B27" s="6" t="s">
        <v>51</v>
      </c>
      <c r="C27" s="6" t="s">
        <v>844</v>
      </c>
      <c r="D27" s="6" t="s">
        <v>863</v>
      </c>
      <c r="E27" s="6" t="s">
        <v>794</v>
      </c>
      <c r="F27" s="6" t="n">
        <v>400</v>
      </c>
      <c r="G27" s="6" t="s">
        <v>795</v>
      </c>
      <c r="H27" s="7" t="n">
        <v>0.8</v>
      </c>
      <c r="I27" s="7" t="n">
        <v>320</v>
      </c>
      <c r="J27" s="7" t="n">
        <v>75.5</v>
      </c>
      <c r="K27" s="7" t="n">
        <v>23.6</v>
      </c>
      <c r="L27" s="6" t="s">
        <v>160</v>
      </c>
      <c r="M27" s="6"/>
      <c r="N27" s="6" t="n">
        <v>14</v>
      </c>
      <c r="O27" s="6" t="n">
        <v>10</v>
      </c>
      <c r="P27" s="6" t="s">
        <v>864</v>
      </c>
    </row>
    <row r="28" customFormat="false" ht="15" hidden="false" customHeight="false" outlineLevel="0" collapsed="false">
      <c r="A28" s="6" t="s">
        <v>319</v>
      </c>
      <c r="B28" s="6" t="s">
        <v>51</v>
      </c>
      <c r="C28" s="6" t="s">
        <v>844</v>
      </c>
      <c r="D28" s="6" t="s">
        <v>865</v>
      </c>
      <c r="E28" s="6" t="s">
        <v>794</v>
      </c>
      <c r="F28" s="6" t="n">
        <v>400</v>
      </c>
      <c r="G28" s="6" t="s">
        <v>795</v>
      </c>
      <c r="H28" s="7" t="n">
        <v>0.8</v>
      </c>
      <c r="I28" s="7" t="n">
        <v>320</v>
      </c>
      <c r="J28" s="7" t="n">
        <v>79.5</v>
      </c>
      <c r="K28" s="7" t="n">
        <v>24.8</v>
      </c>
      <c r="L28" s="6" t="s">
        <v>160</v>
      </c>
      <c r="M28" s="6"/>
      <c r="N28" s="6" t="n">
        <v>14</v>
      </c>
      <c r="O28" s="6" t="n">
        <v>10</v>
      </c>
      <c r="P28" s="6" t="s">
        <v>866</v>
      </c>
    </row>
    <row r="29" customFormat="false" ht="15" hidden="false" customHeight="false" outlineLevel="0" collapsed="false">
      <c r="A29" s="6" t="s">
        <v>331</v>
      </c>
      <c r="B29" s="6" t="s">
        <v>51</v>
      </c>
      <c r="C29" s="6" t="s">
        <v>844</v>
      </c>
      <c r="D29" s="6" t="s">
        <v>867</v>
      </c>
      <c r="E29" s="6" t="s">
        <v>794</v>
      </c>
      <c r="F29" s="6" t="n">
        <v>400</v>
      </c>
      <c r="G29" s="6" t="s">
        <v>795</v>
      </c>
      <c r="H29" s="7" t="n">
        <v>0.8</v>
      </c>
      <c r="I29" s="7" t="n">
        <v>320</v>
      </c>
      <c r="J29" s="7" t="n">
        <v>79.5</v>
      </c>
      <c r="K29" s="7" t="n">
        <v>24.8</v>
      </c>
      <c r="L29" s="6" t="s">
        <v>160</v>
      </c>
      <c r="M29" s="6"/>
      <c r="N29" s="6" t="n">
        <v>14</v>
      </c>
      <c r="O29" s="6" t="n">
        <v>10</v>
      </c>
      <c r="P29" s="6" t="s">
        <v>868</v>
      </c>
    </row>
    <row r="30" customFormat="false" ht="15" hidden="false" customHeight="false" outlineLevel="0" collapsed="false">
      <c r="A30" s="6" t="s">
        <v>869</v>
      </c>
      <c r="B30" s="6" t="s">
        <v>51</v>
      </c>
      <c r="C30" s="6" t="s">
        <v>837</v>
      </c>
      <c r="D30" s="6" t="s">
        <v>870</v>
      </c>
      <c r="E30" s="6" t="s">
        <v>794</v>
      </c>
      <c r="F30" s="8" t="n">
        <v>2800</v>
      </c>
      <c r="G30" s="6" t="s">
        <v>795</v>
      </c>
      <c r="H30" s="7" t="n">
        <v>0.8</v>
      </c>
      <c r="I30" s="7" t="n">
        <v>2240</v>
      </c>
      <c r="J30" s="6" t="n">
        <v>976</v>
      </c>
      <c r="K30" s="7" t="n">
        <v>43.6</v>
      </c>
      <c r="L30" s="6" t="s">
        <v>810</v>
      </c>
      <c r="M30" s="6"/>
      <c r="N30" s="6" t="n">
        <v>48</v>
      </c>
      <c r="O30" s="6" t="n">
        <v>12</v>
      </c>
      <c r="P30" s="6" t="s">
        <v>871</v>
      </c>
    </row>
    <row r="31" customFormat="false" ht="15" hidden="false" customHeight="false" outlineLevel="0" collapsed="false">
      <c r="A31" s="6" t="s">
        <v>872</v>
      </c>
      <c r="B31" s="6" t="s">
        <v>51</v>
      </c>
      <c r="C31" s="6" t="s">
        <v>841</v>
      </c>
      <c r="D31" s="6" t="s">
        <v>873</v>
      </c>
      <c r="E31" s="6" t="s">
        <v>794</v>
      </c>
      <c r="F31" s="8" t="n">
        <v>1600</v>
      </c>
      <c r="G31" s="6" t="s">
        <v>795</v>
      </c>
      <c r="H31" s="7" t="n">
        <v>0.8</v>
      </c>
      <c r="I31" s="7" t="n">
        <v>1280</v>
      </c>
      <c r="J31" s="6" t="n">
        <v>976</v>
      </c>
      <c r="K31" s="7" t="n">
        <v>76.2</v>
      </c>
      <c r="L31" s="6" t="s">
        <v>160</v>
      </c>
      <c r="M31" s="6"/>
      <c r="N31" s="6" t="n">
        <v>45</v>
      </c>
      <c r="O31" s="6" t="n">
        <v>14</v>
      </c>
      <c r="P31" s="6" t="s">
        <v>874</v>
      </c>
    </row>
    <row r="32" customFormat="false" ht="15" hidden="false" customHeight="false" outlineLevel="0" collapsed="false">
      <c r="A32" s="6" t="s">
        <v>343</v>
      </c>
      <c r="B32" s="6" t="s">
        <v>51</v>
      </c>
      <c r="C32" s="6" t="s">
        <v>844</v>
      </c>
      <c r="D32" s="6" t="s">
        <v>875</v>
      </c>
      <c r="E32" s="6" t="s">
        <v>794</v>
      </c>
      <c r="F32" s="6" t="n">
        <v>400</v>
      </c>
      <c r="G32" s="6" t="s">
        <v>795</v>
      </c>
      <c r="H32" s="7" t="n">
        <v>0.8</v>
      </c>
      <c r="I32" s="7" t="n">
        <v>320</v>
      </c>
      <c r="J32" s="7" t="n">
        <v>100</v>
      </c>
      <c r="K32" s="7" t="n">
        <v>31.2</v>
      </c>
      <c r="L32" s="6" t="s">
        <v>160</v>
      </c>
      <c r="M32" s="6"/>
      <c r="N32" s="6" t="n">
        <v>14</v>
      </c>
      <c r="O32" s="6" t="n">
        <v>10</v>
      </c>
      <c r="P32" s="6" t="s">
        <v>876</v>
      </c>
    </row>
    <row r="33" customFormat="false" ht="15" hidden="false" customHeight="false" outlineLevel="0" collapsed="false">
      <c r="A33" s="6" t="s">
        <v>355</v>
      </c>
      <c r="B33" s="6" t="s">
        <v>51</v>
      </c>
      <c r="C33" s="6" t="s">
        <v>844</v>
      </c>
      <c r="D33" s="6" t="s">
        <v>877</v>
      </c>
      <c r="E33" s="6" t="s">
        <v>794</v>
      </c>
      <c r="F33" s="6" t="n">
        <v>400</v>
      </c>
      <c r="G33" s="6" t="s">
        <v>795</v>
      </c>
      <c r="H33" s="7" t="n">
        <v>0.8</v>
      </c>
      <c r="I33" s="7" t="n">
        <v>320</v>
      </c>
      <c r="J33" s="7" t="n">
        <v>100</v>
      </c>
      <c r="K33" s="7" t="n">
        <v>31.2</v>
      </c>
      <c r="L33" s="6" t="s">
        <v>160</v>
      </c>
      <c r="M33" s="6"/>
      <c r="N33" s="6" t="n">
        <v>14</v>
      </c>
      <c r="O33" s="6" t="n">
        <v>10</v>
      </c>
      <c r="P33" s="6" t="s">
        <v>878</v>
      </c>
    </row>
    <row r="34" customFormat="false" ht="15" hidden="false" customHeight="false" outlineLevel="0" collapsed="false">
      <c r="A34" s="6" t="s">
        <v>367</v>
      </c>
      <c r="B34" s="6" t="s">
        <v>51</v>
      </c>
      <c r="C34" s="6" t="s">
        <v>844</v>
      </c>
      <c r="D34" s="6" t="s">
        <v>879</v>
      </c>
      <c r="E34" s="6" t="s">
        <v>794</v>
      </c>
      <c r="F34" s="6" t="n">
        <v>400</v>
      </c>
      <c r="G34" s="6" t="s">
        <v>795</v>
      </c>
      <c r="H34" s="7" t="n">
        <v>0.8</v>
      </c>
      <c r="I34" s="7" t="n">
        <v>320</v>
      </c>
      <c r="J34" s="7" t="n">
        <v>72.5</v>
      </c>
      <c r="K34" s="7" t="n">
        <v>22.7</v>
      </c>
      <c r="L34" s="6" t="s">
        <v>160</v>
      </c>
      <c r="M34" s="6"/>
      <c r="N34" s="6" t="n">
        <v>14</v>
      </c>
      <c r="O34" s="6" t="n">
        <v>10</v>
      </c>
      <c r="P34" s="6" t="s">
        <v>880</v>
      </c>
    </row>
    <row r="35" customFormat="false" ht="15" hidden="false" customHeight="false" outlineLevel="0" collapsed="false">
      <c r="A35" s="6" t="s">
        <v>379</v>
      </c>
      <c r="B35" s="6" t="s">
        <v>51</v>
      </c>
      <c r="C35" s="6" t="s">
        <v>844</v>
      </c>
      <c r="D35" s="6" t="s">
        <v>881</v>
      </c>
      <c r="E35" s="6" t="s">
        <v>794</v>
      </c>
      <c r="F35" s="6" t="n">
        <v>400</v>
      </c>
      <c r="G35" s="6" t="s">
        <v>795</v>
      </c>
      <c r="H35" s="7" t="n">
        <v>0.8</v>
      </c>
      <c r="I35" s="7" t="n">
        <v>320</v>
      </c>
      <c r="J35" s="7" t="n">
        <v>72.5</v>
      </c>
      <c r="K35" s="7" t="n">
        <v>22.7</v>
      </c>
      <c r="L35" s="6" t="s">
        <v>160</v>
      </c>
      <c r="M35" s="6"/>
      <c r="N35" s="6" t="n">
        <v>14</v>
      </c>
      <c r="O35" s="6" t="n">
        <v>10</v>
      </c>
      <c r="P35" s="6" t="s">
        <v>882</v>
      </c>
    </row>
    <row r="36" customFormat="false" ht="15" hidden="false" customHeight="false" outlineLevel="0" collapsed="false">
      <c r="A36" s="6" t="s">
        <v>391</v>
      </c>
      <c r="B36" s="6" t="s">
        <v>51</v>
      </c>
      <c r="C36" s="6" t="s">
        <v>844</v>
      </c>
      <c r="D36" s="6" t="s">
        <v>883</v>
      </c>
      <c r="E36" s="6" t="s">
        <v>794</v>
      </c>
      <c r="F36" s="6" t="n">
        <v>400</v>
      </c>
      <c r="G36" s="6" t="s">
        <v>795</v>
      </c>
      <c r="H36" s="7" t="n">
        <v>0.8</v>
      </c>
      <c r="I36" s="7" t="n">
        <v>320</v>
      </c>
      <c r="J36" s="7" t="n">
        <v>76</v>
      </c>
      <c r="K36" s="7" t="n">
        <v>23.8</v>
      </c>
      <c r="L36" s="6" t="s">
        <v>160</v>
      </c>
      <c r="M36" s="6"/>
      <c r="N36" s="6" t="n">
        <v>14</v>
      </c>
      <c r="O36" s="6" t="n">
        <v>10</v>
      </c>
      <c r="P36" s="6" t="s">
        <v>884</v>
      </c>
    </row>
    <row r="37" customFormat="false" ht="15" hidden="false" customHeight="false" outlineLevel="0" collapsed="false">
      <c r="A37" s="6" t="s">
        <v>403</v>
      </c>
      <c r="B37" s="6" t="s">
        <v>51</v>
      </c>
      <c r="C37" s="6" t="s">
        <v>844</v>
      </c>
      <c r="D37" s="6" t="s">
        <v>885</v>
      </c>
      <c r="E37" s="6" t="s">
        <v>794</v>
      </c>
      <c r="F37" s="6" t="n">
        <v>400</v>
      </c>
      <c r="G37" s="6" t="s">
        <v>795</v>
      </c>
      <c r="H37" s="7" t="n">
        <v>0.8</v>
      </c>
      <c r="I37" s="7" t="n">
        <v>320</v>
      </c>
      <c r="J37" s="7" t="n">
        <v>76</v>
      </c>
      <c r="K37" s="7" t="n">
        <v>23.8</v>
      </c>
      <c r="L37" s="6" t="s">
        <v>160</v>
      </c>
      <c r="M37" s="6"/>
      <c r="N37" s="6" t="n">
        <v>14</v>
      </c>
      <c r="O37" s="6" t="n">
        <v>10</v>
      </c>
      <c r="P37" s="6" t="s">
        <v>886</v>
      </c>
    </row>
    <row r="38" customFormat="false" ht="15" hidden="false" customHeight="false" outlineLevel="0" collapsed="false">
      <c r="A38" s="6" t="s">
        <v>415</v>
      </c>
      <c r="B38" s="6" t="s">
        <v>51</v>
      </c>
      <c r="C38" s="6" t="s">
        <v>844</v>
      </c>
      <c r="D38" s="6" t="s">
        <v>887</v>
      </c>
      <c r="E38" s="6" t="s">
        <v>794</v>
      </c>
      <c r="F38" s="6" t="n">
        <v>400</v>
      </c>
      <c r="G38" s="6" t="s">
        <v>795</v>
      </c>
      <c r="H38" s="7" t="n">
        <v>0.8</v>
      </c>
      <c r="I38" s="7" t="n">
        <v>320</v>
      </c>
      <c r="J38" s="7" t="n">
        <v>69</v>
      </c>
      <c r="K38" s="7" t="n">
        <v>21.6</v>
      </c>
      <c r="L38" s="6" t="s">
        <v>160</v>
      </c>
      <c r="M38" s="6"/>
      <c r="N38" s="6" t="n">
        <v>14</v>
      </c>
      <c r="O38" s="6" t="n">
        <v>10</v>
      </c>
      <c r="P38" s="6" t="s">
        <v>888</v>
      </c>
    </row>
    <row r="39" customFormat="false" ht="15" hidden="false" customHeight="false" outlineLevel="0" collapsed="false">
      <c r="A39" s="6" t="s">
        <v>427</v>
      </c>
      <c r="B39" s="6" t="s">
        <v>51</v>
      </c>
      <c r="C39" s="6" t="s">
        <v>844</v>
      </c>
      <c r="D39" s="6" t="s">
        <v>889</v>
      </c>
      <c r="E39" s="6" t="s">
        <v>794</v>
      </c>
      <c r="F39" s="6" t="n">
        <v>400</v>
      </c>
      <c r="G39" s="6" t="s">
        <v>795</v>
      </c>
      <c r="H39" s="7" t="n">
        <v>0.8</v>
      </c>
      <c r="I39" s="7" t="n">
        <v>320</v>
      </c>
      <c r="J39" s="7" t="n">
        <v>69</v>
      </c>
      <c r="K39" s="7" t="n">
        <v>21.6</v>
      </c>
      <c r="L39" s="6" t="s">
        <v>160</v>
      </c>
      <c r="M39" s="6"/>
      <c r="N39" s="6" t="n">
        <v>14</v>
      </c>
      <c r="O39" s="6" t="n">
        <v>10</v>
      </c>
      <c r="P39" s="6" t="s">
        <v>890</v>
      </c>
    </row>
    <row r="40" customFormat="false" ht="15" hidden="false" customHeight="false" outlineLevel="0" collapsed="false">
      <c r="A40" s="6" t="s">
        <v>440</v>
      </c>
      <c r="B40" s="6" t="s">
        <v>51</v>
      </c>
      <c r="C40" s="6" t="s">
        <v>844</v>
      </c>
      <c r="D40" s="6" t="s">
        <v>891</v>
      </c>
      <c r="E40" s="6" t="s">
        <v>794</v>
      </c>
      <c r="F40" s="6" t="n">
        <v>400</v>
      </c>
      <c r="G40" s="6" t="s">
        <v>795</v>
      </c>
      <c r="H40" s="7" t="n">
        <v>0.8</v>
      </c>
      <c r="I40" s="7" t="n">
        <v>320</v>
      </c>
      <c r="J40" s="7" t="n">
        <v>90</v>
      </c>
      <c r="K40" s="7" t="n">
        <v>28.1</v>
      </c>
      <c r="L40" s="6" t="s">
        <v>160</v>
      </c>
      <c r="M40" s="6"/>
      <c r="N40" s="6" t="n">
        <v>14</v>
      </c>
      <c r="O40" s="6" t="n">
        <v>10</v>
      </c>
      <c r="P40" s="6" t="s">
        <v>892</v>
      </c>
    </row>
    <row r="41" customFormat="false" ht="15" hidden="false" customHeight="false" outlineLevel="0" collapsed="false">
      <c r="A41" s="6" t="s">
        <v>452</v>
      </c>
      <c r="B41" s="6" t="s">
        <v>51</v>
      </c>
      <c r="C41" s="6" t="s">
        <v>844</v>
      </c>
      <c r="D41" s="6" t="s">
        <v>893</v>
      </c>
      <c r="E41" s="6" t="s">
        <v>794</v>
      </c>
      <c r="F41" s="6" t="n">
        <v>400</v>
      </c>
      <c r="G41" s="6" t="s">
        <v>795</v>
      </c>
      <c r="H41" s="7" t="n">
        <v>0.8</v>
      </c>
      <c r="I41" s="7" t="n">
        <v>320</v>
      </c>
      <c r="J41" s="7" t="n">
        <v>90</v>
      </c>
      <c r="K41" s="7" t="n">
        <v>28.1</v>
      </c>
      <c r="L41" s="6" t="s">
        <v>160</v>
      </c>
      <c r="M41" s="6"/>
      <c r="N41" s="6" t="n">
        <v>14</v>
      </c>
      <c r="O41" s="6" t="n">
        <v>10</v>
      </c>
      <c r="P41" s="6" t="s">
        <v>894</v>
      </c>
    </row>
    <row r="42" customFormat="false" ht="15" hidden="false" customHeight="false" outlineLevel="0" collapsed="false">
      <c r="A42" s="6" t="s">
        <v>464</v>
      </c>
      <c r="B42" s="6" t="s">
        <v>51</v>
      </c>
      <c r="C42" s="6" t="s">
        <v>844</v>
      </c>
      <c r="D42" s="6" t="s">
        <v>895</v>
      </c>
      <c r="E42" s="6" t="s">
        <v>794</v>
      </c>
      <c r="F42" s="6" t="n">
        <v>400</v>
      </c>
      <c r="G42" s="6" t="s">
        <v>795</v>
      </c>
      <c r="H42" s="7" t="n">
        <v>0.8</v>
      </c>
      <c r="I42" s="7" t="n">
        <v>320</v>
      </c>
      <c r="J42" s="7" t="n">
        <v>80.5</v>
      </c>
      <c r="K42" s="7" t="n">
        <v>25.2</v>
      </c>
      <c r="L42" s="6" t="s">
        <v>160</v>
      </c>
      <c r="M42" s="6"/>
      <c r="N42" s="6" t="n">
        <v>14</v>
      </c>
      <c r="O42" s="6" t="n">
        <v>10</v>
      </c>
      <c r="P42" s="6" t="s">
        <v>896</v>
      </c>
    </row>
    <row r="43" customFormat="false" ht="15" hidden="false" customHeight="false" outlineLevel="0" collapsed="false">
      <c r="A43" s="6" t="s">
        <v>476</v>
      </c>
      <c r="B43" s="6" t="s">
        <v>51</v>
      </c>
      <c r="C43" s="6" t="s">
        <v>844</v>
      </c>
      <c r="D43" s="6" t="s">
        <v>897</v>
      </c>
      <c r="E43" s="6" t="s">
        <v>794</v>
      </c>
      <c r="F43" s="6" t="n">
        <v>400</v>
      </c>
      <c r="G43" s="6" t="s">
        <v>795</v>
      </c>
      <c r="H43" s="7" t="n">
        <v>0.8</v>
      </c>
      <c r="I43" s="7" t="n">
        <v>320</v>
      </c>
      <c r="J43" s="7" t="n">
        <v>80.5</v>
      </c>
      <c r="K43" s="7" t="n">
        <v>25.2</v>
      </c>
      <c r="L43" s="6" t="s">
        <v>160</v>
      </c>
      <c r="M43" s="6"/>
      <c r="N43" s="6" t="n">
        <v>14</v>
      </c>
      <c r="O43" s="6" t="n">
        <v>10</v>
      </c>
      <c r="P43" s="6" t="s">
        <v>898</v>
      </c>
    </row>
    <row r="44" customFormat="false" ht="15" hidden="false" customHeight="false" outlineLevel="0" collapsed="false">
      <c r="A44" s="6" t="s">
        <v>899</v>
      </c>
      <c r="B44" s="6" t="s">
        <v>51</v>
      </c>
      <c r="C44" s="6" t="s">
        <v>837</v>
      </c>
      <c r="D44" s="6" t="s">
        <v>900</v>
      </c>
      <c r="E44" s="6" t="s">
        <v>794</v>
      </c>
      <c r="F44" s="8" t="n">
        <v>2800</v>
      </c>
      <c r="G44" s="6" t="s">
        <v>795</v>
      </c>
      <c r="H44" s="7" t="n">
        <v>0.8</v>
      </c>
      <c r="I44" s="7" t="n">
        <v>2240</v>
      </c>
      <c r="J44" s="6" t="n">
        <v>801</v>
      </c>
      <c r="K44" s="7" t="n">
        <v>35.8</v>
      </c>
      <c r="L44" s="6" t="s">
        <v>810</v>
      </c>
      <c r="M44" s="6"/>
      <c r="N44" s="6" t="n">
        <v>48</v>
      </c>
      <c r="O44" s="6" t="n">
        <v>12</v>
      </c>
      <c r="P44" s="6" t="s">
        <v>901</v>
      </c>
    </row>
    <row r="45" customFormat="false" ht="15" hidden="false" customHeight="false" outlineLevel="0" collapsed="false">
      <c r="A45" s="6" t="s">
        <v>902</v>
      </c>
      <c r="B45" s="6" t="s">
        <v>51</v>
      </c>
      <c r="C45" s="6" t="s">
        <v>841</v>
      </c>
      <c r="D45" s="6" t="s">
        <v>903</v>
      </c>
      <c r="E45" s="6" t="s">
        <v>794</v>
      </c>
      <c r="F45" s="8" t="n">
        <v>1600</v>
      </c>
      <c r="G45" s="6" t="s">
        <v>795</v>
      </c>
      <c r="H45" s="7" t="n">
        <v>0.8</v>
      </c>
      <c r="I45" s="7" t="n">
        <v>1280</v>
      </c>
      <c r="J45" s="6" t="n">
        <v>801</v>
      </c>
      <c r="K45" s="7" t="n">
        <v>62.6</v>
      </c>
      <c r="L45" s="6" t="s">
        <v>160</v>
      </c>
      <c r="M45" s="6"/>
      <c r="N45" s="6" t="n">
        <v>45</v>
      </c>
      <c r="O45" s="6" t="n">
        <v>14</v>
      </c>
      <c r="P45" s="6" t="s">
        <v>904</v>
      </c>
    </row>
    <row r="46" customFormat="false" ht="15" hidden="false" customHeight="false" outlineLevel="0" collapsed="false">
      <c r="A46" s="6" t="s">
        <v>488</v>
      </c>
      <c r="B46" s="6" t="s">
        <v>51</v>
      </c>
      <c r="C46" s="6" t="s">
        <v>844</v>
      </c>
      <c r="D46" s="6" t="s">
        <v>905</v>
      </c>
      <c r="E46" s="6" t="s">
        <v>794</v>
      </c>
      <c r="F46" s="6" t="n">
        <v>400</v>
      </c>
      <c r="G46" s="6" t="s">
        <v>795</v>
      </c>
      <c r="H46" s="7" t="n">
        <v>0.8</v>
      </c>
      <c r="I46" s="7" t="n">
        <v>320</v>
      </c>
      <c r="J46" s="7" t="n">
        <v>68</v>
      </c>
      <c r="K46" s="7" t="n">
        <v>21.2</v>
      </c>
      <c r="L46" s="6" t="s">
        <v>160</v>
      </c>
      <c r="M46" s="6"/>
      <c r="N46" s="6" t="n">
        <v>14</v>
      </c>
      <c r="O46" s="6" t="n">
        <v>10</v>
      </c>
      <c r="P46" s="6" t="s">
        <v>906</v>
      </c>
    </row>
    <row r="47" customFormat="false" ht="15" hidden="false" customHeight="false" outlineLevel="0" collapsed="false">
      <c r="A47" s="6" t="s">
        <v>500</v>
      </c>
      <c r="B47" s="6" t="s">
        <v>51</v>
      </c>
      <c r="C47" s="6" t="s">
        <v>844</v>
      </c>
      <c r="D47" s="6" t="s">
        <v>907</v>
      </c>
      <c r="E47" s="6" t="s">
        <v>794</v>
      </c>
      <c r="F47" s="6" t="n">
        <v>400</v>
      </c>
      <c r="G47" s="6" t="s">
        <v>795</v>
      </c>
      <c r="H47" s="7" t="n">
        <v>0.8</v>
      </c>
      <c r="I47" s="7" t="n">
        <v>320</v>
      </c>
      <c r="J47" s="7" t="n">
        <v>68</v>
      </c>
      <c r="K47" s="7" t="n">
        <v>21.2</v>
      </c>
      <c r="L47" s="6" t="s">
        <v>160</v>
      </c>
      <c r="M47" s="6"/>
      <c r="N47" s="6" t="n">
        <v>14</v>
      </c>
      <c r="O47" s="6" t="n">
        <v>10</v>
      </c>
      <c r="P47" s="6" t="s">
        <v>908</v>
      </c>
    </row>
    <row r="48" customFormat="false" ht="15" hidden="false" customHeight="false" outlineLevel="0" collapsed="false">
      <c r="A48" s="6" t="s">
        <v>512</v>
      </c>
      <c r="B48" s="6" t="s">
        <v>51</v>
      </c>
      <c r="C48" s="6" t="s">
        <v>844</v>
      </c>
      <c r="D48" s="6" t="s">
        <v>909</v>
      </c>
      <c r="E48" s="6" t="s">
        <v>794</v>
      </c>
      <c r="F48" s="6" t="n">
        <v>400</v>
      </c>
      <c r="G48" s="6" t="s">
        <v>795</v>
      </c>
      <c r="H48" s="7" t="n">
        <v>0.8</v>
      </c>
      <c r="I48" s="7" t="n">
        <v>320</v>
      </c>
      <c r="J48" s="7" t="n">
        <v>64.5</v>
      </c>
      <c r="K48" s="7" t="n">
        <v>20.2</v>
      </c>
      <c r="L48" s="6" t="s">
        <v>160</v>
      </c>
      <c r="M48" s="6"/>
      <c r="N48" s="6" t="n">
        <v>14</v>
      </c>
      <c r="O48" s="6" t="n">
        <v>10</v>
      </c>
      <c r="P48" s="6" t="s">
        <v>910</v>
      </c>
    </row>
    <row r="49" customFormat="false" ht="15" hidden="false" customHeight="false" outlineLevel="0" collapsed="false">
      <c r="A49" s="6" t="s">
        <v>524</v>
      </c>
      <c r="B49" s="6" t="s">
        <v>51</v>
      </c>
      <c r="C49" s="6" t="s">
        <v>844</v>
      </c>
      <c r="D49" s="6" t="s">
        <v>911</v>
      </c>
      <c r="E49" s="6" t="s">
        <v>794</v>
      </c>
      <c r="F49" s="6" t="n">
        <v>400</v>
      </c>
      <c r="G49" s="6" t="s">
        <v>795</v>
      </c>
      <c r="H49" s="7" t="n">
        <v>0.8</v>
      </c>
      <c r="I49" s="7" t="n">
        <v>320</v>
      </c>
      <c r="J49" s="7" t="n">
        <v>64.5</v>
      </c>
      <c r="K49" s="7" t="n">
        <v>20.2</v>
      </c>
      <c r="L49" s="6" t="s">
        <v>160</v>
      </c>
      <c r="M49" s="6"/>
      <c r="N49" s="6" t="n">
        <v>14</v>
      </c>
      <c r="O49" s="6" t="n">
        <v>10</v>
      </c>
      <c r="P49" s="6" t="s">
        <v>912</v>
      </c>
    </row>
    <row r="50" customFormat="false" ht="15" hidden="false" customHeight="false" outlineLevel="0" collapsed="false">
      <c r="A50" s="6" t="s">
        <v>536</v>
      </c>
      <c r="B50" s="6" t="s">
        <v>51</v>
      </c>
      <c r="C50" s="6" t="s">
        <v>844</v>
      </c>
      <c r="D50" s="6" t="s">
        <v>913</v>
      </c>
      <c r="E50" s="6" t="s">
        <v>794</v>
      </c>
      <c r="F50" s="6" t="n">
        <v>400</v>
      </c>
      <c r="G50" s="6" t="s">
        <v>795</v>
      </c>
      <c r="H50" s="7" t="n">
        <v>0.8</v>
      </c>
      <c r="I50" s="7" t="n">
        <v>320</v>
      </c>
      <c r="J50" s="7" t="n">
        <v>61.5</v>
      </c>
      <c r="K50" s="7" t="n">
        <v>19.2</v>
      </c>
      <c r="L50" s="6" t="s">
        <v>160</v>
      </c>
      <c r="M50" s="6"/>
      <c r="N50" s="6" t="n">
        <v>14</v>
      </c>
      <c r="O50" s="6" t="n">
        <v>10</v>
      </c>
      <c r="P50" s="6" t="s">
        <v>914</v>
      </c>
    </row>
    <row r="51" customFormat="false" ht="15" hidden="false" customHeight="false" outlineLevel="0" collapsed="false">
      <c r="A51" s="6" t="s">
        <v>548</v>
      </c>
      <c r="B51" s="6" t="s">
        <v>51</v>
      </c>
      <c r="C51" s="6" t="s">
        <v>844</v>
      </c>
      <c r="D51" s="6" t="s">
        <v>915</v>
      </c>
      <c r="E51" s="6" t="s">
        <v>794</v>
      </c>
      <c r="F51" s="6" t="n">
        <v>400</v>
      </c>
      <c r="G51" s="6" t="s">
        <v>795</v>
      </c>
      <c r="H51" s="7" t="n">
        <v>0.8</v>
      </c>
      <c r="I51" s="7" t="n">
        <v>320</v>
      </c>
      <c r="J51" s="7" t="n">
        <v>61.5</v>
      </c>
      <c r="K51" s="7" t="n">
        <v>19.2</v>
      </c>
      <c r="L51" s="6" t="s">
        <v>160</v>
      </c>
      <c r="M51" s="6"/>
      <c r="N51" s="6" t="n">
        <v>14</v>
      </c>
      <c r="O51" s="6" t="n">
        <v>10</v>
      </c>
      <c r="P51" s="6" t="s">
        <v>916</v>
      </c>
    </row>
    <row r="52" customFormat="false" ht="15" hidden="false" customHeight="false" outlineLevel="0" collapsed="false">
      <c r="A52" s="6" t="s">
        <v>560</v>
      </c>
      <c r="B52" s="6" t="s">
        <v>51</v>
      </c>
      <c r="C52" s="6" t="s">
        <v>844</v>
      </c>
      <c r="D52" s="6" t="s">
        <v>917</v>
      </c>
      <c r="E52" s="6" t="s">
        <v>794</v>
      </c>
      <c r="F52" s="6" t="n">
        <v>400</v>
      </c>
      <c r="G52" s="6" t="s">
        <v>795</v>
      </c>
      <c r="H52" s="7" t="n">
        <v>0.8</v>
      </c>
      <c r="I52" s="7" t="n">
        <v>320</v>
      </c>
      <c r="J52" s="7" t="n">
        <v>69</v>
      </c>
      <c r="K52" s="7" t="n">
        <v>21.6</v>
      </c>
      <c r="L52" s="6" t="s">
        <v>160</v>
      </c>
      <c r="M52" s="6"/>
      <c r="N52" s="6" t="n">
        <v>14</v>
      </c>
      <c r="O52" s="6" t="n">
        <v>10</v>
      </c>
      <c r="P52" s="6" t="s">
        <v>918</v>
      </c>
    </row>
    <row r="53" customFormat="false" ht="15" hidden="false" customHeight="false" outlineLevel="0" collapsed="false">
      <c r="A53" s="6" t="s">
        <v>572</v>
      </c>
      <c r="B53" s="6" t="s">
        <v>51</v>
      </c>
      <c r="C53" s="6" t="s">
        <v>844</v>
      </c>
      <c r="D53" s="6" t="s">
        <v>919</v>
      </c>
      <c r="E53" s="6" t="s">
        <v>794</v>
      </c>
      <c r="F53" s="6" t="n">
        <v>400</v>
      </c>
      <c r="G53" s="6" t="s">
        <v>795</v>
      </c>
      <c r="H53" s="7" t="n">
        <v>0.8</v>
      </c>
      <c r="I53" s="7" t="n">
        <v>320</v>
      </c>
      <c r="J53" s="7" t="n">
        <v>69</v>
      </c>
      <c r="K53" s="7" t="n">
        <v>21.6</v>
      </c>
      <c r="L53" s="6" t="s">
        <v>160</v>
      </c>
      <c r="M53" s="6"/>
      <c r="N53" s="6" t="n">
        <v>14</v>
      </c>
      <c r="O53" s="6" t="n">
        <v>10</v>
      </c>
      <c r="P53" s="6" t="s">
        <v>920</v>
      </c>
    </row>
    <row r="54" customFormat="false" ht="15" hidden="false" customHeight="false" outlineLevel="0" collapsed="false">
      <c r="A54" s="6" t="s">
        <v>584</v>
      </c>
      <c r="B54" s="6" t="s">
        <v>51</v>
      </c>
      <c r="C54" s="6" t="s">
        <v>844</v>
      </c>
      <c r="D54" s="6" t="s">
        <v>921</v>
      </c>
      <c r="E54" s="6" t="s">
        <v>794</v>
      </c>
      <c r="F54" s="6" t="n">
        <v>400</v>
      </c>
      <c r="G54" s="6" t="s">
        <v>795</v>
      </c>
      <c r="H54" s="7" t="n">
        <v>0.8</v>
      </c>
      <c r="I54" s="7" t="n">
        <v>320</v>
      </c>
      <c r="J54" s="7" t="n">
        <v>68.5</v>
      </c>
      <c r="K54" s="7" t="n">
        <v>21.4</v>
      </c>
      <c r="L54" s="6" t="s">
        <v>160</v>
      </c>
      <c r="M54" s="6"/>
      <c r="N54" s="6" t="n">
        <v>14</v>
      </c>
      <c r="O54" s="6" t="n">
        <v>10</v>
      </c>
      <c r="P54" s="6" t="s">
        <v>922</v>
      </c>
    </row>
    <row r="55" customFormat="false" ht="15" hidden="false" customHeight="false" outlineLevel="0" collapsed="false">
      <c r="A55" s="6" t="s">
        <v>596</v>
      </c>
      <c r="B55" s="6" t="s">
        <v>51</v>
      </c>
      <c r="C55" s="6" t="s">
        <v>844</v>
      </c>
      <c r="D55" s="6" t="s">
        <v>923</v>
      </c>
      <c r="E55" s="6" t="s">
        <v>794</v>
      </c>
      <c r="F55" s="6" t="n">
        <v>400</v>
      </c>
      <c r="G55" s="6" t="s">
        <v>795</v>
      </c>
      <c r="H55" s="7" t="n">
        <v>0.8</v>
      </c>
      <c r="I55" s="7" t="n">
        <v>320</v>
      </c>
      <c r="J55" s="7" t="n">
        <v>68.5</v>
      </c>
      <c r="K55" s="7" t="n">
        <v>21.4</v>
      </c>
      <c r="L55" s="6" t="s">
        <v>160</v>
      </c>
      <c r="M55" s="6"/>
      <c r="N55" s="6" t="n">
        <v>14</v>
      </c>
      <c r="O55" s="6" t="n">
        <v>10</v>
      </c>
      <c r="P55" s="6" t="s">
        <v>924</v>
      </c>
    </row>
    <row r="56" customFormat="false" ht="15" hidden="false" customHeight="false" outlineLevel="0" collapsed="false">
      <c r="A56" s="6" t="s">
        <v>608</v>
      </c>
      <c r="B56" s="6" t="s">
        <v>51</v>
      </c>
      <c r="C56" s="6" t="s">
        <v>844</v>
      </c>
      <c r="D56" s="6" t="s">
        <v>925</v>
      </c>
      <c r="E56" s="6" t="s">
        <v>794</v>
      </c>
      <c r="F56" s="6" t="n">
        <v>400</v>
      </c>
      <c r="G56" s="6" t="s">
        <v>795</v>
      </c>
      <c r="H56" s="7" t="n">
        <v>0.8</v>
      </c>
      <c r="I56" s="7" t="n">
        <v>320</v>
      </c>
      <c r="J56" s="7" t="n">
        <v>69</v>
      </c>
      <c r="K56" s="7" t="n">
        <v>21.6</v>
      </c>
      <c r="L56" s="6" t="s">
        <v>160</v>
      </c>
      <c r="M56" s="6"/>
      <c r="N56" s="6" t="n">
        <v>14</v>
      </c>
      <c r="O56" s="6" t="n">
        <v>10</v>
      </c>
      <c r="P56" s="6" t="s">
        <v>926</v>
      </c>
    </row>
    <row r="57" customFormat="false" ht="15" hidden="false" customHeight="false" outlineLevel="0" collapsed="false">
      <c r="A57" s="6" t="s">
        <v>620</v>
      </c>
      <c r="B57" s="6" t="s">
        <v>51</v>
      </c>
      <c r="C57" s="6" t="s">
        <v>844</v>
      </c>
      <c r="D57" s="6" t="s">
        <v>927</v>
      </c>
      <c r="E57" s="6" t="s">
        <v>794</v>
      </c>
      <c r="F57" s="6" t="n">
        <v>400</v>
      </c>
      <c r="G57" s="6" t="s">
        <v>795</v>
      </c>
      <c r="H57" s="7" t="n">
        <v>0.8</v>
      </c>
      <c r="I57" s="7" t="n">
        <v>320</v>
      </c>
      <c r="J57" s="7" t="n">
        <v>69</v>
      </c>
      <c r="K57" s="7" t="n">
        <v>21.6</v>
      </c>
      <c r="L57" s="6" t="s">
        <v>160</v>
      </c>
      <c r="M57" s="6"/>
      <c r="N57" s="6" t="n">
        <v>14</v>
      </c>
      <c r="O57" s="6" t="n">
        <v>10</v>
      </c>
      <c r="P57" s="6" t="s">
        <v>928</v>
      </c>
    </row>
    <row r="58" customFormat="false" ht="15" hidden="false" customHeight="false" outlineLevel="0" collapsed="false">
      <c r="A58" s="6" t="s">
        <v>929</v>
      </c>
      <c r="B58" s="6" t="s">
        <v>51</v>
      </c>
      <c r="C58" s="6" t="s">
        <v>837</v>
      </c>
      <c r="D58" s="6" t="s">
        <v>930</v>
      </c>
      <c r="E58" s="6" t="s">
        <v>794</v>
      </c>
      <c r="F58" s="8" t="n">
        <v>2800</v>
      </c>
      <c r="G58" s="6" t="s">
        <v>795</v>
      </c>
      <c r="H58" s="7" t="n">
        <v>0.8</v>
      </c>
      <c r="I58" s="7" t="n">
        <v>2240</v>
      </c>
      <c r="J58" s="8" t="n">
        <v>4080</v>
      </c>
      <c r="K58" s="7" t="n">
        <v>182.1</v>
      </c>
      <c r="L58" s="6" t="s">
        <v>810</v>
      </c>
      <c r="M58" s="6"/>
      <c r="N58" s="6" t="n">
        <v>48</v>
      </c>
      <c r="O58" s="6" t="n">
        <v>12</v>
      </c>
      <c r="P58" s="6" t="s">
        <v>931</v>
      </c>
    </row>
    <row r="59" customFormat="false" ht="15" hidden="false" customHeight="false" outlineLevel="0" collapsed="false">
      <c r="A59" s="6" t="s">
        <v>932</v>
      </c>
      <c r="B59" s="6" t="s">
        <v>51</v>
      </c>
      <c r="C59" s="6" t="s">
        <v>841</v>
      </c>
      <c r="D59" s="6" t="s">
        <v>933</v>
      </c>
      <c r="E59" s="6" t="s">
        <v>794</v>
      </c>
      <c r="F59" s="8" t="n">
        <v>5400</v>
      </c>
      <c r="G59" s="6" t="s">
        <v>795</v>
      </c>
      <c r="H59" s="7" t="n">
        <v>0.8</v>
      </c>
      <c r="I59" s="7" t="n">
        <v>4320</v>
      </c>
      <c r="J59" s="8" t="n">
        <v>4080</v>
      </c>
      <c r="K59" s="7" t="n">
        <v>94.4</v>
      </c>
      <c r="L59" s="6" t="s">
        <v>160</v>
      </c>
      <c r="M59" s="6"/>
      <c r="N59" s="6" t="n">
        <v>45</v>
      </c>
      <c r="O59" s="6" t="n">
        <v>14</v>
      </c>
      <c r="P59" s="6" t="s">
        <v>934</v>
      </c>
    </row>
    <row r="60" customFormat="false" ht="15" hidden="false" customHeight="false" outlineLevel="0" collapsed="false">
      <c r="A60" s="6" t="s">
        <v>632</v>
      </c>
      <c r="B60" s="6" t="s">
        <v>51</v>
      </c>
      <c r="C60" s="6" t="s">
        <v>844</v>
      </c>
      <c r="D60" s="6" t="s">
        <v>935</v>
      </c>
      <c r="E60" s="6" t="s">
        <v>794</v>
      </c>
      <c r="F60" s="6" t="n">
        <v>800</v>
      </c>
      <c r="G60" s="6" t="s">
        <v>795</v>
      </c>
      <c r="H60" s="7" t="n">
        <v>0.8</v>
      </c>
      <c r="I60" s="7" t="n">
        <v>640</v>
      </c>
      <c r="J60" s="7" t="n">
        <v>360</v>
      </c>
      <c r="K60" s="7" t="n">
        <v>56.2</v>
      </c>
      <c r="L60" s="6" t="s">
        <v>160</v>
      </c>
      <c r="M60" s="6"/>
      <c r="N60" s="6" t="n">
        <v>14</v>
      </c>
      <c r="O60" s="6" t="n">
        <v>10</v>
      </c>
      <c r="P60" s="6" t="s">
        <v>936</v>
      </c>
    </row>
    <row r="61" customFormat="false" ht="15" hidden="false" customHeight="false" outlineLevel="0" collapsed="false">
      <c r="A61" s="6" t="s">
        <v>644</v>
      </c>
      <c r="B61" s="6" t="s">
        <v>51</v>
      </c>
      <c r="C61" s="6" t="s">
        <v>844</v>
      </c>
      <c r="D61" s="6" t="s">
        <v>937</v>
      </c>
      <c r="E61" s="6" t="s">
        <v>794</v>
      </c>
      <c r="F61" s="6" t="n">
        <v>800</v>
      </c>
      <c r="G61" s="6" t="s">
        <v>795</v>
      </c>
      <c r="H61" s="7" t="n">
        <v>0.8</v>
      </c>
      <c r="I61" s="7" t="n">
        <v>640</v>
      </c>
      <c r="J61" s="7" t="n">
        <v>360</v>
      </c>
      <c r="K61" s="7" t="n">
        <v>56.2</v>
      </c>
      <c r="L61" s="6" t="s">
        <v>160</v>
      </c>
      <c r="M61" s="6"/>
      <c r="N61" s="6" t="n">
        <v>14</v>
      </c>
      <c r="O61" s="6" t="n">
        <v>10</v>
      </c>
      <c r="P61" s="6" t="s">
        <v>938</v>
      </c>
    </row>
    <row r="62" customFormat="false" ht="15" hidden="false" customHeight="false" outlineLevel="0" collapsed="false">
      <c r="A62" s="6" t="s">
        <v>656</v>
      </c>
      <c r="B62" s="6" t="s">
        <v>51</v>
      </c>
      <c r="C62" s="6" t="s">
        <v>844</v>
      </c>
      <c r="D62" s="6" t="s">
        <v>939</v>
      </c>
      <c r="E62" s="6" t="s">
        <v>794</v>
      </c>
      <c r="F62" s="6" t="n">
        <v>800</v>
      </c>
      <c r="G62" s="6" t="s">
        <v>795</v>
      </c>
      <c r="H62" s="7" t="n">
        <v>0.8</v>
      </c>
      <c r="I62" s="7" t="n">
        <v>640</v>
      </c>
      <c r="J62" s="7" t="n">
        <v>330</v>
      </c>
      <c r="K62" s="7" t="n">
        <v>51.6</v>
      </c>
      <c r="L62" s="6" t="s">
        <v>160</v>
      </c>
      <c r="M62" s="6"/>
      <c r="N62" s="6" t="n">
        <v>14</v>
      </c>
      <c r="O62" s="6" t="n">
        <v>10</v>
      </c>
      <c r="P62" s="6" t="s">
        <v>940</v>
      </c>
    </row>
    <row r="63" customFormat="false" ht="15" hidden="false" customHeight="false" outlineLevel="0" collapsed="false">
      <c r="A63" s="6" t="s">
        <v>668</v>
      </c>
      <c r="B63" s="6" t="s">
        <v>51</v>
      </c>
      <c r="C63" s="6" t="s">
        <v>844</v>
      </c>
      <c r="D63" s="6" t="s">
        <v>941</v>
      </c>
      <c r="E63" s="6" t="s">
        <v>794</v>
      </c>
      <c r="F63" s="6" t="n">
        <v>800</v>
      </c>
      <c r="G63" s="6" t="s">
        <v>795</v>
      </c>
      <c r="H63" s="7" t="n">
        <v>0.8</v>
      </c>
      <c r="I63" s="7" t="n">
        <v>640</v>
      </c>
      <c r="J63" s="7" t="n">
        <v>330</v>
      </c>
      <c r="K63" s="7" t="n">
        <v>51.6</v>
      </c>
      <c r="L63" s="6" t="s">
        <v>160</v>
      </c>
      <c r="M63" s="6"/>
      <c r="N63" s="6" t="n">
        <v>14</v>
      </c>
      <c r="O63" s="6" t="n">
        <v>10</v>
      </c>
      <c r="P63" s="6" t="s">
        <v>942</v>
      </c>
    </row>
    <row r="64" customFormat="false" ht="15" hidden="false" customHeight="false" outlineLevel="0" collapsed="false">
      <c r="A64" s="6" t="s">
        <v>680</v>
      </c>
      <c r="B64" s="6" t="s">
        <v>51</v>
      </c>
      <c r="C64" s="6" t="s">
        <v>844</v>
      </c>
      <c r="D64" s="6" t="s">
        <v>943</v>
      </c>
      <c r="E64" s="6" t="s">
        <v>794</v>
      </c>
      <c r="F64" s="6" t="n">
        <v>800</v>
      </c>
      <c r="G64" s="6" t="s">
        <v>795</v>
      </c>
      <c r="H64" s="7" t="n">
        <v>0.8</v>
      </c>
      <c r="I64" s="7" t="n">
        <v>640</v>
      </c>
      <c r="J64" s="7" t="n">
        <v>345</v>
      </c>
      <c r="K64" s="7" t="n">
        <v>53.9</v>
      </c>
      <c r="L64" s="6" t="s">
        <v>160</v>
      </c>
      <c r="M64" s="6"/>
      <c r="N64" s="6" t="n">
        <v>14</v>
      </c>
      <c r="O64" s="6" t="n">
        <v>10</v>
      </c>
      <c r="P64" s="6" t="s">
        <v>944</v>
      </c>
    </row>
    <row r="65" customFormat="false" ht="15" hidden="false" customHeight="false" outlineLevel="0" collapsed="false">
      <c r="A65" s="6" t="s">
        <v>692</v>
      </c>
      <c r="B65" s="6" t="s">
        <v>51</v>
      </c>
      <c r="C65" s="6" t="s">
        <v>844</v>
      </c>
      <c r="D65" s="6" t="s">
        <v>945</v>
      </c>
      <c r="E65" s="6" t="s">
        <v>794</v>
      </c>
      <c r="F65" s="6" t="n">
        <v>800</v>
      </c>
      <c r="G65" s="6" t="s">
        <v>795</v>
      </c>
      <c r="H65" s="7" t="n">
        <v>0.8</v>
      </c>
      <c r="I65" s="7" t="n">
        <v>640</v>
      </c>
      <c r="J65" s="7" t="n">
        <v>345</v>
      </c>
      <c r="K65" s="7" t="n">
        <v>53.9</v>
      </c>
      <c r="L65" s="6" t="s">
        <v>160</v>
      </c>
      <c r="M65" s="6"/>
      <c r="N65" s="6" t="n">
        <v>14</v>
      </c>
      <c r="O65" s="6" t="n">
        <v>10</v>
      </c>
      <c r="P65" s="6" t="s">
        <v>946</v>
      </c>
    </row>
    <row r="66" customFormat="false" ht="15" hidden="false" customHeight="false" outlineLevel="0" collapsed="false">
      <c r="A66" s="6" t="s">
        <v>704</v>
      </c>
      <c r="B66" s="6" t="s">
        <v>51</v>
      </c>
      <c r="C66" s="6" t="s">
        <v>844</v>
      </c>
      <c r="D66" s="6" t="s">
        <v>947</v>
      </c>
      <c r="E66" s="6" t="s">
        <v>794</v>
      </c>
      <c r="F66" s="6" t="n">
        <v>800</v>
      </c>
      <c r="G66" s="6" t="s">
        <v>795</v>
      </c>
      <c r="H66" s="7" t="n">
        <v>0.8</v>
      </c>
      <c r="I66" s="7" t="n">
        <v>640</v>
      </c>
      <c r="J66" s="7" t="n">
        <v>315</v>
      </c>
      <c r="K66" s="7" t="n">
        <v>49.2</v>
      </c>
      <c r="L66" s="6" t="s">
        <v>160</v>
      </c>
      <c r="M66" s="6"/>
      <c r="N66" s="6" t="n">
        <v>14</v>
      </c>
      <c r="O66" s="6" t="n">
        <v>10</v>
      </c>
      <c r="P66" s="6" t="s">
        <v>948</v>
      </c>
    </row>
    <row r="67" customFormat="false" ht="15" hidden="false" customHeight="false" outlineLevel="0" collapsed="false">
      <c r="A67" s="6" t="s">
        <v>716</v>
      </c>
      <c r="B67" s="6" t="s">
        <v>51</v>
      </c>
      <c r="C67" s="6" t="s">
        <v>844</v>
      </c>
      <c r="D67" s="6" t="s">
        <v>949</v>
      </c>
      <c r="E67" s="6" t="s">
        <v>794</v>
      </c>
      <c r="F67" s="6" t="n">
        <v>800</v>
      </c>
      <c r="G67" s="6" t="s">
        <v>795</v>
      </c>
      <c r="H67" s="7" t="n">
        <v>0.8</v>
      </c>
      <c r="I67" s="7" t="n">
        <v>640</v>
      </c>
      <c r="J67" s="7" t="n">
        <v>315</v>
      </c>
      <c r="K67" s="7" t="n">
        <v>49.2</v>
      </c>
      <c r="L67" s="6" t="s">
        <v>160</v>
      </c>
      <c r="M67" s="6"/>
      <c r="N67" s="6" t="n">
        <v>14</v>
      </c>
      <c r="O67" s="6" t="n">
        <v>10</v>
      </c>
      <c r="P67" s="6" t="s">
        <v>950</v>
      </c>
    </row>
    <row r="68" customFormat="false" ht="15" hidden="false" customHeight="false" outlineLevel="0" collapsed="false">
      <c r="A68" s="6" t="s">
        <v>728</v>
      </c>
      <c r="B68" s="6" t="s">
        <v>51</v>
      </c>
      <c r="C68" s="6" t="s">
        <v>844</v>
      </c>
      <c r="D68" s="6" t="s">
        <v>951</v>
      </c>
      <c r="E68" s="6" t="s">
        <v>794</v>
      </c>
      <c r="F68" s="6" t="n">
        <v>800</v>
      </c>
      <c r="G68" s="6" t="s">
        <v>795</v>
      </c>
      <c r="H68" s="7" t="n">
        <v>0.8</v>
      </c>
      <c r="I68" s="7" t="n">
        <v>640</v>
      </c>
      <c r="J68" s="7" t="n">
        <v>335</v>
      </c>
      <c r="K68" s="7" t="n">
        <v>52.3</v>
      </c>
      <c r="L68" s="6" t="s">
        <v>160</v>
      </c>
      <c r="M68" s="6"/>
      <c r="N68" s="6" t="n">
        <v>14</v>
      </c>
      <c r="O68" s="6" t="n">
        <v>10</v>
      </c>
      <c r="P68" s="6" t="s">
        <v>952</v>
      </c>
    </row>
    <row r="69" customFormat="false" ht="15" hidden="false" customHeight="false" outlineLevel="0" collapsed="false">
      <c r="A69" s="6" t="s">
        <v>740</v>
      </c>
      <c r="B69" s="6" t="s">
        <v>51</v>
      </c>
      <c r="C69" s="6" t="s">
        <v>844</v>
      </c>
      <c r="D69" s="6" t="s">
        <v>953</v>
      </c>
      <c r="E69" s="6" t="s">
        <v>794</v>
      </c>
      <c r="F69" s="6" t="n">
        <v>800</v>
      </c>
      <c r="G69" s="6" t="s">
        <v>795</v>
      </c>
      <c r="H69" s="7" t="n">
        <v>0.8</v>
      </c>
      <c r="I69" s="7" t="n">
        <v>640</v>
      </c>
      <c r="J69" s="7" t="n">
        <v>335</v>
      </c>
      <c r="K69" s="7" t="n">
        <v>52.3</v>
      </c>
      <c r="L69" s="6" t="s">
        <v>160</v>
      </c>
      <c r="M69" s="6"/>
      <c r="N69" s="6" t="n">
        <v>14</v>
      </c>
      <c r="O69" s="6" t="n">
        <v>10</v>
      </c>
      <c r="P69" s="6" t="s">
        <v>954</v>
      </c>
    </row>
    <row r="70" customFormat="false" ht="15" hidden="false" customHeight="false" outlineLevel="0" collapsed="false">
      <c r="A70" s="6" t="s">
        <v>752</v>
      </c>
      <c r="B70" s="6" t="s">
        <v>51</v>
      </c>
      <c r="C70" s="6" t="s">
        <v>844</v>
      </c>
      <c r="D70" s="6" t="s">
        <v>955</v>
      </c>
      <c r="E70" s="6" t="s">
        <v>794</v>
      </c>
      <c r="F70" s="6" t="n">
        <v>800</v>
      </c>
      <c r="G70" s="6" t="s">
        <v>795</v>
      </c>
      <c r="H70" s="7" t="n">
        <v>0.8</v>
      </c>
      <c r="I70" s="7" t="n">
        <v>640</v>
      </c>
      <c r="J70" s="7" t="n">
        <v>355</v>
      </c>
      <c r="K70" s="7" t="n">
        <v>55.5</v>
      </c>
      <c r="L70" s="6" t="s">
        <v>160</v>
      </c>
      <c r="M70" s="6"/>
      <c r="N70" s="6" t="n">
        <v>14</v>
      </c>
      <c r="O70" s="6" t="n">
        <v>10</v>
      </c>
      <c r="P70" s="6" t="s">
        <v>956</v>
      </c>
    </row>
    <row r="71" customFormat="false" ht="15" hidden="false" customHeight="false" outlineLevel="0" collapsed="false">
      <c r="A71" s="6" t="s">
        <v>764</v>
      </c>
      <c r="B71" s="6" t="s">
        <v>51</v>
      </c>
      <c r="C71" s="6" t="s">
        <v>844</v>
      </c>
      <c r="D71" s="6" t="s">
        <v>957</v>
      </c>
      <c r="E71" s="6" t="s">
        <v>794</v>
      </c>
      <c r="F71" s="6" t="n">
        <v>800</v>
      </c>
      <c r="G71" s="6" t="s">
        <v>795</v>
      </c>
      <c r="H71" s="7" t="n">
        <v>0.8</v>
      </c>
      <c r="I71" s="7" t="n">
        <v>640</v>
      </c>
      <c r="J71" s="7" t="n">
        <v>355</v>
      </c>
      <c r="K71" s="7" t="n">
        <v>55.5</v>
      </c>
      <c r="L71" s="6" t="s">
        <v>160</v>
      </c>
      <c r="M71" s="6"/>
      <c r="N71" s="6" t="n">
        <v>14</v>
      </c>
      <c r="O71" s="6" t="n">
        <v>10</v>
      </c>
      <c r="P71" s="6" t="s">
        <v>958</v>
      </c>
    </row>
    <row r="72" customFormat="false" ht="15" hidden="false" customHeight="false" outlineLevel="0" collapsed="false">
      <c r="A72" s="6" t="s">
        <v>959</v>
      </c>
      <c r="B72" s="6" t="s">
        <v>51</v>
      </c>
      <c r="C72" s="6" t="s">
        <v>960</v>
      </c>
      <c r="D72" s="6" t="s">
        <v>961</v>
      </c>
      <c r="E72" s="6" t="s">
        <v>962</v>
      </c>
      <c r="F72" s="8" t="n">
        <v>2200</v>
      </c>
      <c r="G72" s="6" t="s">
        <v>963</v>
      </c>
      <c r="H72" s="7" t="n">
        <v>0.85</v>
      </c>
      <c r="I72" s="7" t="n">
        <v>1870</v>
      </c>
      <c r="J72" s="6" t="n">
        <v>0</v>
      </c>
      <c r="K72" s="7" t="n">
        <v>0</v>
      </c>
      <c r="L72" s="6" t="s">
        <v>810</v>
      </c>
      <c r="M72" s="6" t="s">
        <v>964</v>
      </c>
      <c r="N72" s="6" t="n">
        <v>180</v>
      </c>
      <c r="O72" s="6" t="n">
        <v>20</v>
      </c>
      <c r="P72" s="6"/>
    </row>
    <row r="73" customFormat="false" ht="15" hidden="false" customHeight="false" outlineLevel="0" collapsed="false">
      <c r="A73" s="6" t="s">
        <v>964</v>
      </c>
      <c r="B73" s="6" t="s">
        <v>51</v>
      </c>
      <c r="C73" s="6" t="s">
        <v>960</v>
      </c>
      <c r="D73" s="6" t="s">
        <v>965</v>
      </c>
      <c r="E73" s="6" t="s">
        <v>962</v>
      </c>
      <c r="F73" s="8" t="n">
        <v>2200</v>
      </c>
      <c r="G73" s="6" t="s">
        <v>963</v>
      </c>
      <c r="H73" s="7" t="n">
        <v>0.85</v>
      </c>
      <c r="I73" s="7" t="n">
        <v>1870</v>
      </c>
      <c r="J73" s="6" t="n">
        <v>0</v>
      </c>
      <c r="K73" s="7" t="n">
        <v>0</v>
      </c>
      <c r="L73" s="6" t="s">
        <v>810</v>
      </c>
      <c r="M73" s="6" t="s">
        <v>959</v>
      </c>
      <c r="N73" s="6" t="n">
        <v>180</v>
      </c>
      <c r="O73" s="6" t="n">
        <v>20</v>
      </c>
      <c r="P73" s="6"/>
    </row>
    <row r="74" customFormat="false" ht="15" hidden="false" customHeight="false" outlineLevel="0" collapsed="false">
      <c r="A74" s="6" t="s">
        <v>966</v>
      </c>
      <c r="B74" s="6" t="s">
        <v>51</v>
      </c>
      <c r="C74" s="6" t="s">
        <v>967</v>
      </c>
      <c r="D74" s="6" t="s">
        <v>968</v>
      </c>
      <c r="E74" s="6" t="s">
        <v>962</v>
      </c>
      <c r="F74" s="8" t="n">
        <v>1800</v>
      </c>
      <c r="G74" s="6" t="s">
        <v>963</v>
      </c>
      <c r="H74" s="7" t="n">
        <v>0.85</v>
      </c>
      <c r="I74" s="7" t="n">
        <v>1530</v>
      </c>
      <c r="J74" s="6" t="n">
        <v>0</v>
      </c>
      <c r="K74" s="7" t="n">
        <v>0</v>
      </c>
      <c r="L74" s="6" t="s">
        <v>810</v>
      </c>
      <c r="M74" s="6" t="s">
        <v>969</v>
      </c>
      <c r="N74" s="6" t="n">
        <v>320</v>
      </c>
      <c r="O74" s="6" t="n">
        <v>24</v>
      </c>
      <c r="P74" s="6"/>
    </row>
    <row r="75" customFormat="false" ht="15" hidden="false" customHeight="false" outlineLevel="0" collapsed="false">
      <c r="A75" s="6" t="s">
        <v>969</v>
      </c>
      <c r="B75" s="6" t="s">
        <v>51</v>
      </c>
      <c r="C75" s="6" t="s">
        <v>967</v>
      </c>
      <c r="D75" s="6" t="s">
        <v>970</v>
      </c>
      <c r="E75" s="6" t="s">
        <v>962</v>
      </c>
      <c r="F75" s="8" t="n">
        <v>1800</v>
      </c>
      <c r="G75" s="6" t="s">
        <v>963</v>
      </c>
      <c r="H75" s="7" t="n">
        <v>0.85</v>
      </c>
      <c r="I75" s="7" t="n">
        <v>1530</v>
      </c>
      <c r="J75" s="6" t="n">
        <v>0</v>
      </c>
      <c r="K75" s="7" t="n">
        <v>0</v>
      </c>
      <c r="L75" s="6" t="s">
        <v>810</v>
      </c>
      <c r="M75" s="6" t="s">
        <v>966</v>
      </c>
      <c r="N75" s="6" t="n">
        <v>320</v>
      </c>
      <c r="O75" s="6" t="n">
        <v>24</v>
      </c>
      <c r="P75" s="6"/>
    </row>
    <row r="76" customFormat="false" ht="15" hidden="false" customHeight="false" outlineLevel="0" collapsed="false">
      <c r="A76" s="6" t="s">
        <v>971</v>
      </c>
      <c r="B76" s="6" t="s">
        <v>51</v>
      </c>
      <c r="C76" s="6" t="s">
        <v>972</v>
      </c>
      <c r="D76" s="6" t="s">
        <v>973</v>
      </c>
      <c r="E76" s="6" t="s">
        <v>962</v>
      </c>
      <c r="F76" s="8" t="n">
        <v>9000</v>
      </c>
      <c r="G76" s="6" t="s">
        <v>974</v>
      </c>
      <c r="H76" s="7" t="n">
        <v>0.85</v>
      </c>
      <c r="I76" s="7" t="n">
        <v>7650</v>
      </c>
      <c r="J76" s="7" t="n">
        <v>4590.9</v>
      </c>
      <c r="K76" s="7" t="n">
        <v>60</v>
      </c>
      <c r="L76" s="6" t="s">
        <v>810</v>
      </c>
      <c r="M76" s="6"/>
      <c r="N76" s="6" t="n">
        <v>110</v>
      </c>
      <c r="O76" s="6" t="n">
        <v>16</v>
      </c>
      <c r="P76" s="6" t="s">
        <v>975</v>
      </c>
    </row>
    <row r="77" customFormat="false" ht="15" hidden="false" customHeight="false" outlineLevel="0" collapsed="false">
      <c r="A77" s="6" t="s">
        <v>976</v>
      </c>
      <c r="B77" s="6" t="s">
        <v>51</v>
      </c>
      <c r="C77" s="6" t="s">
        <v>972</v>
      </c>
      <c r="D77" s="6" t="s">
        <v>977</v>
      </c>
      <c r="E77" s="6" t="s">
        <v>962</v>
      </c>
      <c r="F77" s="8" t="n">
        <v>9000</v>
      </c>
      <c r="G77" s="6" t="s">
        <v>974</v>
      </c>
      <c r="H77" s="7" t="n">
        <v>0.85</v>
      </c>
      <c r="I77" s="7" t="n">
        <v>7650</v>
      </c>
      <c r="J77" s="7" t="n">
        <v>11677</v>
      </c>
      <c r="K77" s="7" t="n">
        <v>152.6</v>
      </c>
      <c r="L77" s="6" t="s">
        <v>810</v>
      </c>
      <c r="M77" s="6"/>
      <c r="N77" s="6" t="n">
        <v>110</v>
      </c>
      <c r="O77" s="6" t="n">
        <v>16</v>
      </c>
      <c r="P77" s="6" t="s">
        <v>975</v>
      </c>
    </row>
    <row r="78" customFormat="false" ht="15" hidden="false" customHeight="false" outlineLevel="0" collapsed="false">
      <c r="A78" s="6" t="s">
        <v>194</v>
      </c>
      <c r="B78" s="6" t="s">
        <v>51</v>
      </c>
      <c r="C78" s="6" t="s">
        <v>978</v>
      </c>
      <c r="D78" s="6" t="s">
        <v>979</v>
      </c>
      <c r="E78" s="6" t="s">
        <v>962</v>
      </c>
      <c r="F78" s="6" t="n">
        <v>210</v>
      </c>
      <c r="G78" s="6" t="s">
        <v>795</v>
      </c>
      <c r="H78" s="7" t="n">
        <v>0.9</v>
      </c>
      <c r="I78" s="7" t="n">
        <v>189</v>
      </c>
      <c r="J78" s="7" t="n">
        <v>77.5</v>
      </c>
      <c r="K78" s="7" t="n">
        <v>41</v>
      </c>
      <c r="L78" s="6" t="s">
        <v>160</v>
      </c>
      <c r="M78" s="6"/>
      <c r="N78" s="6" t="n">
        <v>40</v>
      </c>
      <c r="O78" s="6" t="n">
        <v>8</v>
      </c>
      <c r="P78" s="6" t="s">
        <v>980</v>
      </c>
    </row>
    <row r="79" customFormat="false" ht="15" hidden="false" customHeight="false" outlineLevel="0" collapsed="false">
      <c r="A79" s="6" t="s">
        <v>206</v>
      </c>
      <c r="B79" s="6" t="s">
        <v>51</v>
      </c>
      <c r="C79" s="6" t="s">
        <v>978</v>
      </c>
      <c r="D79" s="6" t="s">
        <v>981</v>
      </c>
      <c r="E79" s="6" t="s">
        <v>962</v>
      </c>
      <c r="F79" s="6" t="n">
        <v>210</v>
      </c>
      <c r="G79" s="6" t="s">
        <v>795</v>
      </c>
      <c r="H79" s="7" t="n">
        <v>0.9</v>
      </c>
      <c r="I79" s="7" t="n">
        <v>189</v>
      </c>
      <c r="J79" s="7" t="n">
        <v>77.5</v>
      </c>
      <c r="K79" s="7" t="n">
        <v>41</v>
      </c>
      <c r="L79" s="6" t="s">
        <v>160</v>
      </c>
      <c r="M79" s="6"/>
      <c r="N79" s="6" t="n">
        <v>40</v>
      </c>
      <c r="O79" s="6" t="n">
        <v>8</v>
      </c>
      <c r="P79" s="6" t="s">
        <v>980</v>
      </c>
    </row>
    <row r="80" customFormat="false" ht="15" hidden="false" customHeight="false" outlineLevel="0" collapsed="false">
      <c r="A80" s="6" t="s">
        <v>219</v>
      </c>
      <c r="B80" s="6" t="s">
        <v>51</v>
      </c>
      <c r="C80" s="6" t="s">
        <v>978</v>
      </c>
      <c r="D80" s="6" t="s">
        <v>982</v>
      </c>
      <c r="E80" s="6" t="s">
        <v>962</v>
      </c>
      <c r="F80" s="6" t="n">
        <v>210</v>
      </c>
      <c r="G80" s="6" t="s">
        <v>795</v>
      </c>
      <c r="H80" s="7" t="n">
        <v>0.9</v>
      </c>
      <c r="I80" s="7" t="n">
        <v>189</v>
      </c>
      <c r="J80" s="7" t="n">
        <v>81</v>
      </c>
      <c r="K80" s="7" t="n">
        <v>42.9</v>
      </c>
      <c r="L80" s="6" t="s">
        <v>160</v>
      </c>
      <c r="M80" s="6"/>
      <c r="N80" s="6" t="n">
        <v>40</v>
      </c>
      <c r="O80" s="6" t="n">
        <v>8</v>
      </c>
      <c r="P80" s="6" t="s">
        <v>983</v>
      </c>
    </row>
    <row r="81" customFormat="false" ht="15" hidden="false" customHeight="false" outlineLevel="0" collapsed="false">
      <c r="A81" s="6" t="s">
        <v>231</v>
      </c>
      <c r="B81" s="6" t="s">
        <v>51</v>
      </c>
      <c r="C81" s="6" t="s">
        <v>978</v>
      </c>
      <c r="D81" s="6" t="s">
        <v>984</v>
      </c>
      <c r="E81" s="6" t="s">
        <v>962</v>
      </c>
      <c r="F81" s="6" t="n">
        <v>210</v>
      </c>
      <c r="G81" s="6" t="s">
        <v>795</v>
      </c>
      <c r="H81" s="7" t="n">
        <v>0.9</v>
      </c>
      <c r="I81" s="7" t="n">
        <v>189</v>
      </c>
      <c r="J81" s="7" t="n">
        <v>81</v>
      </c>
      <c r="K81" s="7" t="n">
        <v>42.9</v>
      </c>
      <c r="L81" s="6" t="s">
        <v>160</v>
      </c>
      <c r="M81" s="6"/>
      <c r="N81" s="6" t="n">
        <v>40</v>
      </c>
      <c r="O81" s="6" t="n">
        <v>8</v>
      </c>
      <c r="P81" s="6" t="s">
        <v>983</v>
      </c>
    </row>
    <row r="82" customFormat="false" ht="15" hidden="false" customHeight="false" outlineLevel="0" collapsed="false">
      <c r="A82" s="6" t="s">
        <v>244</v>
      </c>
      <c r="B82" s="6" t="s">
        <v>51</v>
      </c>
      <c r="C82" s="6" t="s">
        <v>978</v>
      </c>
      <c r="D82" s="6" t="s">
        <v>985</v>
      </c>
      <c r="E82" s="6" t="s">
        <v>962</v>
      </c>
      <c r="F82" s="6" t="n">
        <v>250</v>
      </c>
      <c r="G82" s="6" t="s">
        <v>795</v>
      </c>
      <c r="H82" s="7" t="n">
        <v>0.9</v>
      </c>
      <c r="I82" s="7" t="n">
        <v>225</v>
      </c>
      <c r="J82" s="7" t="n">
        <v>74</v>
      </c>
      <c r="K82" s="7" t="n">
        <v>32.9</v>
      </c>
      <c r="L82" s="6" t="s">
        <v>160</v>
      </c>
      <c r="M82" s="6"/>
      <c r="N82" s="6" t="n">
        <v>40</v>
      </c>
      <c r="O82" s="6" t="n">
        <v>8</v>
      </c>
      <c r="P82" s="6" t="s">
        <v>986</v>
      </c>
    </row>
    <row r="83" customFormat="false" ht="15" hidden="false" customHeight="false" outlineLevel="0" collapsed="false">
      <c r="A83" s="6" t="s">
        <v>256</v>
      </c>
      <c r="B83" s="6" t="s">
        <v>51</v>
      </c>
      <c r="C83" s="6" t="s">
        <v>978</v>
      </c>
      <c r="D83" s="6" t="s">
        <v>987</v>
      </c>
      <c r="E83" s="6" t="s">
        <v>962</v>
      </c>
      <c r="F83" s="6" t="n">
        <v>250</v>
      </c>
      <c r="G83" s="6" t="s">
        <v>795</v>
      </c>
      <c r="H83" s="7" t="n">
        <v>0.9</v>
      </c>
      <c r="I83" s="7" t="n">
        <v>225</v>
      </c>
      <c r="J83" s="7" t="n">
        <v>74</v>
      </c>
      <c r="K83" s="7" t="n">
        <v>32.9</v>
      </c>
      <c r="L83" s="6" t="s">
        <v>160</v>
      </c>
      <c r="M83" s="6"/>
      <c r="N83" s="6" t="n">
        <v>40</v>
      </c>
      <c r="O83" s="6" t="n">
        <v>8</v>
      </c>
      <c r="P83" s="6" t="s">
        <v>986</v>
      </c>
    </row>
    <row r="84" customFormat="false" ht="15" hidden="false" customHeight="false" outlineLevel="0" collapsed="false">
      <c r="A84" s="6" t="s">
        <v>270</v>
      </c>
      <c r="B84" s="6" t="s">
        <v>51</v>
      </c>
      <c r="C84" s="6" t="s">
        <v>978</v>
      </c>
      <c r="D84" s="6" t="s">
        <v>988</v>
      </c>
      <c r="E84" s="6" t="s">
        <v>962</v>
      </c>
      <c r="F84" s="6" t="n">
        <v>210</v>
      </c>
      <c r="G84" s="6" t="s">
        <v>795</v>
      </c>
      <c r="H84" s="7" t="n">
        <v>0.9</v>
      </c>
      <c r="I84" s="7" t="n">
        <v>189</v>
      </c>
      <c r="J84" s="7" t="n">
        <v>84</v>
      </c>
      <c r="K84" s="7" t="n">
        <v>44.4</v>
      </c>
      <c r="L84" s="6" t="s">
        <v>160</v>
      </c>
      <c r="M84" s="6"/>
      <c r="N84" s="6" t="n">
        <v>40</v>
      </c>
      <c r="O84" s="6" t="n">
        <v>8</v>
      </c>
      <c r="P84" s="6" t="s">
        <v>989</v>
      </c>
    </row>
    <row r="85" customFormat="false" ht="15" hidden="false" customHeight="false" outlineLevel="0" collapsed="false">
      <c r="A85" s="6" t="s">
        <v>282</v>
      </c>
      <c r="B85" s="6" t="s">
        <v>51</v>
      </c>
      <c r="C85" s="6" t="s">
        <v>978</v>
      </c>
      <c r="D85" s="6" t="s">
        <v>990</v>
      </c>
      <c r="E85" s="6" t="s">
        <v>962</v>
      </c>
      <c r="F85" s="6" t="n">
        <v>210</v>
      </c>
      <c r="G85" s="6" t="s">
        <v>795</v>
      </c>
      <c r="H85" s="7" t="n">
        <v>0.9</v>
      </c>
      <c r="I85" s="7" t="n">
        <v>189</v>
      </c>
      <c r="J85" s="7" t="n">
        <v>84</v>
      </c>
      <c r="K85" s="7" t="n">
        <v>44.4</v>
      </c>
      <c r="L85" s="6" t="s">
        <v>160</v>
      </c>
      <c r="M85" s="6"/>
      <c r="N85" s="6" t="n">
        <v>40</v>
      </c>
      <c r="O85" s="6" t="n">
        <v>8</v>
      </c>
      <c r="P85" s="6" t="s">
        <v>989</v>
      </c>
    </row>
    <row r="86" customFormat="false" ht="15" hidden="false" customHeight="false" outlineLevel="0" collapsed="false">
      <c r="A86" s="6" t="s">
        <v>295</v>
      </c>
      <c r="B86" s="6" t="s">
        <v>51</v>
      </c>
      <c r="C86" s="6" t="s">
        <v>978</v>
      </c>
      <c r="D86" s="6" t="s">
        <v>991</v>
      </c>
      <c r="E86" s="6" t="s">
        <v>962</v>
      </c>
      <c r="F86" s="6" t="n">
        <v>210</v>
      </c>
      <c r="G86" s="6" t="s">
        <v>795</v>
      </c>
      <c r="H86" s="7" t="n">
        <v>0.9</v>
      </c>
      <c r="I86" s="7" t="n">
        <v>189</v>
      </c>
      <c r="J86" s="7" t="n">
        <v>75.5</v>
      </c>
      <c r="K86" s="7" t="n">
        <v>39.9</v>
      </c>
      <c r="L86" s="6" t="s">
        <v>160</v>
      </c>
      <c r="M86" s="6"/>
      <c r="N86" s="6" t="n">
        <v>40</v>
      </c>
      <c r="O86" s="6" t="n">
        <v>8</v>
      </c>
      <c r="P86" s="6" t="s">
        <v>992</v>
      </c>
    </row>
    <row r="87" customFormat="false" ht="15" hidden="false" customHeight="false" outlineLevel="0" collapsed="false">
      <c r="A87" s="6" t="s">
        <v>307</v>
      </c>
      <c r="B87" s="6" t="s">
        <v>51</v>
      </c>
      <c r="C87" s="6" t="s">
        <v>978</v>
      </c>
      <c r="D87" s="6" t="s">
        <v>993</v>
      </c>
      <c r="E87" s="6" t="s">
        <v>962</v>
      </c>
      <c r="F87" s="6" t="n">
        <v>210</v>
      </c>
      <c r="G87" s="6" t="s">
        <v>795</v>
      </c>
      <c r="H87" s="7" t="n">
        <v>0.9</v>
      </c>
      <c r="I87" s="7" t="n">
        <v>189</v>
      </c>
      <c r="J87" s="7" t="n">
        <v>75.5</v>
      </c>
      <c r="K87" s="7" t="n">
        <v>39.9</v>
      </c>
      <c r="L87" s="6" t="s">
        <v>160</v>
      </c>
      <c r="M87" s="6"/>
      <c r="N87" s="6" t="n">
        <v>40</v>
      </c>
      <c r="O87" s="6" t="n">
        <v>8</v>
      </c>
      <c r="P87" s="6" t="s">
        <v>992</v>
      </c>
    </row>
    <row r="88" customFormat="false" ht="15" hidden="false" customHeight="false" outlineLevel="0" collapsed="false">
      <c r="A88" s="6" t="s">
        <v>320</v>
      </c>
      <c r="B88" s="6" t="s">
        <v>51</v>
      </c>
      <c r="C88" s="6" t="s">
        <v>978</v>
      </c>
      <c r="D88" s="6" t="s">
        <v>994</v>
      </c>
      <c r="E88" s="6" t="s">
        <v>962</v>
      </c>
      <c r="F88" s="6" t="n">
        <v>210</v>
      </c>
      <c r="G88" s="6" t="s">
        <v>795</v>
      </c>
      <c r="H88" s="7" t="n">
        <v>0.9</v>
      </c>
      <c r="I88" s="7" t="n">
        <v>189</v>
      </c>
      <c r="J88" s="7" t="n">
        <v>79.5</v>
      </c>
      <c r="K88" s="7" t="n">
        <v>42.1</v>
      </c>
      <c r="L88" s="6" t="s">
        <v>160</v>
      </c>
      <c r="M88" s="6"/>
      <c r="N88" s="6" t="n">
        <v>40</v>
      </c>
      <c r="O88" s="6" t="n">
        <v>8</v>
      </c>
      <c r="P88" s="6" t="s">
        <v>995</v>
      </c>
    </row>
    <row r="89" customFormat="false" ht="15" hidden="false" customHeight="false" outlineLevel="0" collapsed="false">
      <c r="A89" s="6" t="s">
        <v>332</v>
      </c>
      <c r="B89" s="6" t="s">
        <v>51</v>
      </c>
      <c r="C89" s="6" t="s">
        <v>978</v>
      </c>
      <c r="D89" s="6" t="s">
        <v>996</v>
      </c>
      <c r="E89" s="6" t="s">
        <v>962</v>
      </c>
      <c r="F89" s="6" t="n">
        <v>210</v>
      </c>
      <c r="G89" s="6" t="s">
        <v>795</v>
      </c>
      <c r="H89" s="7" t="n">
        <v>0.9</v>
      </c>
      <c r="I89" s="7" t="n">
        <v>189</v>
      </c>
      <c r="J89" s="7" t="n">
        <v>79.5</v>
      </c>
      <c r="K89" s="7" t="n">
        <v>42.1</v>
      </c>
      <c r="L89" s="6" t="s">
        <v>160</v>
      </c>
      <c r="M89" s="6"/>
      <c r="N89" s="6" t="n">
        <v>40</v>
      </c>
      <c r="O89" s="6" t="n">
        <v>8</v>
      </c>
      <c r="P89" s="6" t="s">
        <v>995</v>
      </c>
    </row>
    <row r="90" customFormat="false" ht="15" hidden="false" customHeight="false" outlineLevel="0" collapsed="false">
      <c r="A90" s="6" t="s">
        <v>344</v>
      </c>
      <c r="B90" s="6" t="s">
        <v>51</v>
      </c>
      <c r="C90" s="6" t="s">
        <v>978</v>
      </c>
      <c r="D90" s="6" t="s">
        <v>997</v>
      </c>
      <c r="E90" s="6" t="s">
        <v>962</v>
      </c>
      <c r="F90" s="6" t="n">
        <v>200</v>
      </c>
      <c r="G90" s="6" t="s">
        <v>795</v>
      </c>
      <c r="H90" s="7" t="n">
        <v>0.9</v>
      </c>
      <c r="I90" s="7" t="n">
        <v>180</v>
      </c>
      <c r="J90" s="7" t="n">
        <v>100</v>
      </c>
      <c r="K90" s="7" t="n">
        <v>55.6</v>
      </c>
      <c r="L90" s="6" t="s">
        <v>160</v>
      </c>
      <c r="M90" s="6"/>
      <c r="N90" s="6" t="n">
        <v>40</v>
      </c>
      <c r="O90" s="6" t="n">
        <v>8</v>
      </c>
      <c r="P90" s="6" t="s">
        <v>998</v>
      </c>
    </row>
    <row r="91" customFormat="false" ht="15" hidden="false" customHeight="false" outlineLevel="0" collapsed="false">
      <c r="A91" s="6" t="s">
        <v>356</v>
      </c>
      <c r="B91" s="6" t="s">
        <v>51</v>
      </c>
      <c r="C91" s="6" t="s">
        <v>978</v>
      </c>
      <c r="D91" s="6" t="s">
        <v>999</v>
      </c>
      <c r="E91" s="6" t="s">
        <v>962</v>
      </c>
      <c r="F91" s="6" t="n">
        <v>200</v>
      </c>
      <c r="G91" s="6" t="s">
        <v>795</v>
      </c>
      <c r="H91" s="7" t="n">
        <v>0.9</v>
      </c>
      <c r="I91" s="7" t="n">
        <v>180</v>
      </c>
      <c r="J91" s="7" t="n">
        <v>100</v>
      </c>
      <c r="K91" s="7" t="n">
        <v>55.6</v>
      </c>
      <c r="L91" s="6" t="s">
        <v>160</v>
      </c>
      <c r="M91" s="6"/>
      <c r="N91" s="6" t="n">
        <v>40</v>
      </c>
      <c r="O91" s="6" t="n">
        <v>8</v>
      </c>
      <c r="P91" s="6" t="s">
        <v>998</v>
      </c>
    </row>
    <row r="92" customFormat="false" ht="15" hidden="false" customHeight="false" outlineLevel="0" collapsed="false">
      <c r="A92" s="6" t="s">
        <v>368</v>
      </c>
      <c r="B92" s="6" t="s">
        <v>51</v>
      </c>
      <c r="C92" s="6" t="s">
        <v>978</v>
      </c>
      <c r="D92" s="6" t="s">
        <v>1000</v>
      </c>
      <c r="E92" s="6" t="s">
        <v>962</v>
      </c>
      <c r="F92" s="6" t="n">
        <v>210</v>
      </c>
      <c r="G92" s="6" t="s">
        <v>795</v>
      </c>
      <c r="H92" s="7" t="n">
        <v>0.9</v>
      </c>
      <c r="I92" s="7" t="n">
        <v>189</v>
      </c>
      <c r="J92" s="7" t="n">
        <v>72.5</v>
      </c>
      <c r="K92" s="7" t="n">
        <v>38.4</v>
      </c>
      <c r="L92" s="6" t="s">
        <v>160</v>
      </c>
      <c r="M92" s="6"/>
      <c r="N92" s="6" t="n">
        <v>40</v>
      </c>
      <c r="O92" s="6" t="n">
        <v>8</v>
      </c>
      <c r="P92" s="6" t="s">
        <v>1001</v>
      </c>
    </row>
    <row r="93" customFormat="false" ht="15" hidden="false" customHeight="false" outlineLevel="0" collapsed="false">
      <c r="A93" s="6" t="s">
        <v>380</v>
      </c>
      <c r="B93" s="6" t="s">
        <v>51</v>
      </c>
      <c r="C93" s="6" t="s">
        <v>978</v>
      </c>
      <c r="D93" s="6" t="s">
        <v>1002</v>
      </c>
      <c r="E93" s="6" t="s">
        <v>962</v>
      </c>
      <c r="F93" s="6" t="n">
        <v>210</v>
      </c>
      <c r="G93" s="6" t="s">
        <v>795</v>
      </c>
      <c r="H93" s="7" t="n">
        <v>0.9</v>
      </c>
      <c r="I93" s="7" t="n">
        <v>189</v>
      </c>
      <c r="J93" s="7" t="n">
        <v>72.5</v>
      </c>
      <c r="K93" s="7" t="n">
        <v>38.4</v>
      </c>
      <c r="L93" s="6" t="s">
        <v>160</v>
      </c>
      <c r="M93" s="6"/>
      <c r="N93" s="6" t="n">
        <v>40</v>
      </c>
      <c r="O93" s="6" t="n">
        <v>8</v>
      </c>
      <c r="P93" s="6" t="s">
        <v>1001</v>
      </c>
    </row>
    <row r="94" customFormat="false" ht="15" hidden="false" customHeight="false" outlineLevel="0" collapsed="false">
      <c r="A94" s="6" t="s">
        <v>392</v>
      </c>
      <c r="B94" s="6" t="s">
        <v>51</v>
      </c>
      <c r="C94" s="6" t="s">
        <v>978</v>
      </c>
      <c r="D94" s="6" t="s">
        <v>1003</v>
      </c>
      <c r="E94" s="6" t="s">
        <v>962</v>
      </c>
      <c r="F94" s="6" t="n">
        <v>210</v>
      </c>
      <c r="G94" s="6" t="s">
        <v>795</v>
      </c>
      <c r="H94" s="7" t="n">
        <v>0.9</v>
      </c>
      <c r="I94" s="7" t="n">
        <v>189</v>
      </c>
      <c r="J94" s="7" t="n">
        <v>76</v>
      </c>
      <c r="K94" s="7" t="n">
        <v>40.2</v>
      </c>
      <c r="L94" s="6" t="s">
        <v>160</v>
      </c>
      <c r="M94" s="6"/>
      <c r="N94" s="6" t="n">
        <v>40</v>
      </c>
      <c r="O94" s="6" t="n">
        <v>8</v>
      </c>
      <c r="P94" s="6" t="s">
        <v>1004</v>
      </c>
    </row>
    <row r="95" customFormat="false" ht="15" hidden="false" customHeight="false" outlineLevel="0" collapsed="false">
      <c r="A95" s="6" t="s">
        <v>404</v>
      </c>
      <c r="B95" s="6" t="s">
        <v>51</v>
      </c>
      <c r="C95" s="6" t="s">
        <v>978</v>
      </c>
      <c r="D95" s="6" t="s">
        <v>1005</v>
      </c>
      <c r="E95" s="6" t="s">
        <v>962</v>
      </c>
      <c r="F95" s="6" t="n">
        <v>210</v>
      </c>
      <c r="G95" s="6" t="s">
        <v>795</v>
      </c>
      <c r="H95" s="7" t="n">
        <v>0.9</v>
      </c>
      <c r="I95" s="7" t="n">
        <v>189</v>
      </c>
      <c r="J95" s="7" t="n">
        <v>76</v>
      </c>
      <c r="K95" s="7" t="n">
        <v>40.2</v>
      </c>
      <c r="L95" s="6" t="s">
        <v>160</v>
      </c>
      <c r="M95" s="6"/>
      <c r="N95" s="6" t="n">
        <v>40</v>
      </c>
      <c r="O95" s="6" t="n">
        <v>8</v>
      </c>
      <c r="P95" s="6" t="s">
        <v>1004</v>
      </c>
    </row>
    <row r="96" customFormat="false" ht="15" hidden="false" customHeight="false" outlineLevel="0" collapsed="false">
      <c r="A96" s="6" t="s">
        <v>416</v>
      </c>
      <c r="B96" s="6" t="s">
        <v>51</v>
      </c>
      <c r="C96" s="6" t="s">
        <v>978</v>
      </c>
      <c r="D96" s="6" t="s">
        <v>1006</v>
      </c>
      <c r="E96" s="6" t="s">
        <v>962</v>
      </c>
      <c r="F96" s="6" t="n">
        <v>210</v>
      </c>
      <c r="G96" s="6" t="s">
        <v>795</v>
      </c>
      <c r="H96" s="7" t="n">
        <v>0.9</v>
      </c>
      <c r="I96" s="7" t="n">
        <v>189</v>
      </c>
      <c r="J96" s="7" t="n">
        <v>69</v>
      </c>
      <c r="K96" s="7" t="n">
        <v>36.5</v>
      </c>
      <c r="L96" s="6" t="s">
        <v>160</v>
      </c>
      <c r="M96" s="6"/>
      <c r="N96" s="6" t="n">
        <v>40</v>
      </c>
      <c r="O96" s="6" t="n">
        <v>8</v>
      </c>
      <c r="P96" s="6" t="s">
        <v>1007</v>
      </c>
    </row>
    <row r="97" customFormat="false" ht="15" hidden="false" customHeight="false" outlineLevel="0" collapsed="false">
      <c r="A97" s="6" t="s">
        <v>428</v>
      </c>
      <c r="B97" s="6" t="s">
        <v>51</v>
      </c>
      <c r="C97" s="6" t="s">
        <v>978</v>
      </c>
      <c r="D97" s="6" t="s">
        <v>1008</v>
      </c>
      <c r="E97" s="6" t="s">
        <v>962</v>
      </c>
      <c r="F97" s="6" t="n">
        <v>210</v>
      </c>
      <c r="G97" s="6" t="s">
        <v>795</v>
      </c>
      <c r="H97" s="7" t="n">
        <v>0.9</v>
      </c>
      <c r="I97" s="7" t="n">
        <v>189</v>
      </c>
      <c r="J97" s="7" t="n">
        <v>69</v>
      </c>
      <c r="K97" s="7" t="n">
        <v>36.5</v>
      </c>
      <c r="L97" s="6" t="s">
        <v>160</v>
      </c>
      <c r="M97" s="6"/>
      <c r="N97" s="6" t="n">
        <v>40</v>
      </c>
      <c r="O97" s="6" t="n">
        <v>8</v>
      </c>
      <c r="P97" s="6" t="s">
        <v>1007</v>
      </c>
    </row>
    <row r="98" customFormat="false" ht="15" hidden="false" customHeight="false" outlineLevel="0" collapsed="false">
      <c r="A98" s="6" t="s">
        <v>441</v>
      </c>
      <c r="B98" s="6" t="s">
        <v>51</v>
      </c>
      <c r="C98" s="6" t="s">
        <v>978</v>
      </c>
      <c r="D98" s="6" t="s">
        <v>1009</v>
      </c>
      <c r="E98" s="6" t="s">
        <v>962</v>
      </c>
      <c r="F98" s="6" t="n">
        <v>110</v>
      </c>
      <c r="G98" s="6" t="s">
        <v>795</v>
      </c>
      <c r="H98" s="7" t="n">
        <v>0.9</v>
      </c>
      <c r="I98" s="7" t="n">
        <v>99</v>
      </c>
      <c r="J98" s="7" t="n">
        <v>90</v>
      </c>
      <c r="K98" s="7" t="n">
        <v>90.9</v>
      </c>
      <c r="L98" s="6" t="s">
        <v>160</v>
      </c>
      <c r="M98" s="6"/>
      <c r="N98" s="6" t="n">
        <v>40</v>
      </c>
      <c r="O98" s="6" t="n">
        <v>8</v>
      </c>
      <c r="P98" s="6" t="s">
        <v>1010</v>
      </c>
    </row>
    <row r="99" customFormat="false" ht="15" hidden="false" customHeight="false" outlineLevel="0" collapsed="false">
      <c r="A99" s="6" t="s">
        <v>453</v>
      </c>
      <c r="B99" s="6" t="s">
        <v>51</v>
      </c>
      <c r="C99" s="6" t="s">
        <v>978</v>
      </c>
      <c r="D99" s="6" t="s">
        <v>1011</v>
      </c>
      <c r="E99" s="6" t="s">
        <v>962</v>
      </c>
      <c r="F99" s="6" t="n">
        <v>110</v>
      </c>
      <c r="G99" s="6" t="s">
        <v>795</v>
      </c>
      <c r="H99" s="7" t="n">
        <v>0.9</v>
      </c>
      <c r="I99" s="7" t="n">
        <v>99</v>
      </c>
      <c r="J99" s="7" t="n">
        <v>90</v>
      </c>
      <c r="K99" s="7" t="n">
        <v>90.9</v>
      </c>
      <c r="L99" s="6" t="s">
        <v>160</v>
      </c>
      <c r="M99" s="6"/>
      <c r="N99" s="6" t="n">
        <v>40</v>
      </c>
      <c r="O99" s="6" t="n">
        <v>8</v>
      </c>
      <c r="P99" s="6" t="s">
        <v>1010</v>
      </c>
    </row>
    <row r="100" customFormat="false" ht="15" hidden="false" customHeight="false" outlineLevel="0" collapsed="false">
      <c r="A100" s="6" t="s">
        <v>465</v>
      </c>
      <c r="B100" s="6" t="s">
        <v>51</v>
      </c>
      <c r="C100" s="6" t="s">
        <v>978</v>
      </c>
      <c r="D100" s="6" t="s">
        <v>1012</v>
      </c>
      <c r="E100" s="6" t="s">
        <v>962</v>
      </c>
      <c r="F100" s="6" t="n">
        <v>210</v>
      </c>
      <c r="G100" s="6" t="s">
        <v>795</v>
      </c>
      <c r="H100" s="7" t="n">
        <v>0.9</v>
      </c>
      <c r="I100" s="7" t="n">
        <v>189</v>
      </c>
      <c r="J100" s="7" t="n">
        <v>80.5</v>
      </c>
      <c r="K100" s="7" t="n">
        <v>42.6</v>
      </c>
      <c r="L100" s="6" t="s">
        <v>160</v>
      </c>
      <c r="M100" s="6"/>
      <c r="N100" s="6" t="n">
        <v>40</v>
      </c>
      <c r="O100" s="6" t="n">
        <v>8</v>
      </c>
      <c r="P100" s="6" t="s">
        <v>1013</v>
      </c>
    </row>
    <row r="101" customFormat="false" ht="15" hidden="false" customHeight="false" outlineLevel="0" collapsed="false">
      <c r="A101" s="6" t="s">
        <v>477</v>
      </c>
      <c r="B101" s="6" t="s">
        <v>51</v>
      </c>
      <c r="C101" s="6" t="s">
        <v>978</v>
      </c>
      <c r="D101" s="6" t="s">
        <v>1014</v>
      </c>
      <c r="E101" s="6" t="s">
        <v>962</v>
      </c>
      <c r="F101" s="6" t="n">
        <v>210</v>
      </c>
      <c r="G101" s="6" t="s">
        <v>795</v>
      </c>
      <c r="H101" s="7" t="n">
        <v>0.9</v>
      </c>
      <c r="I101" s="7" t="n">
        <v>189</v>
      </c>
      <c r="J101" s="7" t="n">
        <v>80.5</v>
      </c>
      <c r="K101" s="7" t="n">
        <v>42.6</v>
      </c>
      <c r="L101" s="6" t="s">
        <v>160</v>
      </c>
      <c r="M101" s="6"/>
      <c r="N101" s="6" t="n">
        <v>40</v>
      </c>
      <c r="O101" s="6" t="n">
        <v>8</v>
      </c>
      <c r="P101" s="6" t="s">
        <v>1013</v>
      </c>
    </row>
    <row r="102" customFormat="false" ht="15" hidden="false" customHeight="false" outlineLevel="0" collapsed="false">
      <c r="A102" s="6" t="s">
        <v>489</v>
      </c>
      <c r="B102" s="6" t="s">
        <v>51</v>
      </c>
      <c r="C102" s="6" t="s">
        <v>978</v>
      </c>
      <c r="D102" s="6" t="s">
        <v>1015</v>
      </c>
      <c r="E102" s="6" t="s">
        <v>962</v>
      </c>
      <c r="F102" s="6" t="n">
        <v>210</v>
      </c>
      <c r="G102" s="6" t="s">
        <v>795</v>
      </c>
      <c r="H102" s="7" t="n">
        <v>0.9</v>
      </c>
      <c r="I102" s="7" t="n">
        <v>189</v>
      </c>
      <c r="J102" s="7" t="n">
        <v>68</v>
      </c>
      <c r="K102" s="7" t="n">
        <v>36</v>
      </c>
      <c r="L102" s="6" t="s">
        <v>160</v>
      </c>
      <c r="M102" s="6"/>
      <c r="N102" s="6" t="n">
        <v>40</v>
      </c>
      <c r="O102" s="6" t="n">
        <v>8</v>
      </c>
      <c r="P102" s="6" t="s">
        <v>1016</v>
      </c>
    </row>
    <row r="103" customFormat="false" ht="15" hidden="false" customHeight="false" outlineLevel="0" collapsed="false">
      <c r="A103" s="6" t="s">
        <v>501</v>
      </c>
      <c r="B103" s="6" t="s">
        <v>51</v>
      </c>
      <c r="C103" s="6" t="s">
        <v>978</v>
      </c>
      <c r="D103" s="6" t="s">
        <v>1017</v>
      </c>
      <c r="E103" s="6" t="s">
        <v>962</v>
      </c>
      <c r="F103" s="6" t="n">
        <v>210</v>
      </c>
      <c r="G103" s="6" t="s">
        <v>795</v>
      </c>
      <c r="H103" s="7" t="n">
        <v>0.9</v>
      </c>
      <c r="I103" s="7" t="n">
        <v>189</v>
      </c>
      <c r="J103" s="7" t="n">
        <v>68</v>
      </c>
      <c r="K103" s="7" t="n">
        <v>36</v>
      </c>
      <c r="L103" s="6" t="s">
        <v>160</v>
      </c>
      <c r="M103" s="6"/>
      <c r="N103" s="6" t="n">
        <v>40</v>
      </c>
      <c r="O103" s="6" t="n">
        <v>8</v>
      </c>
      <c r="P103" s="6" t="s">
        <v>1016</v>
      </c>
    </row>
    <row r="104" customFormat="false" ht="15" hidden="false" customHeight="false" outlineLevel="0" collapsed="false">
      <c r="A104" s="6" t="s">
        <v>513</v>
      </c>
      <c r="B104" s="6" t="s">
        <v>51</v>
      </c>
      <c r="C104" s="6" t="s">
        <v>978</v>
      </c>
      <c r="D104" s="6" t="s">
        <v>1018</v>
      </c>
      <c r="E104" s="6" t="s">
        <v>962</v>
      </c>
      <c r="F104" s="6" t="n">
        <v>210</v>
      </c>
      <c r="G104" s="6" t="s">
        <v>795</v>
      </c>
      <c r="H104" s="7" t="n">
        <v>0.9</v>
      </c>
      <c r="I104" s="7" t="n">
        <v>189</v>
      </c>
      <c r="J104" s="7" t="n">
        <v>64.5</v>
      </c>
      <c r="K104" s="7" t="n">
        <v>34.1</v>
      </c>
      <c r="L104" s="6" t="s">
        <v>160</v>
      </c>
      <c r="M104" s="6"/>
      <c r="N104" s="6" t="n">
        <v>40</v>
      </c>
      <c r="O104" s="6" t="n">
        <v>8</v>
      </c>
      <c r="P104" s="6" t="s">
        <v>1019</v>
      </c>
    </row>
    <row r="105" customFormat="false" ht="15" hidden="false" customHeight="false" outlineLevel="0" collapsed="false">
      <c r="A105" s="6" t="s">
        <v>525</v>
      </c>
      <c r="B105" s="6" t="s">
        <v>51</v>
      </c>
      <c r="C105" s="6" t="s">
        <v>978</v>
      </c>
      <c r="D105" s="6" t="s">
        <v>1020</v>
      </c>
      <c r="E105" s="6" t="s">
        <v>962</v>
      </c>
      <c r="F105" s="6" t="n">
        <v>210</v>
      </c>
      <c r="G105" s="6" t="s">
        <v>795</v>
      </c>
      <c r="H105" s="7" t="n">
        <v>0.9</v>
      </c>
      <c r="I105" s="7" t="n">
        <v>189</v>
      </c>
      <c r="J105" s="7" t="n">
        <v>64.5</v>
      </c>
      <c r="K105" s="7" t="n">
        <v>34.1</v>
      </c>
      <c r="L105" s="6" t="s">
        <v>160</v>
      </c>
      <c r="M105" s="6"/>
      <c r="N105" s="6" t="n">
        <v>40</v>
      </c>
      <c r="O105" s="6" t="n">
        <v>8</v>
      </c>
      <c r="P105" s="6" t="s">
        <v>1019</v>
      </c>
    </row>
    <row r="106" customFormat="false" ht="15" hidden="false" customHeight="false" outlineLevel="0" collapsed="false">
      <c r="A106" s="6" t="s">
        <v>537</v>
      </c>
      <c r="B106" s="6" t="s">
        <v>51</v>
      </c>
      <c r="C106" s="6" t="s">
        <v>978</v>
      </c>
      <c r="D106" s="6" t="s">
        <v>1021</v>
      </c>
      <c r="E106" s="6" t="s">
        <v>962</v>
      </c>
      <c r="F106" s="6" t="n">
        <v>210</v>
      </c>
      <c r="G106" s="6" t="s">
        <v>795</v>
      </c>
      <c r="H106" s="7" t="n">
        <v>0.9</v>
      </c>
      <c r="I106" s="7" t="n">
        <v>189</v>
      </c>
      <c r="J106" s="7" t="n">
        <v>61.5</v>
      </c>
      <c r="K106" s="7" t="n">
        <v>32.5</v>
      </c>
      <c r="L106" s="6" t="s">
        <v>160</v>
      </c>
      <c r="M106" s="6"/>
      <c r="N106" s="6" t="n">
        <v>40</v>
      </c>
      <c r="O106" s="6" t="n">
        <v>8</v>
      </c>
      <c r="P106" s="6" t="s">
        <v>1022</v>
      </c>
    </row>
    <row r="107" customFormat="false" ht="15" hidden="false" customHeight="false" outlineLevel="0" collapsed="false">
      <c r="A107" s="6" t="s">
        <v>549</v>
      </c>
      <c r="B107" s="6" t="s">
        <v>51</v>
      </c>
      <c r="C107" s="6" t="s">
        <v>978</v>
      </c>
      <c r="D107" s="6" t="s">
        <v>1023</v>
      </c>
      <c r="E107" s="6" t="s">
        <v>962</v>
      </c>
      <c r="F107" s="6" t="n">
        <v>210</v>
      </c>
      <c r="G107" s="6" t="s">
        <v>795</v>
      </c>
      <c r="H107" s="7" t="n">
        <v>0.9</v>
      </c>
      <c r="I107" s="7" t="n">
        <v>189</v>
      </c>
      <c r="J107" s="7" t="n">
        <v>61.5</v>
      </c>
      <c r="K107" s="7" t="n">
        <v>32.5</v>
      </c>
      <c r="L107" s="6" t="s">
        <v>160</v>
      </c>
      <c r="M107" s="6"/>
      <c r="N107" s="6" t="n">
        <v>40</v>
      </c>
      <c r="O107" s="6" t="n">
        <v>8</v>
      </c>
      <c r="P107" s="6" t="s">
        <v>1022</v>
      </c>
    </row>
    <row r="108" customFormat="false" ht="15" hidden="false" customHeight="false" outlineLevel="0" collapsed="false">
      <c r="A108" s="6" t="s">
        <v>561</v>
      </c>
      <c r="B108" s="6" t="s">
        <v>51</v>
      </c>
      <c r="C108" s="6" t="s">
        <v>978</v>
      </c>
      <c r="D108" s="6" t="s">
        <v>1024</v>
      </c>
      <c r="E108" s="6" t="s">
        <v>962</v>
      </c>
      <c r="F108" s="6" t="n">
        <v>190</v>
      </c>
      <c r="G108" s="6" t="s">
        <v>795</v>
      </c>
      <c r="H108" s="7" t="n">
        <v>0.9</v>
      </c>
      <c r="I108" s="7" t="n">
        <v>171</v>
      </c>
      <c r="J108" s="7" t="n">
        <v>69</v>
      </c>
      <c r="K108" s="7" t="n">
        <v>40.4</v>
      </c>
      <c r="L108" s="6" t="s">
        <v>160</v>
      </c>
      <c r="M108" s="6"/>
      <c r="N108" s="6" t="n">
        <v>40</v>
      </c>
      <c r="O108" s="6" t="n">
        <v>8</v>
      </c>
      <c r="P108" s="6" t="s">
        <v>1025</v>
      </c>
    </row>
    <row r="109" customFormat="false" ht="15" hidden="false" customHeight="false" outlineLevel="0" collapsed="false">
      <c r="A109" s="6" t="s">
        <v>573</v>
      </c>
      <c r="B109" s="6" t="s">
        <v>51</v>
      </c>
      <c r="C109" s="6" t="s">
        <v>978</v>
      </c>
      <c r="D109" s="6" t="s">
        <v>1026</v>
      </c>
      <c r="E109" s="6" t="s">
        <v>962</v>
      </c>
      <c r="F109" s="6" t="n">
        <v>190</v>
      </c>
      <c r="G109" s="6" t="s">
        <v>795</v>
      </c>
      <c r="H109" s="7" t="n">
        <v>0.9</v>
      </c>
      <c r="I109" s="7" t="n">
        <v>171</v>
      </c>
      <c r="J109" s="7" t="n">
        <v>69</v>
      </c>
      <c r="K109" s="7" t="n">
        <v>40.4</v>
      </c>
      <c r="L109" s="6" t="s">
        <v>160</v>
      </c>
      <c r="M109" s="6"/>
      <c r="N109" s="6" t="n">
        <v>40</v>
      </c>
      <c r="O109" s="6" t="n">
        <v>8</v>
      </c>
      <c r="P109" s="6" t="s">
        <v>1025</v>
      </c>
    </row>
    <row r="110" customFormat="false" ht="15" hidden="false" customHeight="false" outlineLevel="0" collapsed="false">
      <c r="A110" s="6" t="s">
        <v>585</v>
      </c>
      <c r="B110" s="6" t="s">
        <v>51</v>
      </c>
      <c r="C110" s="6" t="s">
        <v>978</v>
      </c>
      <c r="D110" s="6" t="s">
        <v>1027</v>
      </c>
      <c r="E110" s="6" t="s">
        <v>962</v>
      </c>
      <c r="F110" s="6" t="n">
        <v>195</v>
      </c>
      <c r="G110" s="6" t="s">
        <v>795</v>
      </c>
      <c r="H110" s="7" t="n">
        <v>0.9</v>
      </c>
      <c r="I110" s="7" t="n">
        <v>175.5</v>
      </c>
      <c r="J110" s="7" t="n">
        <v>68.5</v>
      </c>
      <c r="K110" s="7" t="n">
        <v>39</v>
      </c>
      <c r="L110" s="6" t="s">
        <v>160</v>
      </c>
      <c r="M110" s="6"/>
      <c r="N110" s="6" t="n">
        <v>40</v>
      </c>
      <c r="O110" s="6" t="n">
        <v>8</v>
      </c>
      <c r="P110" s="6" t="s">
        <v>1028</v>
      </c>
    </row>
    <row r="111" customFormat="false" ht="15" hidden="false" customHeight="false" outlineLevel="0" collapsed="false">
      <c r="A111" s="6" t="s">
        <v>597</v>
      </c>
      <c r="B111" s="6" t="s">
        <v>51</v>
      </c>
      <c r="C111" s="6" t="s">
        <v>978</v>
      </c>
      <c r="D111" s="6" t="s">
        <v>1029</v>
      </c>
      <c r="E111" s="6" t="s">
        <v>962</v>
      </c>
      <c r="F111" s="6" t="n">
        <v>195</v>
      </c>
      <c r="G111" s="6" t="s">
        <v>795</v>
      </c>
      <c r="H111" s="7" t="n">
        <v>0.9</v>
      </c>
      <c r="I111" s="7" t="n">
        <v>175.5</v>
      </c>
      <c r="J111" s="7" t="n">
        <v>68.5</v>
      </c>
      <c r="K111" s="7" t="n">
        <v>39</v>
      </c>
      <c r="L111" s="6" t="s">
        <v>160</v>
      </c>
      <c r="M111" s="6"/>
      <c r="N111" s="6" t="n">
        <v>40</v>
      </c>
      <c r="O111" s="6" t="n">
        <v>8</v>
      </c>
      <c r="P111" s="6" t="s">
        <v>1028</v>
      </c>
    </row>
    <row r="112" customFormat="false" ht="15" hidden="false" customHeight="false" outlineLevel="0" collapsed="false">
      <c r="A112" s="6" t="s">
        <v>609</v>
      </c>
      <c r="B112" s="6" t="s">
        <v>51</v>
      </c>
      <c r="C112" s="6" t="s">
        <v>978</v>
      </c>
      <c r="D112" s="6" t="s">
        <v>1030</v>
      </c>
      <c r="E112" s="6" t="s">
        <v>962</v>
      </c>
      <c r="F112" s="6" t="n">
        <v>210</v>
      </c>
      <c r="G112" s="6" t="s">
        <v>795</v>
      </c>
      <c r="H112" s="7" t="n">
        <v>0.9</v>
      </c>
      <c r="I112" s="7" t="n">
        <v>189</v>
      </c>
      <c r="J112" s="7" t="n">
        <v>69</v>
      </c>
      <c r="K112" s="7" t="n">
        <v>36.5</v>
      </c>
      <c r="L112" s="6" t="s">
        <v>160</v>
      </c>
      <c r="M112" s="6"/>
      <c r="N112" s="6" t="n">
        <v>40</v>
      </c>
      <c r="O112" s="6" t="n">
        <v>8</v>
      </c>
      <c r="P112" s="6" t="s">
        <v>1031</v>
      </c>
    </row>
    <row r="113" customFormat="false" ht="15" hidden="false" customHeight="false" outlineLevel="0" collapsed="false">
      <c r="A113" s="6" t="s">
        <v>621</v>
      </c>
      <c r="B113" s="6" t="s">
        <v>51</v>
      </c>
      <c r="C113" s="6" t="s">
        <v>978</v>
      </c>
      <c r="D113" s="6" t="s">
        <v>1032</v>
      </c>
      <c r="E113" s="6" t="s">
        <v>962</v>
      </c>
      <c r="F113" s="6" t="n">
        <v>210</v>
      </c>
      <c r="G113" s="6" t="s">
        <v>795</v>
      </c>
      <c r="H113" s="7" t="n">
        <v>0.9</v>
      </c>
      <c r="I113" s="7" t="n">
        <v>189</v>
      </c>
      <c r="J113" s="7" t="n">
        <v>69</v>
      </c>
      <c r="K113" s="7" t="n">
        <v>36.5</v>
      </c>
      <c r="L113" s="6" t="s">
        <v>160</v>
      </c>
      <c r="M113" s="6"/>
      <c r="N113" s="6" t="n">
        <v>40</v>
      </c>
      <c r="O113" s="6" t="n">
        <v>8</v>
      </c>
      <c r="P113" s="6" t="s">
        <v>1031</v>
      </c>
    </row>
    <row r="114" customFormat="false" ht="15" hidden="false" customHeight="false" outlineLevel="0" collapsed="false">
      <c r="A114" s="6" t="s">
        <v>633</v>
      </c>
      <c r="B114" s="6" t="s">
        <v>51</v>
      </c>
      <c r="C114" s="6" t="s">
        <v>978</v>
      </c>
      <c r="D114" s="6" t="s">
        <v>1033</v>
      </c>
      <c r="E114" s="6" t="s">
        <v>962</v>
      </c>
      <c r="F114" s="6" t="n">
        <v>415</v>
      </c>
      <c r="G114" s="6" t="s">
        <v>795</v>
      </c>
      <c r="H114" s="7" t="n">
        <v>0.9</v>
      </c>
      <c r="I114" s="7" t="n">
        <v>373.5</v>
      </c>
      <c r="J114" s="7" t="n">
        <v>360</v>
      </c>
      <c r="K114" s="7" t="n">
        <v>96.4</v>
      </c>
      <c r="L114" s="6" t="s">
        <v>160</v>
      </c>
      <c r="M114" s="6"/>
      <c r="N114" s="6" t="n">
        <v>40</v>
      </c>
      <c r="O114" s="6" t="n">
        <v>8</v>
      </c>
      <c r="P114" s="6" t="s">
        <v>1034</v>
      </c>
    </row>
    <row r="115" customFormat="false" ht="15" hidden="false" customHeight="false" outlineLevel="0" collapsed="false">
      <c r="A115" s="6" t="s">
        <v>645</v>
      </c>
      <c r="B115" s="6" t="s">
        <v>51</v>
      </c>
      <c r="C115" s="6" t="s">
        <v>978</v>
      </c>
      <c r="D115" s="6" t="s">
        <v>1035</v>
      </c>
      <c r="E115" s="6" t="s">
        <v>962</v>
      </c>
      <c r="F115" s="6" t="n">
        <v>415</v>
      </c>
      <c r="G115" s="6" t="s">
        <v>795</v>
      </c>
      <c r="H115" s="7" t="n">
        <v>0.9</v>
      </c>
      <c r="I115" s="7" t="n">
        <v>373.5</v>
      </c>
      <c r="J115" s="7" t="n">
        <v>360</v>
      </c>
      <c r="K115" s="7" t="n">
        <v>96.4</v>
      </c>
      <c r="L115" s="6" t="s">
        <v>160</v>
      </c>
      <c r="M115" s="6"/>
      <c r="N115" s="6" t="n">
        <v>40</v>
      </c>
      <c r="O115" s="6" t="n">
        <v>8</v>
      </c>
      <c r="P115" s="6" t="s">
        <v>1034</v>
      </c>
    </row>
    <row r="116" customFormat="false" ht="15" hidden="false" customHeight="false" outlineLevel="0" collapsed="false">
      <c r="A116" s="6" t="s">
        <v>657</v>
      </c>
      <c r="B116" s="6" t="s">
        <v>51</v>
      </c>
      <c r="C116" s="6" t="s">
        <v>978</v>
      </c>
      <c r="D116" s="6" t="s">
        <v>1036</v>
      </c>
      <c r="E116" s="6" t="s">
        <v>962</v>
      </c>
      <c r="F116" s="6" t="n">
        <v>405</v>
      </c>
      <c r="G116" s="6" t="s">
        <v>795</v>
      </c>
      <c r="H116" s="7" t="n">
        <v>0.9</v>
      </c>
      <c r="I116" s="7" t="n">
        <v>364.5</v>
      </c>
      <c r="J116" s="7" t="n">
        <v>330</v>
      </c>
      <c r="K116" s="7" t="n">
        <v>90.5</v>
      </c>
      <c r="L116" s="6" t="s">
        <v>160</v>
      </c>
      <c r="M116" s="6"/>
      <c r="N116" s="6" t="n">
        <v>40</v>
      </c>
      <c r="O116" s="6" t="n">
        <v>8</v>
      </c>
      <c r="P116" s="6" t="s">
        <v>1037</v>
      </c>
    </row>
    <row r="117" customFormat="false" ht="15" hidden="false" customHeight="false" outlineLevel="0" collapsed="false">
      <c r="A117" s="6" t="s">
        <v>669</v>
      </c>
      <c r="B117" s="6" t="s">
        <v>51</v>
      </c>
      <c r="C117" s="6" t="s">
        <v>978</v>
      </c>
      <c r="D117" s="6" t="s">
        <v>1038</v>
      </c>
      <c r="E117" s="6" t="s">
        <v>962</v>
      </c>
      <c r="F117" s="6" t="n">
        <v>405</v>
      </c>
      <c r="G117" s="6" t="s">
        <v>795</v>
      </c>
      <c r="H117" s="7" t="n">
        <v>0.9</v>
      </c>
      <c r="I117" s="7" t="n">
        <v>364.5</v>
      </c>
      <c r="J117" s="7" t="n">
        <v>330</v>
      </c>
      <c r="K117" s="7" t="n">
        <v>90.5</v>
      </c>
      <c r="L117" s="6" t="s">
        <v>160</v>
      </c>
      <c r="M117" s="6"/>
      <c r="N117" s="6" t="n">
        <v>40</v>
      </c>
      <c r="O117" s="6" t="n">
        <v>8</v>
      </c>
      <c r="P117" s="6" t="s">
        <v>1037</v>
      </c>
    </row>
    <row r="118" customFormat="false" ht="15" hidden="false" customHeight="false" outlineLevel="0" collapsed="false">
      <c r="A118" s="6" t="s">
        <v>681</v>
      </c>
      <c r="B118" s="6" t="s">
        <v>51</v>
      </c>
      <c r="C118" s="6" t="s">
        <v>978</v>
      </c>
      <c r="D118" s="6" t="s">
        <v>1039</v>
      </c>
      <c r="E118" s="6" t="s">
        <v>962</v>
      </c>
      <c r="F118" s="6" t="n">
        <v>410</v>
      </c>
      <c r="G118" s="6" t="s">
        <v>795</v>
      </c>
      <c r="H118" s="7" t="n">
        <v>0.9</v>
      </c>
      <c r="I118" s="7" t="n">
        <v>369</v>
      </c>
      <c r="J118" s="7" t="n">
        <v>345</v>
      </c>
      <c r="K118" s="7" t="n">
        <v>93.5</v>
      </c>
      <c r="L118" s="6" t="s">
        <v>160</v>
      </c>
      <c r="M118" s="6"/>
      <c r="N118" s="6" t="n">
        <v>40</v>
      </c>
      <c r="O118" s="6" t="n">
        <v>8</v>
      </c>
      <c r="P118" s="6" t="s">
        <v>1040</v>
      </c>
    </row>
    <row r="119" customFormat="false" ht="15" hidden="false" customHeight="false" outlineLevel="0" collapsed="false">
      <c r="A119" s="6" t="s">
        <v>693</v>
      </c>
      <c r="B119" s="6" t="s">
        <v>51</v>
      </c>
      <c r="C119" s="6" t="s">
        <v>978</v>
      </c>
      <c r="D119" s="6" t="s">
        <v>1041</v>
      </c>
      <c r="E119" s="6" t="s">
        <v>962</v>
      </c>
      <c r="F119" s="6" t="n">
        <v>410</v>
      </c>
      <c r="G119" s="6" t="s">
        <v>795</v>
      </c>
      <c r="H119" s="7" t="n">
        <v>0.9</v>
      </c>
      <c r="I119" s="7" t="n">
        <v>369</v>
      </c>
      <c r="J119" s="7" t="n">
        <v>345</v>
      </c>
      <c r="K119" s="7" t="n">
        <v>93.5</v>
      </c>
      <c r="L119" s="6" t="s">
        <v>160</v>
      </c>
      <c r="M119" s="6"/>
      <c r="N119" s="6" t="n">
        <v>40</v>
      </c>
      <c r="O119" s="6" t="n">
        <v>8</v>
      </c>
      <c r="P119" s="6" t="s">
        <v>1040</v>
      </c>
    </row>
    <row r="120" customFormat="false" ht="15" hidden="false" customHeight="false" outlineLevel="0" collapsed="false">
      <c r="A120" s="6" t="s">
        <v>705</v>
      </c>
      <c r="B120" s="6" t="s">
        <v>51</v>
      </c>
      <c r="C120" s="6" t="s">
        <v>978</v>
      </c>
      <c r="D120" s="6" t="s">
        <v>1042</v>
      </c>
      <c r="E120" s="6" t="s">
        <v>962</v>
      </c>
      <c r="F120" s="6" t="n">
        <v>400</v>
      </c>
      <c r="G120" s="6" t="s">
        <v>795</v>
      </c>
      <c r="H120" s="7" t="n">
        <v>0.9</v>
      </c>
      <c r="I120" s="7" t="n">
        <v>360</v>
      </c>
      <c r="J120" s="7" t="n">
        <v>315</v>
      </c>
      <c r="K120" s="7" t="n">
        <v>87.5</v>
      </c>
      <c r="L120" s="6" t="s">
        <v>160</v>
      </c>
      <c r="M120" s="6"/>
      <c r="N120" s="6" t="n">
        <v>40</v>
      </c>
      <c r="O120" s="6" t="n">
        <v>8</v>
      </c>
      <c r="P120" s="6" t="s">
        <v>1043</v>
      </c>
    </row>
    <row r="121" customFormat="false" ht="15" hidden="false" customHeight="false" outlineLevel="0" collapsed="false">
      <c r="A121" s="6" t="s">
        <v>717</v>
      </c>
      <c r="B121" s="6" t="s">
        <v>51</v>
      </c>
      <c r="C121" s="6" t="s">
        <v>978</v>
      </c>
      <c r="D121" s="6" t="s">
        <v>1044</v>
      </c>
      <c r="E121" s="6" t="s">
        <v>962</v>
      </c>
      <c r="F121" s="6" t="n">
        <v>400</v>
      </c>
      <c r="G121" s="6" t="s">
        <v>795</v>
      </c>
      <c r="H121" s="7" t="n">
        <v>0.9</v>
      </c>
      <c r="I121" s="7" t="n">
        <v>360</v>
      </c>
      <c r="J121" s="7" t="n">
        <v>315</v>
      </c>
      <c r="K121" s="7" t="n">
        <v>87.5</v>
      </c>
      <c r="L121" s="6" t="s">
        <v>160</v>
      </c>
      <c r="M121" s="6"/>
      <c r="N121" s="6" t="n">
        <v>40</v>
      </c>
      <c r="O121" s="6" t="n">
        <v>8</v>
      </c>
      <c r="P121" s="6" t="s">
        <v>1043</v>
      </c>
    </row>
    <row r="122" customFormat="false" ht="15" hidden="false" customHeight="false" outlineLevel="0" collapsed="false">
      <c r="A122" s="6" t="s">
        <v>729</v>
      </c>
      <c r="B122" s="6" t="s">
        <v>51</v>
      </c>
      <c r="C122" s="6" t="s">
        <v>978</v>
      </c>
      <c r="D122" s="6" t="s">
        <v>1045</v>
      </c>
      <c r="E122" s="6" t="s">
        <v>962</v>
      </c>
      <c r="F122" s="6" t="n">
        <v>410</v>
      </c>
      <c r="G122" s="6" t="s">
        <v>795</v>
      </c>
      <c r="H122" s="7" t="n">
        <v>0.9</v>
      </c>
      <c r="I122" s="7" t="n">
        <v>369</v>
      </c>
      <c r="J122" s="7" t="n">
        <v>335</v>
      </c>
      <c r="K122" s="7" t="n">
        <v>90.8</v>
      </c>
      <c r="L122" s="6" t="s">
        <v>160</v>
      </c>
      <c r="M122" s="6"/>
      <c r="N122" s="6" t="n">
        <v>40</v>
      </c>
      <c r="O122" s="6" t="n">
        <v>8</v>
      </c>
      <c r="P122" s="6" t="s">
        <v>1046</v>
      </c>
    </row>
    <row r="123" customFormat="false" ht="15" hidden="false" customHeight="false" outlineLevel="0" collapsed="false">
      <c r="A123" s="6" t="s">
        <v>741</v>
      </c>
      <c r="B123" s="6" t="s">
        <v>51</v>
      </c>
      <c r="C123" s="6" t="s">
        <v>978</v>
      </c>
      <c r="D123" s="6" t="s">
        <v>1047</v>
      </c>
      <c r="E123" s="6" t="s">
        <v>962</v>
      </c>
      <c r="F123" s="6" t="n">
        <v>410</v>
      </c>
      <c r="G123" s="6" t="s">
        <v>795</v>
      </c>
      <c r="H123" s="7" t="n">
        <v>0.9</v>
      </c>
      <c r="I123" s="7" t="n">
        <v>369</v>
      </c>
      <c r="J123" s="7" t="n">
        <v>335</v>
      </c>
      <c r="K123" s="7" t="n">
        <v>90.8</v>
      </c>
      <c r="L123" s="6" t="s">
        <v>160</v>
      </c>
      <c r="M123" s="6"/>
      <c r="N123" s="6" t="n">
        <v>40</v>
      </c>
      <c r="O123" s="6" t="n">
        <v>8</v>
      </c>
      <c r="P123" s="6" t="s">
        <v>1046</v>
      </c>
    </row>
    <row r="124" customFormat="false" ht="15" hidden="false" customHeight="false" outlineLevel="0" collapsed="false">
      <c r="A124" s="6" t="s">
        <v>753</v>
      </c>
      <c r="B124" s="6" t="s">
        <v>51</v>
      </c>
      <c r="C124" s="6" t="s">
        <v>978</v>
      </c>
      <c r="D124" s="6" t="s">
        <v>1048</v>
      </c>
      <c r="E124" s="6" t="s">
        <v>962</v>
      </c>
      <c r="F124" s="6" t="n">
        <v>420</v>
      </c>
      <c r="G124" s="6" t="s">
        <v>795</v>
      </c>
      <c r="H124" s="7" t="n">
        <v>0.9</v>
      </c>
      <c r="I124" s="7" t="n">
        <v>378</v>
      </c>
      <c r="J124" s="7" t="n">
        <v>355</v>
      </c>
      <c r="K124" s="7" t="n">
        <v>93.9</v>
      </c>
      <c r="L124" s="6" t="s">
        <v>160</v>
      </c>
      <c r="M124" s="6"/>
      <c r="N124" s="6" t="n">
        <v>40</v>
      </c>
      <c r="O124" s="6" t="n">
        <v>8</v>
      </c>
      <c r="P124" s="6" t="s">
        <v>1049</v>
      </c>
    </row>
    <row r="125" customFormat="false" ht="15" hidden="false" customHeight="false" outlineLevel="0" collapsed="false">
      <c r="A125" s="6" t="s">
        <v>765</v>
      </c>
      <c r="B125" s="6" t="s">
        <v>51</v>
      </c>
      <c r="C125" s="6" t="s">
        <v>978</v>
      </c>
      <c r="D125" s="6" t="s">
        <v>1050</v>
      </c>
      <c r="E125" s="6" t="s">
        <v>962</v>
      </c>
      <c r="F125" s="6" t="n">
        <v>420</v>
      </c>
      <c r="G125" s="6" t="s">
        <v>795</v>
      </c>
      <c r="H125" s="7" t="n">
        <v>0.9</v>
      </c>
      <c r="I125" s="7" t="n">
        <v>378</v>
      </c>
      <c r="J125" s="7" t="n">
        <v>355</v>
      </c>
      <c r="K125" s="7" t="n">
        <v>93.9</v>
      </c>
      <c r="L125" s="6" t="s">
        <v>160</v>
      </c>
      <c r="M125" s="6"/>
      <c r="N125" s="6" t="n">
        <v>40</v>
      </c>
      <c r="O125" s="6" t="n">
        <v>8</v>
      </c>
      <c r="P125" s="6" t="s">
        <v>1049</v>
      </c>
    </row>
    <row r="126" customFormat="false" ht="15" hidden="false" customHeight="false" outlineLevel="0" collapsed="false">
      <c r="A126" s="6" t="s">
        <v>1051</v>
      </c>
      <c r="B126" s="6" t="s">
        <v>51</v>
      </c>
      <c r="C126" s="6" t="s">
        <v>1052</v>
      </c>
      <c r="D126" s="6" t="s">
        <v>1053</v>
      </c>
      <c r="E126" s="6" t="s">
        <v>1054</v>
      </c>
      <c r="F126" s="6" t="n">
        <v>400</v>
      </c>
      <c r="G126" s="6" t="s">
        <v>795</v>
      </c>
      <c r="H126" s="7" t="n">
        <v>1</v>
      </c>
      <c r="I126" s="7" t="n">
        <v>400</v>
      </c>
      <c r="J126" s="6" t="n">
        <v>155</v>
      </c>
      <c r="K126" s="7" t="n">
        <v>38.8</v>
      </c>
      <c r="L126" s="6" t="s">
        <v>160</v>
      </c>
      <c r="M126" s="6"/>
      <c r="N126" s="6" t="n">
        <v>0</v>
      </c>
      <c r="O126" s="6" t="n">
        <v>0</v>
      </c>
      <c r="P126" s="6"/>
    </row>
    <row r="127" customFormat="false" ht="15" hidden="false" customHeight="false" outlineLevel="0" collapsed="false">
      <c r="A127" s="6" t="s">
        <v>1055</v>
      </c>
      <c r="B127" s="6" t="s">
        <v>51</v>
      </c>
      <c r="C127" s="6" t="s">
        <v>1052</v>
      </c>
      <c r="D127" s="6" t="s">
        <v>1056</v>
      </c>
      <c r="E127" s="6" t="s">
        <v>1054</v>
      </c>
      <c r="F127" s="6" t="n">
        <v>400</v>
      </c>
      <c r="G127" s="6" t="s">
        <v>795</v>
      </c>
      <c r="H127" s="7" t="n">
        <v>1</v>
      </c>
      <c r="I127" s="7" t="n">
        <v>400</v>
      </c>
      <c r="J127" s="6" t="n">
        <v>162</v>
      </c>
      <c r="K127" s="7" t="n">
        <v>40.5</v>
      </c>
      <c r="L127" s="6" t="s">
        <v>160</v>
      </c>
      <c r="M127" s="6"/>
      <c r="N127" s="6" t="n">
        <v>0</v>
      </c>
      <c r="O127" s="6" t="n">
        <v>0</v>
      </c>
      <c r="P127" s="6"/>
    </row>
    <row r="128" customFormat="false" ht="15" hidden="false" customHeight="false" outlineLevel="0" collapsed="false">
      <c r="A128" s="6" t="s">
        <v>1057</v>
      </c>
      <c r="B128" s="6" t="s">
        <v>51</v>
      </c>
      <c r="C128" s="6" t="s">
        <v>1052</v>
      </c>
      <c r="D128" s="6" t="s">
        <v>1058</v>
      </c>
      <c r="E128" s="6" t="s">
        <v>1054</v>
      </c>
      <c r="F128" s="6" t="n">
        <v>380</v>
      </c>
      <c r="G128" s="6" t="s">
        <v>795</v>
      </c>
      <c r="H128" s="7" t="n">
        <v>1</v>
      </c>
      <c r="I128" s="7" t="n">
        <v>380</v>
      </c>
      <c r="J128" s="6" t="n">
        <v>148</v>
      </c>
      <c r="K128" s="7" t="n">
        <v>38.9</v>
      </c>
      <c r="L128" s="6" t="s">
        <v>160</v>
      </c>
      <c r="M128" s="6"/>
      <c r="N128" s="6" t="n">
        <v>0</v>
      </c>
      <c r="O128" s="6" t="n">
        <v>0</v>
      </c>
      <c r="P128" s="6" t="s">
        <v>146</v>
      </c>
    </row>
    <row r="129" customFormat="false" ht="15" hidden="false" customHeight="false" outlineLevel="0" collapsed="false">
      <c r="A129" s="6" t="s">
        <v>1059</v>
      </c>
      <c r="B129" s="6" t="s">
        <v>51</v>
      </c>
      <c r="C129" s="6" t="s">
        <v>1052</v>
      </c>
      <c r="D129" s="6" t="s">
        <v>1060</v>
      </c>
      <c r="E129" s="6" t="s">
        <v>1054</v>
      </c>
      <c r="F129" s="6" t="n">
        <v>400</v>
      </c>
      <c r="G129" s="6" t="s">
        <v>795</v>
      </c>
      <c r="H129" s="7" t="n">
        <v>1</v>
      </c>
      <c r="I129" s="7" t="n">
        <v>400</v>
      </c>
      <c r="J129" s="6" t="n">
        <v>168</v>
      </c>
      <c r="K129" s="7" t="n">
        <v>42</v>
      </c>
      <c r="L129" s="6" t="s">
        <v>160</v>
      </c>
      <c r="M129" s="6"/>
      <c r="N129" s="6" t="n">
        <v>0</v>
      </c>
      <c r="O129" s="6" t="n">
        <v>0</v>
      </c>
      <c r="P129" s="6"/>
    </row>
    <row r="130" customFormat="false" ht="15" hidden="false" customHeight="false" outlineLevel="0" collapsed="false">
      <c r="A130" s="6" t="s">
        <v>1061</v>
      </c>
      <c r="B130" s="6" t="s">
        <v>51</v>
      </c>
      <c r="C130" s="6" t="s">
        <v>1052</v>
      </c>
      <c r="D130" s="6" t="s">
        <v>1062</v>
      </c>
      <c r="E130" s="6" t="s">
        <v>1054</v>
      </c>
      <c r="F130" s="6" t="n">
        <v>400</v>
      </c>
      <c r="G130" s="6" t="s">
        <v>795</v>
      </c>
      <c r="H130" s="7" t="n">
        <v>1</v>
      </c>
      <c r="I130" s="7" t="n">
        <v>400</v>
      </c>
      <c r="J130" s="6" t="n">
        <v>151</v>
      </c>
      <c r="K130" s="7" t="n">
        <v>37.8</v>
      </c>
      <c r="L130" s="6" t="s">
        <v>160</v>
      </c>
      <c r="M130" s="6"/>
      <c r="N130" s="6" t="n">
        <v>0</v>
      </c>
      <c r="O130" s="6" t="n">
        <v>0</v>
      </c>
      <c r="P130" s="6"/>
    </row>
    <row r="131" customFormat="false" ht="15" hidden="false" customHeight="false" outlineLevel="0" collapsed="false">
      <c r="A131" s="6" t="s">
        <v>1063</v>
      </c>
      <c r="B131" s="6" t="s">
        <v>51</v>
      </c>
      <c r="C131" s="6" t="s">
        <v>1052</v>
      </c>
      <c r="D131" s="6" t="s">
        <v>1064</v>
      </c>
      <c r="E131" s="6" t="s">
        <v>1054</v>
      </c>
      <c r="F131" s="6" t="n">
        <v>400</v>
      </c>
      <c r="G131" s="6" t="s">
        <v>795</v>
      </c>
      <c r="H131" s="7" t="n">
        <v>1</v>
      </c>
      <c r="I131" s="7" t="n">
        <v>400</v>
      </c>
      <c r="J131" s="6" t="n">
        <v>159</v>
      </c>
      <c r="K131" s="7" t="n">
        <v>39.8</v>
      </c>
      <c r="L131" s="6" t="s">
        <v>160</v>
      </c>
      <c r="M131" s="6"/>
      <c r="N131" s="6" t="n">
        <v>0</v>
      </c>
      <c r="O131" s="6" t="n">
        <v>0</v>
      </c>
      <c r="P131" s="6"/>
    </row>
    <row r="132" customFormat="false" ht="15" hidden="false" customHeight="false" outlineLevel="0" collapsed="false">
      <c r="A132" s="6" t="s">
        <v>1065</v>
      </c>
      <c r="B132" s="6" t="s">
        <v>51</v>
      </c>
      <c r="C132" s="6" t="s">
        <v>1052</v>
      </c>
      <c r="D132" s="6" t="s">
        <v>1066</v>
      </c>
      <c r="E132" s="6" t="s">
        <v>1054</v>
      </c>
      <c r="F132" s="6" t="n">
        <v>400</v>
      </c>
      <c r="G132" s="6" t="s">
        <v>795</v>
      </c>
      <c r="H132" s="7" t="n">
        <v>1</v>
      </c>
      <c r="I132" s="7" t="n">
        <v>400</v>
      </c>
      <c r="J132" s="6" t="n">
        <v>200</v>
      </c>
      <c r="K132" s="7" t="n">
        <v>50</v>
      </c>
      <c r="L132" s="6" t="s">
        <v>160</v>
      </c>
      <c r="M132" s="6"/>
      <c r="N132" s="6" t="n">
        <v>0</v>
      </c>
      <c r="O132" s="6" t="n">
        <v>0</v>
      </c>
      <c r="P132" s="6" t="s">
        <v>151</v>
      </c>
    </row>
    <row r="133" customFormat="false" ht="15" hidden="false" customHeight="false" outlineLevel="0" collapsed="false">
      <c r="A133" s="6" t="s">
        <v>1067</v>
      </c>
      <c r="B133" s="6" t="s">
        <v>51</v>
      </c>
      <c r="C133" s="6" t="s">
        <v>1052</v>
      </c>
      <c r="D133" s="6" t="s">
        <v>1068</v>
      </c>
      <c r="E133" s="6" t="s">
        <v>1054</v>
      </c>
      <c r="F133" s="6" t="n">
        <v>400</v>
      </c>
      <c r="G133" s="6" t="s">
        <v>795</v>
      </c>
      <c r="H133" s="7" t="n">
        <v>1</v>
      </c>
      <c r="I133" s="7" t="n">
        <v>400</v>
      </c>
      <c r="J133" s="6" t="n">
        <v>145</v>
      </c>
      <c r="K133" s="7" t="n">
        <v>36.2</v>
      </c>
      <c r="L133" s="6" t="s">
        <v>160</v>
      </c>
      <c r="M133" s="6"/>
      <c r="N133" s="6" t="n">
        <v>0</v>
      </c>
      <c r="O133" s="6" t="n">
        <v>0</v>
      </c>
      <c r="P133" s="6"/>
    </row>
    <row r="134" customFormat="false" ht="15" hidden="false" customHeight="false" outlineLevel="0" collapsed="false">
      <c r="A134" s="6" t="s">
        <v>1069</v>
      </c>
      <c r="B134" s="6" t="s">
        <v>51</v>
      </c>
      <c r="C134" s="6" t="s">
        <v>1052</v>
      </c>
      <c r="D134" s="6" t="s">
        <v>1070</v>
      </c>
      <c r="E134" s="6" t="s">
        <v>1054</v>
      </c>
      <c r="F134" s="6" t="n">
        <v>400</v>
      </c>
      <c r="G134" s="6" t="s">
        <v>795</v>
      </c>
      <c r="H134" s="7" t="n">
        <v>1</v>
      </c>
      <c r="I134" s="7" t="n">
        <v>400</v>
      </c>
      <c r="J134" s="6" t="n">
        <v>152</v>
      </c>
      <c r="K134" s="7" t="n">
        <v>38</v>
      </c>
      <c r="L134" s="6" t="s">
        <v>160</v>
      </c>
      <c r="M134" s="6"/>
      <c r="N134" s="6" t="n">
        <v>0</v>
      </c>
      <c r="O134" s="6" t="n">
        <v>0</v>
      </c>
      <c r="P134" s="6"/>
    </row>
    <row r="135" customFormat="false" ht="15" hidden="false" customHeight="false" outlineLevel="0" collapsed="false">
      <c r="A135" s="6" t="s">
        <v>1071</v>
      </c>
      <c r="B135" s="6" t="s">
        <v>51</v>
      </c>
      <c r="C135" s="6" t="s">
        <v>1052</v>
      </c>
      <c r="D135" s="6" t="s">
        <v>1072</v>
      </c>
      <c r="E135" s="6" t="s">
        <v>1054</v>
      </c>
      <c r="F135" s="6" t="n">
        <v>400</v>
      </c>
      <c r="G135" s="6" t="s">
        <v>795</v>
      </c>
      <c r="H135" s="7" t="n">
        <v>1</v>
      </c>
      <c r="I135" s="7" t="n">
        <v>400</v>
      </c>
      <c r="J135" s="6" t="n">
        <v>138</v>
      </c>
      <c r="K135" s="7" t="n">
        <v>34.5</v>
      </c>
      <c r="L135" s="6" t="s">
        <v>160</v>
      </c>
      <c r="M135" s="6"/>
      <c r="N135" s="6" t="n">
        <v>0</v>
      </c>
      <c r="O135" s="6" t="n">
        <v>0</v>
      </c>
      <c r="P135" s="6"/>
    </row>
    <row r="136" customFormat="false" ht="15" hidden="false" customHeight="false" outlineLevel="0" collapsed="false">
      <c r="A136" s="6" t="s">
        <v>1073</v>
      </c>
      <c r="B136" s="6" t="s">
        <v>51</v>
      </c>
      <c r="C136" s="6" t="s">
        <v>1052</v>
      </c>
      <c r="D136" s="6" t="s">
        <v>1074</v>
      </c>
      <c r="E136" s="6" t="s">
        <v>1054</v>
      </c>
      <c r="F136" s="6" t="n">
        <v>400</v>
      </c>
      <c r="G136" s="6" t="s">
        <v>795</v>
      </c>
      <c r="H136" s="7" t="n">
        <v>1</v>
      </c>
      <c r="I136" s="7" t="n">
        <v>400</v>
      </c>
      <c r="J136" s="6" t="n">
        <v>180</v>
      </c>
      <c r="K136" s="7" t="n">
        <v>45</v>
      </c>
      <c r="L136" s="6" t="s">
        <v>160</v>
      </c>
      <c r="M136" s="6"/>
      <c r="N136" s="6" t="n">
        <v>0</v>
      </c>
      <c r="O136" s="6" t="n">
        <v>0</v>
      </c>
      <c r="P136" s="6" t="s">
        <v>157</v>
      </c>
    </row>
    <row r="137" customFormat="false" ht="15" hidden="false" customHeight="false" outlineLevel="0" collapsed="false">
      <c r="A137" s="6" t="s">
        <v>1075</v>
      </c>
      <c r="B137" s="6" t="s">
        <v>51</v>
      </c>
      <c r="C137" s="6" t="s">
        <v>1052</v>
      </c>
      <c r="D137" s="6" t="s">
        <v>1076</v>
      </c>
      <c r="E137" s="6" t="s">
        <v>1054</v>
      </c>
      <c r="F137" s="6" t="n">
        <v>400</v>
      </c>
      <c r="G137" s="6" t="s">
        <v>795</v>
      </c>
      <c r="H137" s="7" t="n">
        <v>1</v>
      </c>
      <c r="I137" s="7" t="n">
        <v>400</v>
      </c>
      <c r="J137" s="6" t="n">
        <v>161</v>
      </c>
      <c r="K137" s="7" t="n">
        <v>40.2</v>
      </c>
      <c r="L137" s="6" t="s">
        <v>160</v>
      </c>
      <c r="M137" s="6"/>
      <c r="N137" s="6" t="n">
        <v>0</v>
      </c>
      <c r="O137" s="6" t="n">
        <v>0</v>
      </c>
      <c r="P137" s="6"/>
    </row>
    <row r="138" customFormat="false" ht="15" hidden="false" customHeight="false" outlineLevel="0" collapsed="false">
      <c r="A138" s="6" t="s">
        <v>1077</v>
      </c>
      <c r="B138" s="6" t="s">
        <v>51</v>
      </c>
      <c r="C138" s="6" t="s">
        <v>1052</v>
      </c>
      <c r="D138" s="6" t="s">
        <v>1078</v>
      </c>
      <c r="E138" s="6" t="s">
        <v>1054</v>
      </c>
      <c r="F138" s="6" t="n">
        <v>400</v>
      </c>
      <c r="G138" s="6" t="s">
        <v>795</v>
      </c>
      <c r="H138" s="7" t="n">
        <v>1</v>
      </c>
      <c r="I138" s="7" t="n">
        <v>400</v>
      </c>
      <c r="J138" s="6" t="n">
        <v>136</v>
      </c>
      <c r="K138" s="7" t="n">
        <v>34</v>
      </c>
      <c r="L138" s="6" t="s">
        <v>160</v>
      </c>
      <c r="M138" s="6"/>
      <c r="N138" s="6" t="n">
        <v>0</v>
      </c>
      <c r="O138" s="6" t="n">
        <v>0</v>
      </c>
      <c r="P138" s="6"/>
    </row>
    <row r="139" customFormat="false" ht="15" hidden="false" customHeight="false" outlineLevel="0" collapsed="false">
      <c r="A139" s="6" t="s">
        <v>1079</v>
      </c>
      <c r="B139" s="6" t="s">
        <v>51</v>
      </c>
      <c r="C139" s="6" t="s">
        <v>1052</v>
      </c>
      <c r="D139" s="6" t="s">
        <v>1080</v>
      </c>
      <c r="E139" s="6" t="s">
        <v>1054</v>
      </c>
      <c r="F139" s="6" t="n">
        <v>400</v>
      </c>
      <c r="G139" s="6" t="s">
        <v>795</v>
      </c>
      <c r="H139" s="7" t="n">
        <v>1</v>
      </c>
      <c r="I139" s="7" t="n">
        <v>400</v>
      </c>
      <c r="J139" s="6" t="n">
        <v>129</v>
      </c>
      <c r="K139" s="7" t="n">
        <v>32.2</v>
      </c>
      <c r="L139" s="6" t="s">
        <v>160</v>
      </c>
      <c r="M139" s="6"/>
      <c r="N139" s="6" t="n">
        <v>0</v>
      </c>
      <c r="O139" s="6" t="n">
        <v>0</v>
      </c>
      <c r="P139" s="6"/>
    </row>
    <row r="140" customFormat="false" ht="15" hidden="false" customHeight="false" outlineLevel="0" collapsed="false">
      <c r="A140" s="6" t="s">
        <v>1081</v>
      </c>
      <c r="B140" s="6" t="s">
        <v>51</v>
      </c>
      <c r="C140" s="6" t="s">
        <v>1052</v>
      </c>
      <c r="D140" s="6" t="s">
        <v>1082</v>
      </c>
      <c r="E140" s="6" t="s">
        <v>1054</v>
      </c>
      <c r="F140" s="6" t="n">
        <v>400</v>
      </c>
      <c r="G140" s="6" t="s">
        <v>795</v>
      </c>
      <c r="H140" s="7" t="n">
        <v>1</v>
      </c>
      <c r="I140" s="7" t="n">
        <v>400</v>
      </c>
      <c r="J140" s="6" t="n">
        <v>123</v>
      </c>
      <c r="K140" s="7" t="n">
        <v>30.8</v>
      </c>
      <c r="L140" s="6" t="s">
        <v>160</v>
      </c>
      <c r="M140" s="6"/>
      <c r="N140" s="6" t="n">
        <v>0</v>
      </c>
      <c r="O140" s="6" t="n">
        <v>0</v>
      </c>
      <c r="P140" s="6"/>
    </row>
    <row r="141" customFormat="false" ht="15" hidden="false" customHeight="false" outlineLevel="0" collapsed="false">
      <c r="A141" s="6" t="s">
        <v>1083</v>
      </c>
      <c r="B141" s="6" t="s">
        <v>51</v>
      </c>
      <c r="C141" s="6" t="s">
        <v>1052</v>
      </c>
      <c r="D141" s="6" t="s">
        <v>1084</v>
      </c>
      <c r="E141" s="6" t="s">
        <v>1054</v>
      </c>
      <c r="F141" s="6" t="n">
        <v>400</v>
      </c>
      <c r="G141" s="6" t="s">
        <v>795</v>
      </c>
      <c r="H141" s="7" t="n">
        <v>1</v>
      </c>
      <c r="I141" s="7" t="n">
        <v>400</v>
      </c>
      <c r="J141" s="6" t="n">
        <v>138</v>
      </c>
      <c r="K141" s="7" t="n">
        <v>34.5</v>
      </c>
      <c r="L141" s="6" t="s">
        <v>160</v>
      </c>
      <c r="M141" s="6"/>
      <c r="N141" s="6" t="n">
        <v>0</v>
      </c>
      <c r="O141" s="6" t="n">
        <v>0</v>
      </c>
      <c r="P141" s="6" t="s">
        <v>163</v>
      </c>
    </row>
    <row r="142" customFormat="false" ht="15" hidden="false" customHeight="false" outlineLevel="0" collapsed="false">
      <c r="A142" s="6" t="s">
        <v>1085</v>
      </c>
      <c r="B142" s="6" t="s">
        <v>51</v>
      </c>
      <c r="C142" s="6" t="s">
        <v>1052</v>
      </c>
      <c r="D142" s="6" t="s">
        <v>1086</v>
      </c>
      <c r="E142" s="6" t="s">
        <v>1054</v>
      </c>
      <c r="F142" s="6" t="n">
        <v>400</v>
      </c>
      <c r="G142" s="6" t="s">
        <v>795</v>
      </c>
      <c r="H142" s="7" t="n">
        <v>1</v>
      </c>
      <c r="I142" s="7" t="n">
        <v>400</v>
      </c>
      <c r="J142" s="6" t="n">
        <v>137</v>
      </c>
      <c r="K142" s="7" t="n">
        <v>34.2</v>
      </c>
      <c r="L142" s="6" t="s">
        <v>160</v>
      </c>
      <c r="M142" s="6"/>
      <c r="N142" s="6" t="n">
        <v>0</v>
      </c>
      <c r="O142" s="6" t="n">
        <v>0</v>
      </c>
      <c r="P142" s="6" t="s">
        <v>165</v>
      </c>
    </row>
    <row r="143" customFormat="false" ht="15" hidden="false" customHeight="false" outlineLevel="0" collapsed="false">
      <c r="A143" s="6" t="s">
        <v>1087</v>
      </c>
      <c r="B143" s="6" t="s">
        <v>51</v>
      </c>
      <c r="C143" s="6" t="s">
        <v>1052</v>
      </c>
      <c r="D143" s="6" t="s">
        <v>1088</v>
      </c>
      <c r="E143" s="6" t="s">
        <v>1054</v>
      </c>
      <c r="F143" s="6" t="n">
        <v>400</v>
      </c>
      <c r="G143" s="6" t="s">
        <v>795</v>
      </c>
      <c r="H143" s="7" t="n">
        <v>1</v>
      </c>
      <c r="I143" s="7" t="n">
        <v>400</v>
      </c>
      <c r="J143" s="6" t="n">
        <v>138</v>
      </c>
      <c r="K143" s="7" t="n">
        <v>34.5</v>
      </c>
      <c r="L143" s="6" t="s">
        <v>160</v>
      </c>
      <c r="M143" s="6"/>
      <c r="N143" s="6" t="n">
        <v>0</v>
      </c>
      <c r="O143" s="6" t="n">
        <v>0</v>
      </c>
      <c r="P143" s="6"/>
    </row>
    <row r="144" customFormat="false" ht="15" hidden="false" customHeight="false" outlineLevel="0" collapsed="false">
      <c r="A144" s="6" t="s">
        <v>1089</v>
      </c>
      <c r="B144" s="6" t="s">
        <v>51</v>
      </c>
      <c r="C144" s="6" t="s">
        <v>1052</v>
      </c>
      <c r="D144" s="6" t="s">
        <v>1090</v>
      </c>
      <c r="E144" s="6" t="s">
        <v>1054</v>
      </c>
      <c r="F144" s="8" t="n">
        <v>1200</v>
      </c>
      <c r="G144" s="6" t="s">
        <v>795</v>
      </c>
      <c r="H144" s="7" t="n">
        <v>1</v>
      </c>
      <c r="I144" s="7" t="n">
        <v>1200</v>
      </c>
      <c r="J144" s="6" t="n">
        <v>720</v>
      </c>
      <c r="K144" s="7" t="n">
        <v>60</v>
      </c>
      <c r="L144" s="6" t="s">
        <v>160</v>
      </c>
      <c r="M144" s="6"/>
      <c r="N144" s="6" t="n">
        <v>0</v>
      </c>
      <c r="O144" s="6" t="n">
        <v>0</v>
      </c>
      <c r="P144" s="6" t="s">
        <v>169</v>
      </c>
    </row>
    <row r="145" customFormat="false" ht="15" hidden="false" customHeight="false" outlineLevel="0" collapsed="false">
      <c r="A145" s="6" t="s">
        <v>1091</v>
      </c>
      <c r="B145" s="6" t="s">
        <v>51</v>
      </c>
      <c r="C145" s="6" t="s">
        <v>1052</v>
      </c>
      <c r="D145" s="6" t="s">
        <v>1092</v>
      </c>
      <c r="E145" s="6" t="s">
        <v>1054</v>
      </c>
      <c r="F145" s="8" t="n">
        <v>1200</v>
      </c>
      <c r="G145" s="6" t="s">
        <v>795</v>
      </c>
      <c r="H145" s="7" t="n">
        <v>1</v>
      </c>
      <c r="I145" s="7" t="n">
        <v>1200</v>
      </c>
      <c r="J145" s="6" t="n">
        <v>660</v>
      </c>
      <c r="K145" s="7" t="n">
        <v>55</v>
      </c>
      <c r="L145" s="6" t="s">
        <v>160</v>
      </c>
      <c r="M145" s="6"/>
      <c r="N145" s="6" t="n">
        <v>0</v>
      </c>
      <c r="O145" s="6" t="n">
        <v>0</v>
      </c>
      <c r="P145" s="6" t="s">
        <v>169</v>
      </c>
    </row>
    <row r="146" customFormat="false" ht="15" hidden="false" customHeight="false" outlineLevel="0" collapsed="false">
      <c r="A146" s="6" t="s">
        <v>1093</v>
      </c>
      <c r="B146" s="6" t="s">
        <v>51</v>
      </c>
      <c r="C146" s="6" t="s">
        <v>1052</v>
      </c>
      <c r="D146" s="6" t="s">
        <v>1094</v>
      </c>
      <c r="E146" s="6" t="s">
        <v>1054</v>
      </c>
      <c r="F146" s="8" t="n">
        <v>1200</v>
      </c>
      <c r="G146" s="6" t="s">
        <v>795</v>
      </c>
      <c r="H146" s="7" t="n">
        <v>1</v>
      </c>
      <c r="I146" s="7" t="n">
        <v>1200</v>
      </c>
      <c r="J146" s="6" t="n">
        <v>690</v>
      </c>
      <c r="K146" s="7" t="n">
        <v>57.5</v>
      </c>
      <c r="L146" s="6" t="s">
        <v>160</v>
      </c>
      <c r="M146" s="6"/>
      <c r="N146" s="6" t="n">
        <v>0</v>
      </c>
      <c r="O146" s="6" t="n">
        <v>0</v>
      </c>
      <c r="P146" s="6" t="s">
        <v>169</v>
      </c>
    </row>
    <row r="147" customFormat="false" ht="15" hidden="false" customHeight="false" outlineLevel="0" collapsed="false">
      <c r="A147" s="6" t="s">
        <v>1095</v>
      </c>
      <c r="B147" s="6" t="s">
        <v>51</v>
      </c>
      <c r="C147" s="6" t="s">
        <v>1052</v>
      </c>
      <c r="D147" s="6" t="s">
        <v>1096</v>
      </c>
      <c r="E147" s="6" t="s">
        <v>1054</v>
      </c>
      <c r="F147" s="8" t="n">
        <v>1200</v>
      </c>
      <c r="G147" s="6" t="s">
        <v>795</v>
      </c>
      <c r="H147" s="7" t="n">
        <v>1</v>
      </c>
      <c r="I147" s="7" t="n">
        <v>1200</v>
      </c>
      <c r="J147" s="6" t="n">
        <v>630</v>
      </c>
      <c r="K147" s="7" t="n">
        <v>52.5</v>
      </c>
      <c r="L147" s="6" t="s">
        <v>160</v>
      </c>
      <c r="M147" s="6"/>
      <c r="N147" s="6" t="n">
        <v>0</v>
      </c>
      <c r="O147" s="6" t="n">
        <v>0</v>
      </c>
      <c r="P147" s="6" t="s">
        <v>169</v>
      </c>
    </row>
    <row r="148" customFormat="false" ht="15" hidden="false" customHeight="false" outlineLevel="0" collapsed="false">
      <c r="A148" s="6" t="s">
        <v>1097</v>
      </c>
      <c r="B148" s="6" t="s">
        <v>51</v>
      </c>
      <c r="C148" s="6" t="s">
        <v>1052</v>
      </c>
      <c r="D148" s="6" t="s">
        <v>1098</v>
      </c>
      <c r="E148" s="6" t="s">
        <v>1054</v>
      </c>
      <c r="F148" s="8" t="n">
        <v>1200</v>
      </c>
      <c r="G148" s="6" t="s">
        <v>795</v>
      </c>
      <c r="H148" s="7" t="n">
        <v>1</v>
      </c>
      <c r="I148" s="7" t="n">
        <v>1200</v>
      </c>
      <c r="J148" s="6" t="n">
        <v>670</v>
      </c>
      <c r="K148" s="7" t="n">
        <v>55.8</v>
      </c>
      <c r="L148" s="6" t="s">
        <v>160</v>
      </c>
      <c r="M148" s="6"/>
      <c r="N148" s="6" t="n">
        <v>0</v>
      </c>
      <c r="O148" s="6" t="n">
        <v>0</v>
      </c>
      <c r="P148" s="6" t="s">
        <v>169</v>
      </c>
    </row>
    <row r="149" customFormat="false" ht="15" hidden="false" customHeight="false" outlineLevel="0" collapsed="false">
      <c r="A149" s="6" t="s">
        <v>1099</v>
      </c>
      <c r="B149" s="6" t="s">
        <v>51</v>
      </c>
      <c r="C149" s="6" t="s">
        <v>1052</v>
      </c>
      <c r="D149" s="6" t="s">
        <v>1100</v>
      </c>
      <c r="E149" s="6" t="s">
        <v>1054</v>
      </c>
      <c r="F149" s="8" t="n">
        <v>1200</v>
      </c>
      <c r="G149" s="6" t="s">
        <v>795</v>
      </c>
      <c r="H149" s="7" t="n">
        <v>1</v>
      </c>
      <c r="I149" s="7" t="n">
        <v>1200</v>
      </c>
      <c r="J149" s="6" t="n">
        <v>710</v>
      </c>
      <c r="K149" s="7" t="n">
        <v>59.2</v>
      </c>
      <c r="L149" s="6" t="s">
        <v>160</v>
      </c>
      <c r="M149" s="6"/>
      <c r="N149" s="6" t="n">
        <v>0</v>
      </c>
      <c r="O149" s="6" t="n">
        <v>0</v>
      </c>
      <c r="P149" s="6" t="s">
        <v>169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1"/>
    <col collapsed="false" customWidth="true" hidden="false" outlineLevel="0" max="5" min="3" style="0" width="9"/>
    <col collapsed="false" customWidth="true" hidden="false" outlineLevel="0" max="6" min="6" style="0" width="15"/>
    <col collapsed="false" customWidth="true" hidden="false" outlineLevel="0" max="7" min="7" style="0" width="34"/>
  </cols>
  <sheetData>
    <row r="1" customFormat="false" ht="30" hidden="false" customHeight="true" outlineLevel="0" collapsed="false">
      <c r="A1" s="5" t="s">
        <v>778</v>
      </c>
      <c r="B1" s="5" t="s">
        <v>32</v>
      </c>
      <c r="C1" s="5" t="s">
        <v>179</v>
      </c>
      <c r="D1" s="5" t="s">
        <v>180</v>
      </c>
      <c r="E1" s="5" t="s">
        <v>181</v>
      </c>
      <c r="F1" s="5" t="s">
        <v>1101</v>
      </c>
      <c r="G1" s="5" t="s">
        <v>97</v>
      </c>
    </row>
    <row r="2" customFormat="false" ht="15" hidden="false" customHeight="false" outlineLevel="0" collapsed="false">
      <c r="A2" s="6" t="s">
        <v>820</v>
      </c>
      <c r="B2" s="6" t="s">
        <v>51</v>
      </c>
      <c r="C2" s="7" t="n">
        <v>-14</v>
      </c>
      <c r="D2" s="7" t="n">
        <v>0</v>
      </c>
      <c r="E2" s="7" t="n">
        <v>4</v>
      </c>
      <c r="F2" s="6" t="s">
        <v>1102</v>
      </c>
      <c r="G2" s="6"/>
    </row>
    <row r="3" customFormat="false" ht="15" hidden="false" customHeight="false" outlineLevel="0" collapsed="false">
      <c r="A3" s="6" t="s">
        <v>823</v>
      </c>
      <c r="B3" s="6" t="s">
        <v>51</v>
      </c>
      <c r="C3" s="7" t="n">
        <v>-14</v>
      </c>
      <c r="D3" s="7" t="n">
        <v>0</v>
      </c>
      <c r="E3" s="7" t="n">
        <v>8</v>
      </c>
      <c r="F3" s="6" t="s">
        <v>1102</v>
      </c>
      <c r="G3" s="6"/>
    </row>
    <row r="4" customFormat="false" ht="15" hidden="false" customHeight="false" outlineLevel="0" collapsed="false">
      <c r="A4" s="6" t="s">
        <v>826</v>
      </c>
      <c r="B4" s="6" t="s">
        <v>51</v>
      </c>
      <c r="C4" s="7" t="n">
        <v>-14</v>
      </c>
      <c r="D4" s="7" t="n">
        <v>0</v>
      </c>
      <c r="E4" s="7" t="n">
        <v>12</v>
      </c>
      <c r="F4" s="6" t="s">
        <v>1102</v>
      </c>
      <c r="G4" s="6"/>
    </row>
    <row r="5" customFormat="false" ht="15" hidden="false" customHeight="false" outlineLevel="0" collapsed="false">
      <c r="A5" s="6" t="s">
        <v>828</v>
      </c>
      <c r="B5" s="6" t="s">
        <v>51</v>
      </c>
      <c r="C5" s="7" t="n">
        <v>-14</v>
      </c>
      <c r="D5" s="7" t="n">
        <v>0</v>
      </c>
      <c r="E5" s="7" t="n">
        <v>16</v>
      </c>
      <c r="F5" s="6" t="s">
        <v>1102</v>
      </c>
      <c r="G5" s="6"/>
    </row>
    <row r="6" customFormat="false" ht="15" hidden="false" customHeight="false" outlineLevel="0" collapsed="false">
      <c r="A6" s="6" t="s">
        <v>831</v>
      </c>
      <c r="B6" s="6" t="s">
        <v>51</v>
      </c>
      <c r="C6" s="7" t="n">
        <v>-14</v>
      </c>
      <c r="D6" s="7" t="n">
        <v>0</v>
      </c>
      <c r="E6" s="7" t="n">
        <v>20</v>
      </c>
      <c r="F6" s="6" t="s">
        <v>1102</v>
      </c>
      <c r="G6" s="6"/>
    </row>
    <row r="7" customFormat="false" ht="15" hidden="false" customHeight="false" outlineLevel="0" collapsed="false">
      <c r="A7" s="6" t="s">
        <v>833</v>
      </c>
      <c r="B7" s="6" t="s">
        <v>51</v>
      </c>
      <c r="C7" s="7" t="n">
        <v>-14</v>
      </c>
      <c r="D7" s="7" t="n">
        <v>0</v>
      </c>
      <c r="E7" s="7" t="n">
        <v>24</v>
      </c>
      <c r="F7" s="6" t="s">
        <v>1102</v>
      </c>
      <c r="G7" s="6"/>
    </row>
    <row r="8" customFormat="false" ht="15" hidden="false" customHeight="false" outlineLevel="0" collapsed="false">
      <c r="A8" s="6" t="s">
        <v>815</v>
      </c>
      <c r="B8" s="6" t="s">
        <v>51</v>
      </c>
      <c r="C8" s="7" t="n">
        <v>-9</v>
      </c>
      <c r="D8" s="7" t="n">
        <v>0</v>
      </c>
      <c r="E8" s="7" t="n">
        <v>6</v>
      </c>
      <c r="F8" s="6" t="s">
        <v>1102</v>
      </c>
      <c r="G8" s="6"/>
    </row>
    <row r="9" customFormat="false" ht="15" hidden="false" customHeight="false" outlineLevel="0" collapsed="false">
      <c r="A9" s="6" t="s">
        <v>818</v>
      </c>
      <c r="B9" s="6" t="s">
        <v>51</v>
      </c>
      <c r="C9" s="7" t="n">
        <v>-9</v>
      </c>
      <c r="D9" s="7" t="n">
        <v>0</v>
      </c>
      <c r="E9" s="7" t="n">
        <v>14</v>
      </c>
      <c r="F9" s="6" t="s">
        <v>1102</v>
      </c>
      <c r="G9" s="6"/>
    </row>
    <row r="10" customFormat="false" ht="15" hidden="false" customHeight="false" outlineLevel="0" collapsed="false">
      <c r="A10" s="6" t="s">
        <v>801</v>
      </c>
      <c r="B10" s="6" t="s">
        <v>51</v>
      </c>
      <c r="C10" s="7" t="n">
        <v>-5</v>
      </c>
      <c r="D10" s="7" t="n">
        <v>0</v>
      </c>
      <c r="E10" s="7" t="n">
        <v>6</v>
      </c>
      <c r="F10" s="6" t="s">
        <v>1102</v>
      </c>
      <c r="G10" s="6"/>
    </row>
    <row r="11" customFormat="false" ht="15" hidden="false" customHeight="false" outlineLevel="0" collapsed="false">
      <c r="A11" s="6" t="s">
        <v>805</v>
      </c>
      <c r="B11" s="6" t="s">
        <v>51</v>
      </c>
      <c r="C11" s="7" t="n">
        <v>-5</v>
      </c>
      <c r="D11" s="7" t="n">
        <v>0</v>
      </c>
      <c r="E11" s="7" t="n">
        <v>14</v>
      </c>
      <c r="F11" s="6" t="s">
        <v>1102</v>
      </c>
      <c r="G11" s="6"/>
    </row>
    <row r="12" customFormat="false" ht="15" hidden="false" customHeight="false" outlineLevel="0" collapsed="false">
      <c r="A12" s="6" t="s">
        <v>836</v>
      </c>
      <c r="B12" s="6" t="s">
        <v>51</v>
      </c>
      <c r="C12" s="7" t="n">
        <v>-2</v>
      </c>
      <c r="D12" s="7" t="n">
        <v>0</v>
      </c>
      <c r="E12" s="7" t="n">
        <v>4</v>
      </c>
      <c r="F12" s="6" t="s">
        <v>1102</v>
      </c>
      <c r="G12" s="6"/>
    </row>
    <row r="13" customFormat="false" ht="15" hidden="false" customHeight="false" outlineLevel="0" collapsed="false">
      <c r="A13" s="6" t="s">
        <v>869</v>
      </c>
      <c r="B13" s="6" t="s">
        <v>51</v>
      </c>
      <c r="C13" s="7" t="n">
        <v>-2</v>
      </c>
      <c r="D13" s="7" t="n">
        <v>0</v>
      </c>
      <c r="E13" s="7" t="n">
        <v>10</v>
      </c>
      <c r="F13" s="6" t="s">
        <v>1102</v>
      </c>
      <c r="G13" s="6"/>
    </row>
    <row r="14" customFormat="false" ht="15" hidden="false" customHeight="false" outlineLevel="0" collapsed="false">
      <c r="A14" s="6" t="s">
        <v>899</v>
      </c>
      <c r="B14" s="6" t="s">
        <v>51</v>
      </c>
      <c r="C14" s="7" t="n">
        <v>-2</v>
      </c>
      <c r="D14" s="7" t="n">
        <v>0</v>
      </c>
      <c r="E14" s="7" t="n">
        <v>18</v>
      </c>
      <c r="F14" s="6" t="s">
        <v>1102</v>
      </c>
      <c r="G14" s="6"/>
    </row>
    <row r="15" customFormat="false" ht="15" hidden="false" customHeight="false" outlineLevel="0" collapsed="false">
      <c r="A15" s="6" t="s">
        <v>929</v>
      </c>
      <c r="B15" s="6" t="s">
        <v>51</v>
      </c>
      <c r="C15" s="7" t="n">
        <v>-2</v>
      </c>
      <c r="D15" s="7" t="n">
        <v>0</v>
      </c>
      <c r="E15" s="7" t="n">
        <v>26</v>
      </c>
      <c r="F15" s="6" t="s">
        <v>1102</v>
      </c>
      <c r="G15" s="6"/>
    </row>
    <row r="16" customFormat="false" ht="15" hidden="false" customHeight="false" outlineLevel="0" collapsed="false">
      <c r="A16" s="6" t="s">
        <v>791</v>
      </c>
      <c r="B16" s="6" t="s">
        <v>51</v>
      </c>
      <c r="C16" s="7" t="n">
        <v>-6</v>
      </c>
      <c r="D16" s="7" t="n">
        <v>0</v>
      </c>
      <c r="E16" s="7" t="n">
        <v>-14</v>
      </c>
      <c r="F16" s="6" t="s">
        <v>1103</v>
      </c>
      <c r="G16" s="6"/>
    </row>
    <row r="17" customFormat="false" ht="15" hidden="false" customHeight="false" outlineLevel="0" collapsed="false">
      <c r="A17" s="6" t="s">
        <v>797</v>
      </c>
      <c r="B17" s="6" t="s">
        <v>51</v>
      </c>
      <c r="C17" s="7" t="n">
        <v>2</v>
      </c>
      <c r="D17" s="7" t="n">
        <v>0</v>
      </c>
      <c r="E17" s="7" t="n">
        <v>-14</v>
      </c>
      <c r="F17" s="6" t="s">
        <v>1103</v>
      </c>
      <c r="G17" s="6"/>
    </row>
    <row r="18" customFormat="false" ht="15" hidden="false" customHeight="false" outlineLevel="0" collapsed="false">
      <c r="A18" s="6" t="s">
        <v>807</v>
      </c>
      <c r="B18" s="6" t="s">
        <v>51</v>
      </c>
      <c r="C18" s="7" t="n">
        <v>10</v>
      </c>
      <c r="D18" s="7" t="n">
        <v>0</v>
      </c>
      <c r="E18" s="7" t="n">
        <v>-12</v>
      </c>
      <c r="F18" s="6" t="s">
        <v>1103</v>
      </c>
      <c r="G18" s="6"/>
    </row>
    <row r="19" customFormat="false" ht="15" hidden="false" customHeight="false" outlineLevel="0" collapsed="false">
      <c r="A19" s="6" t="s">
        <v>811</v>
      </c>
      <c r="B19" s="6" t="s">
        <v>51</v>
      </c>
      <c r="C19" s="7" t="n">
        <v>16</v>
      </c>
      <c r="D19" s="7" t="n">
        <v>0</v>
      </c>
      <c r="E19" s="7" t="n">
        <v>-12</v>
      </c>
      <c r="F19" s="6" t="s">
        <v>1103</v>
      </c>
      <c r="G19" s="6"/>
    </row>
    <row r="20" customFormat="false" ht="15" hidden="false" customHeight="false" outlineLevel="0" collapsed="false">
      <c r="A20" s="6" t="s">
        <v>966</v>
      </c>
      <c r="B20" s="6" t="s">
        <v>51</v>
      </c>
      <c r="C20" s="7" t="n">
        <v>24</v>
      </c>
      <c r="D20" s="7" t="n">
        <v>0</v>
      </c>
      <c r="E20" s="7" t="n">
        <v>-12</v>
      </c>
      <c r="F20" s="6" t="s">
        <v>1103</v>
      </c>
      <c r="G20" s="6"/>
    </row>
    <row r="21" customFormat="false" ht="15" hidden="false" customHeight="false" outlineLevel="0" collapsed="false">
      <c r="A21" s="6" t="s">
        <v>969</v>
      </c>
      <c r="B21" s="6" t="s">
        <v>51</v>
      </c>
      <c r="C21" s="7" t="n">
        <v>30</v>
      </c>
      <c r="D21" s="7" t="n">
        <v>0</v>
      </c>
      <c r="E21" s="7" t="n">
        <v>-12</v>
      </c>
      <c r="F21" s="6" t="s">
        <v>1103</v>
      </c>
      <c r="G21" s="6"/>
    </row>
    <row r="22" customFormat="false" ht="15" hidden="false" customHeight="false" outlineLevel="0" collapsed="false">
      <c r="A22" s="6" t="s">
        <v>959</v>
      </c>
      <c r="B22" s="6" t="s">
        <v>51</v>
      </c>
      <c r="C22" s="7" t="n">
        <v>36</v>
      </c>
      <c r="D22" s="7" t="n">
        <v>0</v>
      </c>
      <c r="E22" s="7" t="n">
        <v>-12</v>
      </c>
      <c r="F22" s="6" t="s">
        <v>1103</v>
      </c>
      <c r="G22" s="6"/>
    </row>
    <row r="23" customFormat="false" ht="15" hidden="false" customHeight="false" outlineLevel="0" collapsed="false">
      <c r="A23" s="6" t="s">
        <v>964</v>
      </c>
      <c r="B23" s="6" t="s">
        <v>51</v>
      </c>
      <c r="C23" s="7" t="n">
        <v>42</v>
      </c>
      <c r="D23" s="7" t="n">
        <v>0</v>
      </c>
      <c r="E23" s="7" t="n">
        <v>-12</v>
      </c>
      <c r="F23" s="6" t="s">
        <v>1103</v>
      </c>
      <c r="G23" s="6"/>
    </row>
    <row r="24" customFormat="false" ht="15" hidden="false" customHeight="false" outlineLevel="0" collapsed="false">
      <c r="A24" s="6" t="s">
        <v>971</v>
      </c>
      <c r="B24" s="6" t="s">
        <v>51</v>
      </c>
      <c r="C24" s="7" t="n">
        <v>26</v>
      </c>
      <c r="D24" s="7" t="n">
        <v>0</v>
      </c>
      <c r="E24" s="7" t="n">
        <v>-6</v>
      </c>
      <c r="F24" s="6" t="s">
        <v>1103</v>
      </c>
      <c r="G24" s="6"/>
    </row>
    <row r="25" customFormat="false" ht="15" hidden="false" customHeight="false" outlineLevel="0" collapsed="false">
      <c r="A25" s="6" t="s">
        <v>976</v>
      </c>
      <c r="B25" s="6" t="s">
        <v>51</v>
      </c>
      <c r="C25" s="7" t="n">
        <v>34</v>
      </c>
      <c r="D25" s="7" t="n">
        <v>0</v>
      </c>
      <c r="E25" s="7" t="n">
        <v>-6</v>
      </c>
      <c r="F25" s="6" t="s">
        <v>1103</v>
      </c>
      <c r="G25" s="6"/>
    </row>
    <row r="26" customFormat="false" ht="15" hidden="false" customHeight="false" outlineLevel="0" collapsed="false">
      <c r="A26" s="6" t="s">
        <v>840</v>
      </c>
      <c r="B26" s="6" t="s">
        <v>51</v>
      </c>
      <c r="C26" s="7" t="n">
        <v>8</v>
      </c>
      <c r="D26" s="7" t="n">
        <v>3.5</v>
      </c>
      <c r="E26" s="7" t="n">
        <v>1</v>
      </c>
      <c r="F26" s="6" t="s">
        <v>1104</v>
      </c>
      <c r="G26" s="6" t="s">
        <v>1105</v>
      </c>
    </row>
    <row r="27" customFormat="false" ht="15" hidden="false" customHeight="false" outlineLevel="0" collapsed="false">
      <c r="A27" s="6" t="s">
        <v>872</v>
      </c>
      <c r="B27" s="6" t="s">
        <v>51</v>
      </c>
      <c r="C27" s="7" t="n">
        <v>28</v>
      </c>
      <c r="D27" s="7" t="n">
        <v>3.5</v>
      </c>
      <c r="E27" s="7" t="n">
        <v>1</v>
      </c>
      <c r="F27" s="6" t="s">
        <v>1104</v>
      </c>
      <c r="G27" s="6" t="s">
        <v>1105</v>
      </c>
    </row>
    <row r="28" customFormat="false" ht="15" hidden="false" customHeight="false" outlineLevel="0" collapsed="false">
      <c r="A28" s="6" t="s">
        <v>902</v>
      </c>
      <c r="B28" s="6" t="s">
        <v>51</v>
      </c>
      <c r="C28" s="7" t="n">
        <v>8</v>
      </c>
      <c r="D28" s="7" t="n">
        <v>3.5</v>
      </c>
      <c r="E28" s="7" t="n">
        <v>45</v>
      </c>
      <c r="F28" s="6" t="s">
        <v>1104</v>
      </c>
      <c r="G28" s="6" t="s">
        <v>1105</v>
      </c>
    </row>
    <row r="29" customFormat="false" ht="15" hidden="false" customHeight="false" outlineLevel="0" collapsed="false">
      <c r="A29" s="6" t="s">
        <v>932</v>
      </c>
      <c r="B29" s="6" t="s">
        <v>51</v>
      </c>
      <c r="C29" s="7" t="n">
        <v>28</v>
      </c>
      <c r="D29" s="7" t="n">
        <v>3.5</v>
      </c>
      <c r="E29" s="7" t="n">
        <v>45</v>
      </c>
      <c r="F29" s="6" t="s">
        <v>1104</v>
      </c>
      <c r="G29" s="6" t="s">
        <v>1105</v>
      </c>
    </row>
    <row r="30" customFormat="false" ht="15" hidden="false" customHeight="false" outlineLevel="0" collapsed="false">
      <c r="A30" s="6" t="s">
        <v>193</v>
      </c>
      <c r="B30" s="6" t="s">
        <v>51</v>
      </c>
      <c r="C30" s="7" t="n">
        <v>0.8</v>
      </c>
      <c r="D30" s="7" t="n">
        <v>0</v>
      </c>
      <c r="E30" s="7" t="n">
        <v>3</v>
      </c>
      <c r="F30" s="6" t="s">
        <v>1106</v>
      </c>
      <c r="G30" s="6" t="s">
        <v>1107</v>
      </c>
    </row>
    <row r="31" customFormat="false" ht="15" hidden="false" customHeight="false" outlineLevel="0" collapsed="false">
      <c r="A31" s="6" t="s">
        <v>205</v>
      </c>
      <c r="B31" s="6" t="s">
        <v>51</v>
      </c>
      <c r="C31" s="7" t="n">
        <v>15.2</v>
      </c>
      <c r="D31" s="7" t="n">
        <v>0</v>
      </c>
      <c r="E31" s="7" t="n">
        <v>3</v>
      </c>
      <c r="F31" s="6" t="s">
        <v>1106</v>
      </c>
      <c r="G31" s="6" t="s">
        <v>1108</v>
      </c>
    </row>
    <row r="32" customFormat="false" ht="15" hidden="false" customHeight="false" outlineLevel="0" collapsed="false">
      <c r="A32" s="6" t="s">
        <v>194</v>
      </c>
      <c r="B32" s="6" t="s">
        <v>51</v>
      </c>
      <c r="C32" s="7" t="n">
        <v>-0.6</v>
      </c>
      <c r="D32" s="7" t="n">
        <v>0</v>
      </c>
      <c r="E32" s="7" t="n">
        <v>3</v>
      </c>
      <c r="F32" s="6" t="s">
        <v>1106</v>
      </c>
      <c r="G32" s="6" t="s">
        <v>1109</v>
      </c>
    </row>
    <row r="33" customFormat="false" ht="15" hidden="false" customHeight="false" outlineLevel="0" collapsed="false">
      <c r="A33" s="6" t="s">
        <v>206</v>
      </c>
      <c r="B33" s="6" t="s">
        <v>51</v>
      </c>
      <c r="C33" s="7" t="n">
        <v>16.6</v>
      </c>
      <c r="D33" s="7" t="n">
        <v>0</v>
      </c>
      <c r="E33" s="7" t="n">
        <v>3</v>
      </c>
      <c r="F33" s="6" t="s">
        <v>1106</v>
      </c>
      <c r="G33" s="6" t="s">
        <v>1110</v>
      </c>
    </row>
    <row r="34" customFormat="false" ht="15" hidden="false" customHeight="false" outlineLevel="0" collapsed="false">
      <c r="A34" s="6" t="s">
        <v>218</v>
      </c>
      <c r="B34" s="6" t="s">
        <v>51</v>
      </c>
      <c r="C34" s="7" t="n">
        <v>0.8</v>
      </c>
      <c r="D34" s="7" t="n">
        <v>0</v>
      </c>
      <c r="E34" s="7" t="n">
        <v>5.4</v>
      </c>
      <c r="F34" s="6" t="s">
        <v>1106</v>
      </c>
      <c r="G34" s="6" t="s">
        <v>1111</v>
      </c>
    </row>
    <row r="35" customFormat="false" ht="15" hidden="false" customHeight="false" outlineLevel="0" collapsed="false">
      <c r="A35" s="6" t="s">
        <v>230</v>
      </c>
      <c r="B35" s="6" t="s">
        <v>51</v>
      </c>
      <c r="C35" s="7" t="n">
        <v>15.2</v>
      </c>
      <c r="D35" s="7" t="n">
        <v>0</v>
      </c>
      <c r="E35" s="7" t="n">
        <v>5.4</v>
      </c>
      <c r="F35" s="6" t="s">
        <v>1106</v>
      </c>
      <c r="G35" s="6" t="s">
        <v>1112</v>
      </c>
    </row>
    <row r="36" customFormat="false" ht="15" hidden="false" customHeight="false" outlineLevel="0" collapsed="false">
      <c r="A36" s="6" t="s">
        <v>219</v>
      </c>
      <c r="B36" s="6" t="s">
        <v>51</v>
      </c>
      <c r="C36" s="7" t="n">
        <v>-0.6</v>
      </c>
      <c r="D36" s="7" t="n">
        <v>0</v>
      </c>
      <c r="E36" s="7" t="n">
        <v>5.4</v>
      </c>
      <c r="F36" s="6" t="s">
        <v>1106</v>
      </c>
      <c r="G36" s="6" t="s">
        <v>1113</v>
      </c>
    </row>
    <row r="37" customFormat="false" ht="15" hidden="false" customHeight="false" outlineLevel="0" collapsed="false">
      <c r="A37" s="6" t="s">
        <v>231</v>
      </c>
      <c r="B37" s="6" t="s">
        <v>51</v>
      </c>
      <c r="C37" s="7" t="n">
        <v>16.6</v>
      </c>
      <c r="D37" s="7" t="n">
        <v>0</v>
      </c>
      <c r="E37" s="7" t="n">
        <v>5.4</v>
      </c>
      <c r="F37" s="6" t="s">
        <v>1106</v>
      </c>
      <c r="G37" s="6" t="s">
        <v>1114</v>
      </c>
    </row>
    <row r="38" customFormat="false" ht="15" hidden="false" customHeight="false" outlineLevel="0" collapsed="false">
      <c r="A38" s="6" t="s">
        <v>243</v>
      </c>
      <c r="B38" s="6" t="s">
        <v>51</v>
      </c>
      <c r="C38" s="7" t="n">
        <v>0.8</v>
      </c>
      <c r="D38" s="7" t="n">
        <v>0</v>
      </c>
      <c r="E38" s="7" t="n">
        <v>7.8</v>
      </c>
      <c r="F38" s="6" t="s">
        <v>1106</v>
      </c>
      <c r="G38" s="6" t="s">
        <v>1115</v>
      </c>
    </row>
    <row r="39" customFormat="false" ht="15" hidden="false" customHeight="false" outlineLevel="0" collapsed="false">
      <c r="A39" s="6" t="s">
        <v>255</v>
      </c>
      <c r="B39" s="6" t="s">
        <v>51</v>
      </c>
      <c r="C39" s="7" t="n">
        <v>15.2</v>
      </c>
      <c r="D39" s="7" t="n">
        <v>0</v>
      </c>
      <c r="E39" s="7" t="n">
        <v>7.8</v>
      </c>
      <c r="F39" s="6" t="s">
        <v>1106</v>
      </c>
      <c r="G39" s="6" t="s">
        <v>1116</v>
      </c>
    </row>
    <row r="40" customFormat="false" ht="15" hidden="false" customHeight="false" outlineLevel="0" collapsed="false">
      <c r="A40" s="6" t="s">
        <v>244</v>
      </c>
      <c r="B40" s="6" t="s">
        <v>51</v>
      </c>
      <c r="C40" s="7" t="n">
        <v>-0.6</v>
      </c>
      <c r="D40" s="7" t="n">
        <v>0</v>
      </c>
      <c r="E40" s="7" t="n">
        <v>7.8</v>
      </c>
      <c r="F40" s="6" t="s">
        <v>1106</v>
      </c>
      <c r="G40" s="6" t="s">
        <v>1117</v>
      </c>
    </row>
    <row r="41" customFormat="false" ht="15" hidden="false" customHeight="false" outlineLevel="0" collapsed="false">
      <c r="A41" s="6" t="s">
        <v>256</v>
      </c>
      <c r="B41" s="6" t="s">
        <v>51</v>
      </c>
      <c r="C41" s="7" t="n">
        <v>16.6</v>
      </c>
      <c r="D41" s="7" t="n">
        <v>0</v>
      </c>
      <c r="E41" s="7" t="n">
        <v>7.8</v>
      </c>
      <c r="F41" s="6" t="s">
        <v>1106</v>
      </c>
      <c r="G41" s="6" t="s">
        <v>1118</v>
      </c>
    </row>
    <row r="42" customFormat="false" ht="15" hidden="false" customHeight="false" outlineLevel="0" collapsed="false">
      <c r="A42" s="6" t="s">
        <v>269</v>
      </c>
      <c r="B42" s="6" t="s">
        <v>51</v>
      </c>
      <c r="C42" s="7" t="n">
        <v>0.8</v>
      </c>
      <c r="D42" s="7" t="n">
        <v>0</v>
      </c>
      <c r="E42" s="7" t="n">
        <v>10.2</v>
      </c>
      <c r="F42" s="6" t="s">
        <v>1106</v>
      </c>
      <c r="G42" s="6" t="s">
        <v>1119</v>
      </c>
    </row>
    <row r="43" customFormat="false" ht="15" hidden="false" customHeight="false" outlineLevel="0" collapsed="false">
      <c r="A43" s="6" t="s">
        <v>281</v>
      </c>
      <c r="B43" s="6" t="s">
        <v>51</v>
      </c>
      <c r="C43" s="7" t="n">
        <v>15.2</v>
      </c>
      <c r="D43" s="7" t="n">
        <v>0</v>
      </c>
      <c r="E43" s="7" t="n">
        <v>10.2</v>
      </c>
      <c r="F43" s="6" t="s">
        <v>1106</v>
      </c>
      <c r="G43" s="6" t="s">
        <v>1120</v>
      </c>
    </row>
    <row r="44" customFormat="false" ht="15" hidden="false" customHeight="false" outlineLevel="0" collapsed="false">
      <c r="A44" s="6" t="s">
        <v>270</v>
      </c>
      <c r="B44" s="6" t="s">
        <v>51</v>
      </c>
      <c r="C44" s="7" t="n">
        <v>-0.6</v>
      </c>
      <c r="D44" s="7" t="n">
        <v>0</v>
      </c>
      <c r="E44" s="7" t="n">
        <v>10.2</v>
      </c>
      <c r="F44" s="6" t="s">
        <v>1106</v>
      </c>
      <c r="G44" s="6" t="s">
        <v>1121</v>
      </c>
    </row>
    <row r="45" customFormat="false" ht="15" hidden="false" customHeight="false" outlineLevel="0" collapsed="false">
      <c r="A45" s="6" t="s">
        <v>282</v>
      </c>
      <c r="B45" s="6" t="s">
        <v>51</v>
      </c>
      <c r="C45" s="7" t="n">
        <v>16.6</v>
      </c>
      <c r="D45" s="7" t="n">
        <v>0</v>
      </c>
      <c r="E45" s="7" t="n">
        <v>10.2</v>
      </c>
      <c r="F45" s="6" t="s">
        <v>1106</v>
      </c>
      <c r="G45" s="6" t="s">
        <v>1122</v>
      </c>
    </row>
    <row r="46" customFormat="false" ht="15" hidden="false" customHeight="false" outlineLevel="0" collapsed="false">
      <c r="A46" s="6" t="s">
        <v>294</v>
      </c>
      <c r="B46" s="6" t="s">
        <v>51</v>
      </c>
      <c r="C46" s="7" t="n">
        <v>0.8</v>
      </c>
      <c r="D46" s="7" t="n">
        <v>0</v>
      </c>
      <c r="E46" s="7" t="n">
        <v>12.6</v>
      </c>
      <c r="F46" s="6" t="s">
        <v>1106</v>
      </c>
      <c r="G46" s="6" t="s">
        <v>1123</v>
      </c>
    </row>
    <row r="47" customFormat="false" ht="15" hidden="false" customHeight="false" outlineLevel="0" collapsed="false">
      <c r="A47" s="6" t="s">
        <v>306</v>
      </c>
      <c r="B47" s="6" t="s">
        <v>51</v>
      </c>
      <c r="C47" s="7" t="n">
        <v>15.2</v>
      </c>
      <c r="D47" s="7" t="n">
        <v>0</v>
      </c>
      <c r="E47" s="7" t="n">
        <v>12.6</v>
      </c>
      <c r="F47" s="6" t="s">
        <v>1106</v>
      </c>
      <c r="G47" s="6" t="s">
        <v>1124</v>
      </c>
    </row>
    <row r="48" customFormat="false" ht="15" hidden="false" customHeight="false" outlineLevel="0" collapsed="false">
      <c r="A48" s="6" t="s">
        <v>295</v>
      </c>
      <c r="B48" s="6" t="s">
        <v>51</v>
      </c>
      <c r="C48" s="7" t="n">
        <v>-0.6</v>
      </c>
      <c r="D48" s="7" t="n">
        <v>0</v>
      </c>
      <c r="E48" s="7" t="n">
        <v>12.6</v>
      </c>
      <c r="F48" s="6" t="s">
        <v>1106</v>
      </c>
      <c r="G48" s="6" t="s">
        <v>1125</v>
      </c>
    </row>
    <row r="49" customFormat="false" ht="15" hidden="false" customHeight="false" outlineLevel="0" collapsed="false">
      <c r="A49" s="6" t="s">
        <v>307</v>
      </c>
      <c r="B49" s="6" t="s">
        <v>51</v>
      </c>
      <c r="C49" s="7" t="n">
        <v>16.6</v>
      </c>
      <c r="D49" s="7" t="n">
        <v>0</v>
      </c>
      <c r="E49" s="7" t="n">
        <v>12.6</v>
      </c>
      <c r="F49" s="6" t="s">
        <v>1106</v>
      </c>
      <c r="G49" s="6" t="s">
        <v>1126</v>
      </c>
    </row>
    <row r="50" customFormat="false" ht="15" hidden="false" customHeight="false" outlineLevel="0" collapsed="false">
      <c r="A50" s="6" t="s">
        <v>319</v>
      </c>
      <c r="B50" s="6" t="s">
        <v>51</v>
      </c>
      <c r="C50" s="7" t="n">
        <v>0.8</v>
      </c>
      <c r="D50" s="7" t="n">
        <v>0</v>
      </c>
      <c r="E50" s="7" t="n">
        <v>15</v>
      </c>
      <c r="F50" s="6" t="s">
        <v>1106</v>
      </c>
      <c r="G50" s="6" t="s">
        <v>1127</v>
      </c>
    </row>
    <row r="51" customFormat="false" ht="15" hidden="false" customHeight="false" outlineLevel="0" collapsed="false">
      <c r="A51" s="6" t="s">
        <v>331</v>
      </c>
      <c r="B51" s="6" t="s">
        <v>51</v>
      </c>
      <c r="C51" s="7" t="n">
        <v>15.2</v>
      </c>
      <c r="D51" s="7" t="n">
        <v>0</v>
      </c>
      <c r="E51" s="7" t="n">
        <v>15</v>
      </c>
      <c r="F51" s="6" t="s">
        <v>1106</v>
      </c>
      <c r="G51" s="6" t="s">
        <v>1128</v>
      </c>
    </row>
    <row r="52" customFormat="false" ht="15" hidden="false" customHeight="false" outlineLevel="0" collapsed="false">
      <c r="A52" s="6" t="s">
        <v>320</v>
      </c>
      <c r="B52" s="6" t="s">
        <v>51</v>
      </c>
      <c r="C52" s="7" t="n">
        <v>-0.6</v>
      </c>
      <c r="D52" s="7" t="n">
        <v>0</v>
      </c>
      <c r="E52" s="7" t="n">
        <v>15</v>
      </c>
      <c r="F52" s="6" t="s">
        <v>1106</v>
      </c>
      <c r="G52" s="6" t="s">
        <v>1129</v>
      </c>
    </row>
    <row r="53" customFormat="false" ht="15" hidden="false" customHeight="false" outlineLevel="0" collapsed="false">
      <c r="A53" s="6" t="s">
        <v>332</v>
      </c>
      <c r="B53" s="6" t="s">
        <v>51</v>
      </c>
      <c r="C53" s="7" t="n">
        <v>16.6</v>
      </c>
      <c r="D53" s="7" t="n">
        <v>0</v>
      </c>
      <c r="E53" s="7" t="n">
        <v>15</v>
      </c>
      <c r="F53" s="6" t="s">
        <v>1106</v>
      </c>
      <c r="G53" s="6" t="s">
        <v>1130</v>
      </c>
    </row>
    <row r="54" customFormat="false" ht="15" hidden="false" customHeight="false" outlineLevel="0" collapsed="false">
      <c r="A54" s="6" t="s">
        <v>343</v>
      </c>
      <c r="B54" s="6" t="s">
        <v>51</v>
      </c>
      <c r="C54" s="7" t="n">
        <v>20.8</v>
      </c>
      <c r="D54" s="7" t="n">
        <v>0</v>
      </c>
      <c r="E54" s="7" t="n">
        <v>3</v>
      </c>
      <c r="F54" s="6" t="s">
        <v>1106</v>
      </c>
      <c r="G54" s="6" t="s">
        <v>1131</v>
      </c>
    </row>
    <row r="55" customFormat="false" ht="15" hidden="false" customHeight="false" outlineLevel="0" collapsed="false">
      <c r="A55" s="6" t="s">
        <v>355</v>
      </c>
      <c r="B55" s="6" t="s">
        <v>51</v>
      </c>
      <c r="C55" s="7" t="n">
        <v>35.2</v>
      </c>
      <c r="D55" s="7" t="n">
        <v>0</v>
      </c>
      <c r="E55" s="7" t="n">
        <v>3</v>
      </c>
      <c r="F55" s="6" t="s">
        <v>1106</v>
      </c>
      <c r="G55" s="6" t="s">
        <v>1132</v>
      </c>
    </row>
    <row r="56" customFormat="false" ht="15" hidden="false" customHeight="false" outlineLevel="0" collapsed="false">
      <c r="A56" s="6" t="s">
        <v>344</v>
      </c>
      <c r="B56" s="6" t="s">
        <v>51</v>
      </c>
      <c r="C56" s="7" t="n">
        <v>19.4</v>
      </c>
      <c r="D56" s="7" t="n">
        <v>0</v>
      </c>
      <c r="E56" s="7" t="n">
        <v>3</v>
      </c>
      <c r="F56" s="6" t="s">
        <v>1106</v>
      </c>
      <c r="G56" s="6" t="s">
        <v>1133</v>
      </c>
    </row>
    <row r="57" customFormat="false" ht="15" hidden="false" customHeight="false" outlineLevel="0" collapsed="false">
      <c r="A57" s="6" t="s">
        <v>356</v>
      </c>
      <c r="B57" s="6" t="s">
        <v>51</v>
      </c>
      <c r="C57" s="7" t="n">
        <v>36.6</v>
      </c>
      <c r="D57" s="7" t="n">
        <v>0</v>
      </c>
      <c r="E57" s="7" t="n">
        <v>3</v>
      </c>
      <c r="F57" s="6" t="s">
        <v>1106</v>
      </c>
      <c r="G57" s="6" t="s">
        <v>1134</v>
      </c>
    </row>
    <row r="58" customFormat="false" ht="15" hidden="false" customHeight="false" outlineLevel="0" collapsed="false">
      <c r="A58" s="6" t="s">
        <v>367</v>
      </c>
      <c r="B58" s="6" t="s">
        <v>51</v>
      </c>
      <c r="C58" s="7" t="n">
        <v>20.8</v>
      </c>
      <c r="D58" s="7" t="n">
        <v>0</v>
      </c>
      <c r="E58" s="7" t="n">
        <v>5.4</v>
      </c>
      <c r="F58" s="6" t="s">
        <v>1106</v>
      </c>
      <c r="G58" s="6" t="s">
        <v>1135</v>
      </c>
    </row>
    <row r="59" customFormat="false" ht="15" hidden="false" customHeight="false" outlineLevel="0" collapsed="false">
      <c r="A59" s="6" t="s">
        <v>379</v>
      </c>
      <c r="B59" s="6" t="s">
        <v>51</v>
      </c>
      <c r="C59" s="7" t="n">
        <v>35.2</v>
      </c>
      <c r="D59" s="7" t="n">
        <v>0</v>
      </c>
      <c r="E59" s="7" t="n">
        <v>5.4</v>
      </c>
      <c r="F59" s="6" t="s">
        <v>1106</v>
      </c>
      <c r="G59" s="6" t="s">
        <v>1136</v>
      </c>
    </row>
    <row r="60" customFormat="false" ht="15" hidden="false" customHeight="false" outlineLevel="0" collapsed="false">
      <c r="A60" s="6" t="s">
        <v>368</v>
      </c>
      <c r="B60" s="6" t="s">
        <v>51</v>
      </c>
      <c r="C60" s="7" t="n">
        <v>19.4</v>
      </c>
      <c r="D60" s="7" t="n">
        <v>0</v>
      </c>
      <c r="E60" s="7" t="n">
        <v>5.4</v>
      </c>
      <c r="F60" s="6" t="s">
        <v>1106</v>
      </c>
      <c r="G60" s="6" t="s">
        <v>1137</v>
      </c>
    </row>
    <row r="61" customFormat="false" ht="15" hidden="false" customHeight="false" outlineLevel="0" collapsed="false">
      <c r="A61" s="6" t="s">
        <v>380</v>
      </c>
      <c r="B61" s="6" t="s">
        <v>51</v>
      </c>
      <c r="C61" s="7" t="n">
        <v>36.6</v>
      </c>
      <c r="D61" s="7" t="n">
        <v>0</v>
      </c>
      <c r="E61" s="7" t="n">
        <v>5.4</v>
      </c>
      <c r="F61" s="6" t="s">
        <v>1106</v>
      </c>
      <c r="G61" s="6" t="s">
        <v>1138</v>
      </c>
    </row>
    <row r="62" customFormat="false" ht="15" hidden="false" customHeight="false" outlineLevel="0" collapsed="false">
      <c r="A62" s="6" t="s">
        <v>391</v>
      </c>
      <c r="B62" s="6" t="s">
        <v>51</v>
      </c>
      <c r="C62" s="7" t="n">
        <v>20.8</v>
      </c>
      <c r="D62" s="7" t="n">
        <v>0</v>
      </c>
      <c r="E62" s="7" t="n">
        <v>7.8</v>
      </c>
      <c r="F62" s="6" t="s">
        <v>1106</v>
      </c>
      <c r="G62" s="6" t="s">
        <v>1139</v>
      </c>
    </row>
    <row r="63" customFormat="false" ht="15" hidden="false" customHeight="false" outlineLevel="0" collapsed="false">
      <c r="A63" s="6" t="s">
        <v>403</v>
      </c>
      <c r="B63" s="6" t="s">
        <v>51</v>
      </c>
      <c r="C63" s="7" t="n">
        <v>35.2</v>
      </c>
      <c r="D63" s="7" t="n">
        <v>0</v>
      </c>
      <c r="E63" s="7" t="n">
        <v>7.8</v>
      </c>
      <c r="F63" s="6" t="s">
        <v>1106</v>
      </c>
      <c r="G63" s="6" t="s">
        <v>1140</v>
      </c>
    </row>
    <row r="64" customFormat="false" ht="15" hidden="false" customHeight="false" outlineLevel="0" collapsed="false">
      <c r="A64" s="6" t="s">
        <v>392</v>
      </c>
      <c r="B64" s="6" t="s">
        <v>51</v>
      </c>
      <c r="C64" s="7" t="n">
        <v>19.4</v>
      </c>
      <c r="D64" s="7" t="n">
        <v>0</v>
      </c>
      <c r="E64" s="7" t="n">
        <v>7.8</v>
      </c>
      <c r="F64" s="6" t="s">
        <v>1106</v>
      </c>
      <c r="G64" s="6" t="s">
        <v>1141</v>
      </c>
    </row>
    <row r="65" customFormat="false" ht="15" hidden="false" customHeight="false" outlineLevel="0" collapsed="false">
      <c r="A65" s="6" t="s">
        <v>404</v>
      </c>
      <c r="B65" s="6" t="s">
        <v>51</v>
      </c>
      <c r="C65" s="7" t="n">
        <v>36.6</v>
      </c>
      <c r="D65" s="7" t="n">
        <v>0</v>
      </c>
      <c r="E65" s="7" t="n">
        <v>7.8</v>
      </c>
      <c r="F65" s="6" t="s">
        <v>1106</v>
      </c>
      <c r="G65" s="6" t="s">
        <v>1142</v>
      </c>
    </row>
    <row r="66" customFormat="false" ht="15" hidden="false" customHeight="false" outlineLevel="0" collapsed="false">
      <c r="A66" s="6" t="s">
        <v>415</v>
      </c>
      <c r="B66" s="6" t="s">
        <v>51</v>
      </c>
      <c r="C66" s="7" t="n">
        <v>20.8</v>
      </c>
      <c r="D66" s="7" t="n">
        <v>0</v>
      </c>
      <c r="E66" s="7" t="n">
        <v>10.2</v>
      </c>
      <c r="F66" s="6" t="s">
        <v>1106</v>
      </c>
      <c r="G66" s="6" t="s">
        <v>1143</v>
      </c>
    </row>
    <row r="67" customFormat="false" ht="15" hidden="false" customHeight="false" outlineLevel="0" collapsed="false">
      <c r="A67" s="6" t="s">
        <v>427</v>
      </c>
      <c r="B67" s="6" t="s">
        <v>51</v>
      </c>
      <c r="C67" s="7" t="n">
        <v>35.2</v>
      </c>
      <c r="D67" s="7" t="n">
        <v>0</v>
      </c>
      <c r="E67" s="7" t="n">
        <v>10.2</v>
      </c>
      <c r="F67" s="6" t="s">
        <v>1106</v>
      </c>
      <c r="G67" s="6" t="s">
        <v>1144</v>
      </c>
    </row>
    <row r="68" customFormat="false" ht="15" hidden="false" customHeight="false" outlineLevel="0" collapsed="false">
      <c r="A68" s="6" t="s">
        <v>416</v>
      </c>
      <c r="B68" s="6" t="s">
        <v>51</v>
      </c>
      <c r="C68" s="7" t="n">
        <v>19.4</v>
      </c>
      <c r="D68" s="7" t="n">
        <v>0</v>
      </c>
      <c r="E68" s="7" t="n">
        <v>10.2</v>
      </c>
      <c r="F68" s="6" t="s">
        <v>1106</v>
      </c>
      <c r="G68" s="6" t="s">
        <v>1145</v>
      </c>
    </row>
    <row r="69" customFormat="false" ht="15" hidden="false" customHeight="false" outlineLevel="0" collapsed="false">
      <c r="A69" s="6" t="s">
        <v>428</v>
      </c>
      <c r="B69" s="6" t="s">
        <v>51</v>
      </c>
      <c r="C69" s="7" t="n">
        <v>36.6</v>
      </c>
      <c r="D69" s="7" t="n">
        <v>0</v>
      </c>
      <c r="E69" s="7" t="n">
        <v>10.2</v>
      </c>
      <c r="F69" s="6" t="s">
        <v>1106</v>
      </c>
      <c r="G69" s="6" t="s">
        <v>1146</v>
      </c>
    </row>
    <row r="70" customFormat="false" ht="15" hidden="false" customHeight="false" outlineLevel="0" collapsed="false">
      <c r="A70" s="6" t="s">
        <v>440</v>
      </c>
      <c r="B70" s="6" t="s">
        <v>51</v>
      </c>
      <c r="C70" s="7" t="n">
        <v>20.8</v>
      </c>
      <c r="D70" s="7" t="n">
        <v>0</v>
      </c>
      <c r="E70" s="7" t="n">
        <v>12.6</v>
      </c>
      <c r="F70" s="6" t="s">
        <v>1106</v>
      </c>
      <c r="G70" s="6" t="s">
        <v>1147</v>
      </c>
    </row>
    <row r="71" customFormat="false" ht="15" hidden="false" customHeight="false" outlineLevel="0" collapsed="false">
      <c r="A71" s="6" t="s">
        <v>452</v>
      </c>
      <c r="B71" s="6" t="s">
        <v>51</v>
      </c>
      <c r="C71" s="7" t="n">
        <v>35.2</v>
      </c>
      <c r="D71" s="7" t="n">
        <v>0</v>
      </c>
      <c r="E71" s="7" t="n">
        <v>12.6</v>
      </c>
      <c r="F71" s="6" t="s">
        <v>1106</v>
      </c>
      <c r="G71" s="6" t="s">
        <v>1148</v>
      </c>
    </row>
    <row r="72" customFormat="false" ht="15" hidden="false" customHeight="false" outlineLevel="0" collapsed="false">
      <c r="A72" s="6" t="s">
        <v>441</v>
      </c>
      <c r="B72" s="6" t="s">
        <v>51</v>
      </c>
      <c r="C72" s="7" t="n">
        <v>19.4</v>
      </c>
      <c r="D72" s="7" t="n">
        <v>0</v>
      </c>
      <c r="E72" s="7" t="n">
        <v>12.6</v>
      </c>
      <c r="F72" s="6" t="s">
        <v>1106</v>
      </c>
      <c r="G72" s="6" t="s">
        <v>1149</v>
      </c>
    </row>
    <row r="73" customFormat="false" ht="15" hidden="false" customHeight="false" outlineLevel="0" collapsed="false">
      <c r="A73" s="6" t="s">
        <v>453</v>
      </c>
      <c r="B73" s="6" t="s">
        <v>51</v>
      </c>
      <c r="C73" s="7" t="n">
        <v>36.6</v>
      </c>
      <c r="D73" s="7" t="n">
        <v>0</v>
      </c>
      <c r="E73" s="7" t="n">
        <v>12.6</v>
      </c>
      <c r="F73" s="6" t="s">
        <v>1106</v>
      </c>
      <c r="G73" s="6" t="s">
        <v>1150</v>
      </c>
    </row>
    <row r="74" customFormat="false" ht="15" hidden="false" customHeight="false" outlineLevel="0" collapsed="false">
      <c r="A74" s="6" t="s">
        <v>464</v>
      </c>
      <c r="B74" s="6" t="s">
        <v>51</v>
      </c>
      <c r="C74" s="7" t="n">
        <v>20.8</v>
      </c>
      <c r="D74" s="7" t="n">
        <v>0</v>
      </c>
      <c r="E74" s="7" t="n">
        <v>15</v>
      </c>
      <c r="F74" s="6" t="s">
        <v>1106</v>
      </c>
      <c r="G74" s="6" t="s">
        <v>1151</v>
      </c>
    </row>
    <row r="75" customFormat="false" ht="15" hidden="false" customHeight="false" outlineLevel="0" collapsed="false">
      <c r="A75" s="6" t="s">
        <v>476</v>
      </c>
      <c r="B75" s="6" t="s">
        <v>51</v>
      </c>
      <c r="C75" s="7" t="n">
        <v>35.2</v>
      </c>
      <c r="D75" s="7" t="n">
        <v>0</v>
      </c>
      <c r="E75" s="7" t="n">
        <v>15</v>
      </c>
      <c r="F75" s="6" t="s">
        <v>1106</v>
      </c>
      <c r="G75" s="6" t="s">
        <v>1152</v>
      </c>
    </row>
    <row r="76" customFormat="false" ht="15" hidden="false" customHeight="false" outlineLevel="0" collapsed="false">
      <c r="A76" s="6" t="s">
        <v>465</v>
      </c>
      <c r="B76" s="6" t="s">
        <v>51</v>
      </c>
      <c r="C76" s="7" t="n">
        <v>19.4</v>
      </c>
      <c r="D76" s="7" t="n">
        <v>0</v>
      </c>
      <c r="E76" s="7" t="n">
        <v>15</v>
      </c>
      <c r="F76" s="6" t="s">
        <v>1106</v>
      </c>
      <c r="G76" s="6" t="s">
        <v>1153</v>
      </c>
    </row>
    <row r="77" customFormat="false" ht="15" hidden="false" customHeight="false" outlineLevel="0" collapsed="false">
      <c r="A77" s="6" t="s">
        <v>477</v>
      </c>
      <c r="B77" s="6" t="s">
        <v>51</v>
      </c>
      <c r="C77" s="7" t="n">
        <v>36.6</v>
      </c>
      <c r="D77" s="7" t="n">
        <v>0</v>
      </c>
      <c r="E77" s="7" t="n">
        <v>15</v>
      </c>
      <c r="F77" s="6" t="s">
        <v>1106</v>
      </c>
      <c r="G77" s="6" t="s">
        <v>1154</v>
      </c>
    </row>
    <row r="78" customFormat="false" ht="15" hidden="false" customHeight="false" outlineLevel="0" collapsed="false">
      <c r="A78" s="6" t="s">
        <v>488</v>
      </c>
      <c r="B78" s="6" t="s">
        <v>51</v>
      </c>
      <c r="C78" s="7" t="n">
        <v>0.8</v>
      </c>
      <c r="D78" s="7" t="n">
        <v>0</v>
      </c>
      <c r="E78" s="7" t="n">
        <v>25</v>
      </c>
      <c r="F78" s="6" t="s">
        <v>1106</v>
      </c>
      <c r="G78" s="6" t="s">
        <v>1155</v>
      </c>
    </row>
    <row r="79" customFormat="false" ht="15" hidden="false" customHeight="false" outlineLevel="0" collapsed="false">
      <c r="A79" s="6" t="s">
        <v>500</v>
      </c>
      <c r="B79" s="6" t="s">
        <v>51</v>
      </c>
      <c r="C79" s="7" t="n">
        <v>15.2</v>
      </c>
      <c r="D79" s="7" t="n">
        <v>0</v>
      </c>
      <c r="E79" s="7" t="n">
        <v>25</v>
      </c>
      <c r="F79" s="6" t="s">
        <v>1106</v>
      </c>
      <c r="G79" s="6" t="s">
        <v>1156</v>
      </c>
    </row>
    <row r="80" customFormat="false" ht="15" hidden="false" customHeight="false" outlineLevel="0" collapsed="false">
      <c r="A80" s="6" t="s">
        <v>489</v>
      </c>
      <c r="B80" s="6" t="s">
        <v>51</v>
      </c>
      <c r="C80" s="7" t="n">
        <v>-0.6</v>
      </c>
      <c r="D80" s="7" t="n">
        <v>0</v>
      </c>
      <c r="E80" s="7" t="n">
        <v>25</v>
      </c>
      <c r="F80" s="6" t="s">
        <v>1106</v>
      </c>
      <c r="G80" s="6" t="s">
        <v>1157</v>
      </c>
    </row>
    <row r="81" customFormat="false" ht="15" hidden="false" customHeight="false" outlineLevel="0" collapsed="false">
      <c r="A81" s="6" t="s">
        <v>501</v>
      </c>
      <c r="B81" s="6" t="s">
        <v>51</v>
      </c>
      <c r="C81" s="7" t="n">
        <v>16.6</v>
      </c>
      <c r="D81" s="7" t="n">
        <v>0</v>
      </c>
      <c r="E81" s="7" t="n">
        <v>25</v>
      </c>
      <c r="F81" s="6" t="s">
        <v>1106</v>
      </c>
      <c r="G81" s="6" t="s">
        <v>1158</v>
      </c>
    </row>
    <row r="82" customFormat="false" ht="15" hidden="false" customHeight="false" outlineLevel="0" collapsed="false">
      <c r="A82" s="6" t="s">
        <v>512</v>
      </c>
      <c r="B82" s="6" t="s">
        <v>51</v>
      </c>
      <c r="C82" s="7" t="n">
        <v>0.8</v>
      </c>
      <c r="D82" s="7" t="n">
        <v>0</v>
      </c>
      <c r="E82" s="7" t="n">
        <v>27.4</v>
      </c>
      <c r="F82" s="6" t="s">
        <v>1106</v>
      </c>
      <c r="G82" s="6" t="s">
        <v>1159</v>
      </c>
    </row>
    <row r="83" customFormat="false" ht="15" hidden="false" customHeight="false" outlineLevel="0" collapsed="false">
      <c r="A83" s="6" t="s">
        <v>524</v>
      </c>
      <c r="B83" s="6" t="s">
        <v>51</v>
      </c>
      <c r="C83" s="7" t="n">
        <v>15.2</v>
      </c>
      <c r="D83" s="7" t="n">
        <v>0</v>
      </c>
      <c r="E83" s="7" t="n">
        <v>27.4</v>
      </c>
      <c r="F83" s="6" t="s">
        <v>1106</v>
      </c>
      <c r="G83" s="6" t="s">
        <v>1160</v>
      </c>
    </row>
    <row r="84" customFormat="false" ht="15" hidden="false" customHeight="false" outlineLevel="0" collapsed="false">
      <c r="A84" s="6" t="s">
        <v>513</v>
      </c>
      <c r="B84" s="6" t="s">
        <v>51</v>
      </c>
      <c r="C84" s="7" t="n">
        <v>-0.6</v>
      </c>
      <c r="D84" s="7" t="n">
        <v>0</v>
      </c>
      <c r="E84" s="7" t="n">
        <v>27.4</v>
      </c>
      <c r="F84" s="6" t="s">
        <v>1106</v>
      </c>
      <c r="G84" s="6" t="s">
        <v>1161</v>
      </c>
    </row>
    <row r="85" customFormat="false" ht="15" hidden="false" customHeight="false" outlineLevel="0" collapsed="false">
      <c r="A85" s="6" t="s">
        <v>525</v>
      </c>
      <c r="B85" s="6" t="s">
        <v>51</v>
      </c>
      <c r="C85" s="7" t="n">
        <v>16.6</v>
      </c>
      <c r="D85" s="7" t="n">
        <v>0</v>
      </c>
      <c r="E85" s="7" t="n">
        <v>27.4</v>
      </c>
      <c r="F85" s="6" t="s">
        <v>1106</v>
      </c>
      <c r="G85" s="6" t="s">
        <v>1162</v>
      </c>
    </row>
    <row r="86" customFormat="false" ht="15" hidden="false" customHeight="false" outlineLevel="0" collapsed="false">
      <c r="A86" s="6" t="s">
        <v>536</v>
      </c>
      <c r="B86" s="6" t="s">
        <v>51</v>
      </c>
      <c r="C86" s="7" t="n">
        <v>0.8</v>
      </c>
      <c r="D86" s="7" t="n">
        <v>0</v>
      </c>
      <c r="E86" s="7" t="n">
        <v>29.8</v>
      </c>
      <c r="F86" s="6" t="s">
        <v>1106</v>
      </c>
      <c r="G86" s="6" t="s">
        <v>1163</v>
      </c>
    </row>
    <row r="87" customFormat="false" ht="15" hidden="false" customHeight="false" outlineLevel="0" collapsed="false">
      <c r="A87" s="6" t="s">
        <v>548</v>
      </c>
      <c r="B87" s="6" t="s">
        <v>51</v>
      </c>
      <c r="C87" s="7" t="n">
        <v>15.2</v>
      </c>
      <c r="D87" s="7" t="n">
        <v>0</v>
      </c>
      <c r="E87" s="7" t="n">
        <v>29.8</v>
      </c>
      <c r="F87" s="6" t="s">
        <v>1106</v>
      </c>
      <c r="G87" s="6" t="s">
        <v>1164</v>
      </c>
    </row>
    <row r="88" customFormat="false" ht="15" hidden="false" customHeight="false" outlineLevel="0" collapsed="false">
      <c r="A88" s="6" t="s">
        <v>537</v>
      </c>
      <c r="B88" s="6" t="s">
        <v>51</v>
      </c>
      <c r="C88" s="7" t="n">
        <v>-0.6</v>
      </c>
      <c r="D88" s="7" t="n">
        <v>0</v>
      </c>
      <c r="E88" s="7" t="n">
        <v>29.8</v>
      </c>
      <c r="F88" s="6" t="s">
        <v>1106</v>
      </c>
      <c r="G88" s="6" t="s">
        <v>1165</v>
      </c>
    </row>
    <row r="89" customFormat="false" ht="15" hidden="false" customHeight="false" outlineLevel="0" collapsed="false">
      <c r="A89" s="6" t="s">
        <v>549</v>
      </c>
      <c r="B89" s="6" t="s">
        <v>51</v>
      </c>
      <c r="C89" s="7" t="n">
        <v>16.6</v>
      </c>
      <c r="D89" s="7" t="n">
        <v>0</v>
      </c>
      <c r="E89" s="7" t="n">
        <v>29.8</v>
      </c>
      <c r="F89" s="6" t="s">
        <v>1106</v>
      </c>
      <c r="G89" s="6" t="s">
        <v>1166</v>
      </c>
    </row>
    <row r="90" customFormat="false" ht="15" hidden="false" customHeight="false" outlineLevel="0" collapsed="false">
      <c r="A90" s="6" t="s">
        <v>560</v>
      </c>
      <c r="B90" s="6" t="s">
        <v>51</v>
      </c>
      <c r="C90" s="7" t="n">
        <v>0.8</v>
      </c>
      <c r="D90" s="7" t="n">
        <v>0</v>
      </c>
      <c r="E90" s="7" t="n">
        <v>32.2</v>
      </c>
      <c r="F90" s="6" t="s">
        <v>1106</v>
      </c>
      <c r="G90" s="6" t="s">
        <v>1167</v>
      </c>
    </row>
    <row r="91" customFormat="false" ht="15" hidden="false" customHeight="false" outlineLevel="0" collapsed="false">
      <c r="A91" s="6" t="s">
        <v>572</v>
      </c>
      <c r="B91" s="6" t="s">
        <v>51</v>
      </c>
      <c r="C91" s="7" t="n">
        <v>15.2</v>
      </c>
      <c r="D91" s="7" t="n">
        <v>0</v>
      </c>
      <c r="E91" s="7" t="n">
        <v>32.2</v>
      </c>
      <c r="F91" s="6" t="s">
        <v>1106</v>
      </c>
      <c r="G91" s="6" t="s">
        <v>1168</v>
      </c>
    </row>
    <row r="92" customFormat="false" ht="15" hidden="false" customHeight="false" outlineLevel="0" collapsed="false">
      <c r="A92" s="6" t="s">
        <v>561</v>
      </c>
      <c r="B92" s="6" t="s">
        <v>51</v>
      </c>
      <c r="C92" s="7" t="n">
        <v>-0.6</v>
      </c>
      <c r="D92" s="7" t="n">
        <v>0</v>
      </c>
      <c r="E92" s="7" t="n">
        <v>32.2</v>
      </c>
      <c r="F92" s="6" t="s">
        <v>1106</v>
      </c>
      <c r="G92" s="6" t="s">
        <v>1169</v>
      </c>
    </row>
    <row r="93" customFormat="false" ht="15" hidden="false" customHeight="false" outlineLevel="0" collapsed="false">
      <c r="A93" s="6" t="s">
        <v>573</v>
      </c>
      <c r="B93" s="6" t="s">
        <v>51</v>
      </c>
      <c r="C93" s="7" t="n">
        <v>16.6</v>
      </c>
      <c r="D93" s="7" t="n">
        <v>0</v>
      </c>
      <c r="E93" s="7" t="n">
        <v>32.2</v>
      </c>
      <c r="F93" s="6" t="s">
        <v>1106</v>
      </c>
      <c r="G93" s="6" t="s">
        <v>1170</v>
      </c>
    </row>
    <row r="94" customFormat="false" ht="15" hidden="false" customHeight="false" outlineLevel="0" collapsed="false">
      <c r="A94" s="6" t="s">
        <v>584</v>
      </c>
      <c r="B94" s="6" t="s">
        <v>51</v>
      </c>
      <c r="C94" s="7" t="n">
        <v>0.8</v>
      </c>
      <c r="D94" s="7" t="n">
        <v>0</v>
      </c>
      <c r="E94" s="7" t="n">
        <v>34.6</v>
      </c>
      <c r="F94" s="6" t="s">
        <v>1106</v>
      </c>
      <c r="G94" s="6" t="s">
        <v>1171</v>
      </c>
    </row>
    <row r="95" customFormat="false" ht="15" hidden="false" customHeight="false" outlineLevel="0" collapsed="false">
      <c r="A95" s="6" t="s">
        <v>596</v>
      </c>
      <c r="B95" s="6" t="s">
        <v>51</v>
      </c>
      <c r="C95" s="7" t="n">
        <v>15.2</v>
      </c>
      <c r="D95" s="7" t="n">
        <v>0</v>
      </c>
      <c r="E95" s="7" t="n">
        <v>34.6</v>
      </c>
      <c r="F95" s="6" t="s">
        <v>1106</v>
      </c>
      <c r="G95" s="6" t="s">
        <v>1172</v>
      </c>
    </row>
    <row r="96" customFormat="false" ht="15" hidden="false" customHeight="false" outlineLevel="0" collapsed="false">
      <c r="A96" s="6" t="s">
        <v>585</v>
      </c>
      <c r="B96" s="6" t="s">
        <v>51</v>
      </c>
      <c r="C96" s="7" t="n">
        <v>-0.6</v>
      </c>
      <c r="D96" s="7" t="n">
        <v>0</v>
      </c>
      <c r="E96" s="7" t="n">
        <v>34.6</v>
      </c>
      <c r="F96" s="6" t="s">
        <v>1106</v>
      </c>
      <c r="G96" s="6" t="s">
        <v>1173</v>
      </c>
    </row>
    <row r="97" customFormat="false" ht="15" hidden="false" customHeight="false" outlineLevel="0" collapsed="false">
      <c r="A97" s="6" t="s">
        <v>597</v>
      </c>
      <c r="B97" s="6" t="s">
        <v>51</v>
      </c>
      <c r="C97" s="7" t="n">
        <v>16.6</v>
      </c>
      <c r="D97" s="7" t="n">
        <v>0</v>
      </c>
      <c r="E97" s="7" t="n">
        <v>34.6</v>
      </c>
      <c r="F97" s="6" t="s">
        <v>1106</v>
      </c>
      <c r="G97" s="6" t="s">
        <v>1174</v>
      </c>
    </row>
    <row r="98" customFormat="false" ht="15" hidden="false" customHeight="false" outlineLevel="0" collapsed="false">
      <c r="A98" s="6" t="s">
        <v>608</v>
      </c>
      <c r="B98" s="6" t="s">
        <v>51</v>
      </c>
      <c r="C98" s="7" t="n">
        <v>0.8</v>
      </c>
      <c r="D98" s="7" t="n">
        <v>0</v>
      </c>
      <c r="E98" s="7" t="n">
        <v>37</v>
      </c>
      <c r="F98" s="6" t="s">
        <v>1106</v>
      </c>
      <c r="G98" s="6" t="s">
        <v>1175</v>
      </c>
    </row>
    <row r="99" customFormat="false" ht="15" hidden="false" customHeight="false" outlineLevel="0" collapsed="false">
      <c r="A99" s="6" t="s">
        <v>620</v>
      </c>
      <c r="B99" s="6" t="s">
        <v>51</v>
      </c>
      <c r="C99" s="7" t="n">
        <v>15.2</v>
      </c>
      <c r="D99" s="7" t="n">
        <v>0</v>
      </c>
      <c r="E99" s="7" t="n">
        <v>37</v>
      </c>
      <c r="F99" s="6" t="s">
        <v>1106</v>
      </c>
      <c r="G99" s="6" t="s">
        <v>1176</v>
      </c>
    </row>
    <row r="100" customFormat="false" ht="15" hidden="false" customHeight="false" outlineLevel="0" collapsed="false">
      <c r="A100" s="6" t="s">
        <v>609</v>
      </c>
      <c r="B100" s="6" t="s">
        <v>51</v>
      </c>
      <c r="C100" s="7" t="n">
        <v>-0.6</v>
      </c>
      <c r="D100" s="7" t="n">
        <v>0</v>
      </c>
      <c r="E100" s="7" t="n">
        <v>37</v>
      </c>
      <c r="F100" s="6" t="s">
        <v>1106</v>
      </c>
      <c r="G100" s="6" t="s">
        <v>1177</v>
      </c>
    </row>
    <row r="101" customFormat="false" ht="15" hidden="false" customHeight="false" outlineLevel="0" collapsed="false">
      <c r="A101" s="6" t="s">
        <v>621</v>
      </c>
      <c r="B101" s="6" t="s">
        <v>51</v>
      </c>
      <c r="C101" s="7" t="n">
        <v>16.6</v>
      </c>
      <c r="D101" s="7" t="n">
        <v>0</v>
      </c>
      <c r="E101" s="7" t="n">
        <v>37</v>
      </c>
      <c r="F101" s="6" t="s">
        <v>1106</v>
      </c>
      <c r="G101" s="6" t="s">
        <v>1178</v>
      </c>
    </row>
    <row r="102" customFormat="false" ht="15" hidden="false" customHeight="false" outlineLevel="0" collapsed="false">
      <c r="A102" s="6" t="s">
        <v>632</v>
      </c>
      <c r="B102" s="6" t="s">
        <v>51</v>
      </c>
      <c r="C102" s="7" t="n">
        <v>20.8</v>
      </c>
      <c r="D102" s="7" t="n">
        <v>0</v>
      </c>
      <c r="E102" s="7" t="n">
        <v>25</v>
      </c>
      <c r="F102" s="6" t="s">
        <v>1106</v>
      </c>
      <c r="G102" s="6" t="s">
        <v>1179</v>
      </c>
    </row>
    <row r="103" customFormat="false" ht="15" hidden="false" customHeight="false" outlineLevel="0" collapsed="false">
      <c r="A103" s="6" t="s">
        <v>644</v>
      </c>
      <c r="B103" s="6" t="s">
        <v>51</v>
      </c>
      <c r="C103" s="7" t="n">
        <v>35.2</v>
      </c>
      <c r="D103" s="7" t="n">
        <v>0</v>
      </c>
      <c r="E103" s="7" t="n">
        <v>25</v>
      </c>
      <c r="F103" s="6" t="s">
        <v>1106</v>
      </c>
      <c r="G103" s="6" t="s">
        <v>1180</v>
      </c>
    </row>
    <row r="104" customFormat="false" ht="15" hidden="false" customHeight="false" outlineLevel="0" collapsed="false">
      <c r="A104" s="6" t="s">
        <v>633</v>
      </c>
      <c r="B104" s="6" t="s">
        <v>51</v>
      </c>
      <c r="C104" s="7" t="n">
        <v>19.4</v>
      </c>
      <c r="D104" s="7" t="n">
        <v>0</v>
      </c>
      <c r="E104" s="7" t="n">
        <v>25</v>
      </c>
      <c r="F104" s="6" t="s">
        <v>1106</v>
      </c>
      <c r="G104" s="6" t="s">
        <v>1181</v>
      </c>
    </row>
    <row r="105" customFormat="false" ht="15" hidden="false" customHeight="false" outlineLevel="0" collapsed="false">
      <c r="A105" s="6" t="s">
        <v>645</v>
      </c>
      <c r="B105" s="6" t="s">
        <v>51</v>
      </c>
      <c r="C105" s="7" t="n">
        <v>36.6</v>
      </c>
      <c r="D105" s="7" t="n">
        <v>0</v>
      </c>
      <c r="E105" s="7" t="n">
        <v>25</v>
      </c>
      <c r="F105" s="6" t="s">
        <v>1106</v>
      </c>
      <c r="G105" s="6" t="s">
        <v>1182</v>
      </c>
    </row>
    <row r="106" customFormat="false" ht="15" hidden="false" customHeight="false" outlineLevel="0" collapsed="false">
      <c r="A106" s="6" t="s">
        <v>656</v>
      </c>
      <c r="B106" s="6" t="s">
        <v>51</v>
      </c>
      <c r="C106" s="7" t="n">
        <v>20.8</v>
      </c>
      <c r="D106" s="7" t="n">
        <v>0</v>
      </c>
      <c r="E106" s="7" t="n">
        <v>27.4</v>
      </c>
      <c r="F106" s="6" t="s">
        <v>1106</v>
      </c>
      <c r="G106" s="6" t="s">
        <v>1183</v>
      </c>
    </row>
    <row r="107" customFormat="false" ht="15" hidden="false" customHeight="false" outlineLevel="0" collapsed="false">
      <c r="A107" s="6" t="s">
        <v>668</v>
      </c>
      <c r="B107" s="6" t="s">
        <v>51</v>
      </c>
      <c r="C107" s="7" t="n">
        <v>35.2</v>
      </c>
      <c r="D107" s="7" t="n">
        <v>0</v>
      </c>
      <c r="E107" s="7" t="n">
        <v>27.4</v>
      </c>
      <c r="F107" s="6" t="s">
        <v>1106</v>
      </c>
      <c r="G107" s="6" t="s">
        <v>1184</v>
      </c>
    </row>
    <row r="108" customFormat="false" ht="15" hidden="false" customHeight="false" outlineLevel="0" collapsed="false">
      <c r="A108" s="6" t="s">
        <v>657</v>
      </c>
      <c r="B108" s="6" t="s">
        <v>51</v>
      </c>
      <c r="C108" s="7" t="n">
        <v>19.4</v>
      </c>
      <c r="D108" s="7" t="n">
        <v>0</v>
      </c>
      <c r="E108" s="7" t="n">
        <v>27.4</v>
      </c>
      <c r="F108" s="6" t="s">
        <v>1106</v>
      </c>
      <c r="G108" s="6" t="s">
        <v>1185</v>
      </c>
    </row>
    <row r="109" customFormat="false" ht="15" hidden="false" customHeight="false" outlineLevel="0" collapsed="false">
      <c r="A109" s="6" t="s">
        <v>669</v>
      </c>
      <c r="B109" s="6" t="s">
        <v>51</v>
      </c>
      <c r="C109" s="7" t="n">
        <v>36.6</v>
      </c>
      <c r="D109" s="7" t="n">
        <v>0</v>
      </c>
      <c r="E109" s="7" t="n">
        <v>27.4</v>
      </c>
      <c r="F109" s="6" t="s">
        <v>1106</v>
      </c>
      <c r="G109" s="6" t="s">
        <v>1186</v>
      </c>
    </row>
    <row r="110" customFormat="false" ht="15" hidden="false" customHeight="false" outlineLevel="0" collapsed="false">
      <c r="A110" s="6" t="s">
        <v>680</v>
      </c>
      <c r="B110" s="6" t="s">
        <v>51</v>
      </c>
      <c r="C110" s="7" t="n">
        <v>20.8</v>
      </c>
      <c r="D110" s="7" t="n">
        <v>0</v>
      </c>
      <c r="E110" s="7" t="n">
        <v>29.8</v>
      </c>
      <c r="F110" s="6" t="s">
        <v>1106</v>
      </c>
      <c r="G110" s="6" t="s">
        <v>1187</v>
      </c>
    </row>
    <row r="111" customFormat="false" ht="15" hidden="false" customHeight="false" outlineLevel="0" collapsed="false">
      <c r="A111" s="6" t="s">
        <v>692</v>
      </c>
      <c r="B111" s="6" t="s">
        <v>51</v>
      </c>
      <c r="C111" s="7" t="n">
        <v>35.2</v>
      </c>
      <c r="D111" s="7" t="n">
        <v>0</v>
      </c>
      <c r="E111" s="7" t="n">
        <v>29.8</v>
      </c>
      <c r="F111" s="6" t="s">
        <v>1106</v>
      </c>
      <c r="G111" s="6" t="s">
        <v>1188</v>
      </c>
    </row>
    <row r="112" customFormat="false" ht="15" hidden="false" customHeight="false" outlineLevel="0" collapsed="false">
      <c r="A112" s="6" t="s">
        <v>681</v>
      </c>
      <c r="B112" s="6" t="s">
        <v>51</v>
      </c>
      <c r="C112" s="7" t="n">
        <v>19.4</v>
      </c>
      <c r="D112" s="7" t="n">
        <v>0</v>
      </c>
      <c r="E112" s="7" t="n">
        <v>29.8</v>
      </c>
      <c r="F112" s="6" t="s">
        <v>1106</v>
      </c>
      <c r="G112" s="6" t="s">
        <v>1189</v>
      </c>
    </row>
    <row r="113" customFormat="false" ht="15" hidden="false" customHeight="false" outlineLevel="0" collapsed="false">
      <c r="A113" s="6" t="s">
        <v>693</v>
      </c>
      <c r="B113" s="6" t="s">
        <v>51</v>
      </c>
      <c r="C113" s="7" t="n">
        <v>36.6</v>
      </c>
      <c r="D113" s="7" t="n">
        <v>0</v>
      </c>
      <c r="E113" s="7" t="n">
        <v>29.8</v>
      </c>
      <c r="F113" s="6" t="s">
        <v>1106</v>
      </c>
      <c r="G113" s="6" t="s">
        <v>1190</v>
      </c>
    </row>
    <row r="114" customFormat="false" ht="15" hidden="false" customHeight="false" outlineLevel="0" collapsed="false">
      <c r="A114" s="6" t="s">
        <v>704</v>
      </c>
      <c r="B114" s="6" t="s">
        <v>51</v>
      </c>
      <c r="C114" s="7" t="n">
        <v>20.8</v>
      </c>
      <c r="D114" s="7" t="n">
        <v>0</v>
      </c>
      <c r="E114" s="7" t="n">
        <v>32.2</v>
      </c>
      <c r="F114" s="6" t="s">
        <v>1106</v>
      </c>
      <c r="G114" s="6" t="s">
        <v>1191</v>
      </c>
    </row>
    <row r="115" customFormat="false" ht="15" hidden="false" customHeight="false" outlineLevel="0" collapsed="false">
      <c r="A115" s="6" t="s">
        <v>716</v>
      </c>
      <c r="B115" s="6" t="s">
        <v>51</v>
      </c>
      <c r="C115" s="7" t="n">
        <v>35.2</v>
      </c>
      <c r="D115" s="7" t="n">
        <v>0</v>
      </c>
      <c r="E115" s="7" t="n">
        <v>32.2</v>
      </c>
      <c r="F115" s="6" t="s">
        <v>1106</v>
      </c>
      <c r="G115" s="6" t="s">
        <v>1192</v>
      </c>
    </row>
    <row r="116" customFormat="false" ht="15" hidden="false" customHeight="false" outlineLevel="0" collapsed="false">
      <c r="A116" s="6" t="s">
        <v>705</v>
      </c>
      <c r="B116" s="6" t="s">
        <v>51</v>
      </c>
      <c r="C116" s="7" t="n">
        <v>19.4</v>
      </c>
      <c r="D116" s="7" t="n">
        <v>0</v>
      </c>
      <c r="E116" s="7" t="n">
        <v>32.2</v>
      </c>
      <c r="F116" s="6" t="s">
        <v>1106</v>
      </c>
      <c r="G116" s="6" t="s">
        <v>1193</v>
      </c>
    </row>
    <row r="117" customFormat="false" ht="15" hidden="false" customHeight="false" outlineLevel="0" collapsed="false">
      <c r="A117" s="6" t="s">
        <v>717</v>
      </c>
      <c r="B117" s="6" t="s">
        <v>51</v>
      </c>
      <c r="C117" s="7" t="n">
        <v>36.6</v>
      </c>
      <c r="D117" s="7" t="n">
        <v>0</v>
      </c>
      <c r="E117" s="7" t="n">
        <v>32.2</v>
      </c>
      <c r="F117" s="6" t="s">
        <v>1106</v>
      </c>
      <c r="G117" s="6" t="s">
        <v>1194</v>
      </c>
    </row>
    <row r="118" customFormat="false" ht="15" hidden="false" customHeight="false" outlineLevel="0" collapsed="false">
      <c r="A118" s="6" t="s">
        <v>728</v>
      </c>
      <c r="B118" s="6" t="s">
        <v>51</v>
      </c>
      <c r="C118" s="7" t="n">
        <v>20.8</v>
      </c>
      <c r="D118" s="7" t="n">
        <v>0</v>
      </c>
      <c r="E118" s="7" t="n">
        <v>34.6</v>
      </c>
      <c r="F118" s="6" t="s">
        <v>1106</v>
      </c>
      <c r="G118" s="6" t="s">
        <v>1195</v>
      </c>
    </row>
    <row r="119" customFormat="false" ht="15" hidden="false" customHeight="false" outlineLevel="0" collapsed="false">
      <c r="A119" s="6" t="s">
        <v>740</v>
      </c>
      <c r="B119" s="6" t="s">
        <v>51</v>
      </c>
      <c r="C119" s="7" t="n">
        <v>35.2</v>
      </c>
      <c r="D119" s="7" t="n">
        <v>0</v>
      </c>
      <c r="E119" s="7" t="n">
        <v>34.6</v>
      </c>
      <c r="F119" s="6" t="s">
        <v>1106</v>
      </c>
      <c r="G119" s="6" t="s">
        <v>1196</v>
      </c>
    </row>
    <row r="120" customFormat="false" ht="15" hidden="false" customHeight="false" outlineLevel="0" collapsed="false">
      <c r="A120" s="6" t="s">
        <v>729</v>
      </c>
      <c r="B120" s="6" t="s">
        <v>51</v>
      </c>
      <c r="C120" s="7" t="n">
        <v>19.4</v>
      </c>
      <c r="D120" s="7" t="n">
        <v>0</v>
      </c>
      <c r="E120" s="7" t="n">
        <v>34.6</v>
      </c>
      <c r="F120" s="6" t="s">
        <v>1106</v>
      </c>
      <c r="G120" s="6" t="s">
        <v>1197</v>
      </c>
    </row>
    <row r="121" customFormat="false" ht="15" hidden="false" customHeight="false" outlineLevel="0" collapsed="false">
      <c r="A121" s="6" t="s">
        <v>741</v>
      </c>
      <c r="B121" s="6" t="s">
        <v>51</v>
      </c>
      <c r="C121" s="7" t="n">
        <v>36.6</v>
      </c>
      <c r="D121" s="7" t="n">
        <v>0</v>
      </c>
      <c r="E121" s="7" t="n">
        <v>34.6</v>
      </c>
      <c r="F121" s="6" t="s">
        <v>1106</v>
      </c>
      <c r="G121" s="6" t="s">
        <v>1198</v>
      </c>
    </row>
    <row r="122" customFormat="false" ht="15" hidden="false" customHeight="false" outlineLevel="0" collapsed="false">
      <c r="A122" s="6" t="s">
        <v>752</v>
      </c>
      <c r="B122" s="6" t="s">
        <v>51</v>
      </c>
      <c r="C122" s="7" t="n">
        <v>20.8</v>
      </c>
      <c r="D122" s="7" t="n">
        <v>0</v>
      </c>
      <c r="E122" s="7" t="n">
        <v>37</v>
      </c>
      <c r="F122" s="6" t="s">
        <v>1106</v>
      </c>
      <c r="G122" s="6" t="s">
        <v>1199</v>
      </c>
    </row>
    <row r="123" customFormat="false" ht="15" hidden="false" customHeight="false" outlineLevel="0" collapsed="false">
      <c r="A123" s="6" t="s">
        <v>764</v>
      </c>
      <c r="B123" s="6" t="s">
        <v>51</v>
      </c>
      <c r="C123" s="7" t="n">
        <v>35.2</v>
      </c>
      <c r="D123" s="7" t="n">
        <v>0</v>
      </c>
      <c r="E123" s="7" t="n">
        <v>37</v>
      </c>
      <c r="F123" s="6" t="s">
        <v>1106</v>
      </c>
      <c r="G123" s="6" t="s">
        <v>1200</v>
      </c>
    </row>
    <row r="124" customFormat="false" ht="15" hidden="false" customHeight="false" outlineLevel="0" collapsed="false">
      <c r="A124" s="6" t="s">
        <v>753</v>
      </c>
      <c r="B124" s="6" t="s">
        <v>51</v>
      </c>
      <c r="C124" s="7" t="n">
        <v>19.4</v>
      </c>
      <c r="D124" s="7" t="n">
        <v>0</v>
      </c>
      <c r="E124" s="7" t="n">
        <v>37</v>
      </c>
      <c r="F124" s="6" t="s">
        <v>1106</v>
      </c>
      <c r="G124" s="6" t="s">
        <v>1201</v>
      </c>
    </row>
    <row r="125" customFormat="false" ht="15" hidden="false" customHeight="false" outlineLevel="0" collapsed="false">
      <c r="A125" s="6" t="s">
        <v>765</v>
      </c>
      <c r="B125" s="6" t="s">
        <v>51</v>
      </c>
      <c r="C125" s="7" t="n">
        <v>36.6</v>
      </c>
      <c r="D125" s="7" t="n">
        <v>0</v>
      </c>
      <c r="E125" s="7" t="n">
        <v>37</v>
      </c>
      <c r="F125" s="6" t="s">
        <v>1106</v>
      </c>
      <c r="G125" s="6" t="s">
        <v>1202</v>
      </c>
    </row>
    <row r="126" customFormat="false" ht="15" hidden="false" customHeight="false" outlineLevel="0" collapsed="false">
      <c r="A126" s="6" t="s">
        <v>1051</v>
      </c>
      <c r="B126" s="6" t="s">
        <v>51</v>
      </c>
      <c r="C126" s="7" t="n">
        <v>8</v>
      </c>
      <c r="D126" s="7" t="n">
        <v>1</v>
      </c>
      <c r="E126" s="7" t="n">
        <v>3</v>
      </c>
      <c r="F126" s="6" t="s">
        <v>1203</v>
      </c>
      <c r="G126" s="6" t="s">
        <v>1204</v>
      </c>
    </row>
    <row r="127" customFormat="false" ht="15" hidden="false" customHeight="false" outlineLevel="0" collapsed="false">
      <c r="A127" s="6" t="s">
        <v>1055</v>
      </c>
      <c r="B127" s="6" t="s">
        <v>51</v>
      </c>
      <c r="C127" s="7" t="n">
        <v>8</v>
      </c>
      <c r="D127" s="7" t="n">
        <v>1</v>
      </c>
      <c r="E127" s="7" t="n">
        <v>5.4</v>
      </c>
      <c r="F127" s="6" t="s">
        <v>1203</v>
      </c>
      <c r="G127" s="6" t="s">
        <v>1205</v>
      </c>
    </row>
    <row r="128" customFormat="false" ht="15" hidden="false" customHeight="false" outlineLevel="0" collapsed="false">
      <c r="A128" s="6" t="s">
        <v>1057</v>
      </c>
      <c r="B128" s="6" t="s">
        <v>51</v>
      </c>
      <c r="C128" s="7" t="n">
        <v>8</v>
      </c>
      <c r="D128" s="7" t="n">
        <v>1</v>
      </c>
      <c r="E128" s="7" t="n">
        <v>7.8</v>
      </c>
      <c r="F128" s="6" t="s">
        <v>1203</v>
      </c>
      <c r="G128" s="6" t="s">
        <v>1206</v>
      </c>
    </row>
    <row r="129" customFormat="false" ht="15" hidden="false" customHeight="false" outlineLevel="0" collapsed="false">
      <c r="A129" s="6" t="s">
        <v>1059</v>
      </c>
      <c r="B129" s="6" t="s">
        <v>51</v>
      </c>
      <c r="C129" s="7" t="n">
        <v>8</v>
      </c>
      <c r="D129" s="7" t="n">
        <v>1</v>
      </c>
      <c r="E129" s="7" t="n">
        <v>10.2</v>
      </c>
      <c r="F129" s="6" t="s">
        <v>1203</v>
      </c>
      <c r="G129" s="6" t="s">
        <v>1207</v>
      </c>
    </row>
    <row r="130" customFormat="false" ht="15" hidden="false" customHeight="false" outlineLevel="0" collapsed="false">
      <c r="A130" s="6" t="s">
        <v>1061</v>
      </c>
      <c r="B130" s="6" t="s">
        <v>51</v>
      </c>
      <c r="C130" s="7" t="n">
        <v>8</v>
      </c>
      <c r="D130" s="7" t="n">
        <v>1</v>
      </c>
      <c r="E130" s="7" t="n">
        <v>12.6</v>
      </c>
      <c r="F130" s="6" t="s">
        <v>1203</v>
      </c>
      <c r="G130" s="6" t="s">
        <v>1208</v>
      </c>
    </row>
    <row r="131" customFormat="false" ht="15" hidden="false" customHeight="false" outlineLevel="0" collapsed="false">
      <c r="A131" s="6" t="s">
        <v>1063</v>
      </c>
      <c r="B131" s="6" t="s">
        <v>51</v>
      </c>
      <c r="C131" s="7" t="n">
        <v>8</v>
      </c>
      <c r="D131" s="7" t="n">
        <v>1</v>
      </c>
      <c r="E131" s="7" t="n">
        <v>15</v>
      </c>
      <c r="F131" s="6" t="s">
        <v>1203</v>
      </c>
      <c r="G131" s="6" t="s">
        <v>1209</v>
      </c>
    </row>
    <row r="132" customFormat="false" ht="15" hidden="false" customHeight="false" outlineLevel="0" collapsed="false">
      <c r="A132" s="6" t="s">
        <v>1065</v>
      </c>
      <c r="B132" s="6" t="s">
        <v>51</v>
      </c>
      <c r="C132" s="7" t="n">
        <v>28</v>
      </c>
      <c r="D132" s="7" t="n">
        <v>1</v>
      </c>
      <c r="E132" s="7" t="n">
        <v>3</v>
      </c>
      <c r="F132" s="6" t="s">
        <v>1203</v>
      </c>
      <c r="G132" s="6" t="s">
        <v>1210</v>
      </c>
    </row>
    <row r="133" customFormat="false" ht="15" hidden="false" customHeight="false" outlineLevel="0" collapsed="false">
      <c r="A133" s="6" t="s">
        <v>1067</v>
      </c>
      <c r="B133" s="6" t="s">
        <v>51</v>
      </c>
      <c r="C133" s="7" t="n">
        <v>28</v>
      </c>
      <c r="D133" s="7" t="n">
        <v>1</v>
      </c>
      <c r="E133" s="7" t="n">
        <v>5.4</v>
      </c>
      <c r="F133" s="6" t="s">
        <v>1203</v>
      </c>
      <c r="G133" s="6" t="s">
        <v>1211</v>
      </c>
    </row>
    <row r="134" customFormat="false" ht="15" hidden="false" customHeight="false" outlineLevel="0" collapsed="false">
      <c r="A134" s="6" t="s">
        <v>1069</v>
      </c>
      <c r="B134" s="6" t="s">
        <v>51</v>
      </c>
      <c r="C134" s="7" t="n">
        <v>28</v>
      </c>
      <c r="D134" s="7" t="n">
        <v>1</v>
      </c>
      <c r="E134" s="7" t="n">
        <v>7.8</v>
      </c>
      <c r="F134" s="6" t="s">
        <v>1203</v>
      </c>
      <c r="G134" s="6" t="s">
        <v>1212</v>
      </c>
    </row>
    <row r="135" customFormat="false" ht="15" hidden="false" customHeight="false" outlineLevel="0" collapsed="false">
      <c r="A135" s="6" t="s">
        <v>1071</v>
      </c>
      <c r="B135" s="6" t="s">
        <v>51</v>
      </c>
      <c r="C135" s="7" t="n">
        <v>28</v>
      </c>
      <c r="D135" s="7" t="n">
        <v>1</v>
      </c>
      <c r="E135" s="7" t="n">
        <v>10.2</v>
      </c>
      <c r="F135" s="6" t="s">
        <v>1203</v>
      </c>
      <c r="G135" s="6" t="s">
        <v>1213</v>
      </c>
    </row>
    <row r="136" customFormat="false" ht="15" hidden="false" customHeight="false" outlineLevel="0" collapsed="false">
      <c r="A136" s="6" t="s">
        <v>1073</v>
      </c>
      <c r="B136" s="6" t="s">
        <v>51</v>
      </c>
      <c r="C136" s="7" t="n">
        <v>28</v>
      </c>
      <c r="D136" s="7" t="n">
        <v>1</v>
      </c>
      <c r="E136" s="7" t="n">
        <v>12.6</v>
      </c>
      <c r="F136" s="6" t="s">
        <v>1203</v>
      </c>
      <c r="G136" s="6" t="s">
        <v>1214</v>
      </c>
    </row>
    <row r="137" customFormat="false" ht="15" hidden="false" customHeight="false" outlineLevel="0" collapsed="false">
      <c r="A137" s="6" t="s">
        <v>1075</v>
      </c>
      <c r="B137" s="6" t="s">
        <v>51</v>
      </c>
      <c r="C137" s="7" t="n">
        <v>28</v>
      </c>
      <c r="D137" s="7" t="n">
        <v>1</v>
      </c>
      <c r="E137" s="7" t="n">
        <v>15</v>
      </c>
      <c r="F137" s="6" t="s">
        <v>1203</v>
      </c>
      <c r="G137" s="6" t="s">
        <v>1215</v>
      </c>
    </row>
    <row r="138" customFormat="false" ht="15" hidden="false" customHeight="false" outlineLevel="0" collapsed="false">
      <c r="A138" s="6" t="s">
        <v>1077</v>
      </c>
      <c r="B138" s="6" t="s">
        <v>51</v>
      </c>
      <c r="C138" s="7" t="n">
        <v>8</v>
      </c>
      <c r="D138" s="7" t="n">
        <v>1</v>
      </c>
      <c r="E138" s="7" t="n">
        <v>25</v>
      </c>
      <c r="F138" s="6" t="s">
        <v>1203</v>
      </c>
      <c r="G138" s="6" t="s">
        <v>1216</v>
      </c>
    </row>
    <row r="139" customFormat="false" ht="15" hidden="false" customHeight="false" outlineLevel="0" collapsed="false">
      <c r="A139" s="6" t="s">
        <v>1079</v>
      </c>
      <c r="B139" s="6" t="s">
        <v>51</v>
      </c>
      <c r="C139" s="7" t="n">
        <v>8</v>
      </c>
      <c r="D139" s="7" t="n">
        <v>1</v>
      </c>
      <c r="E139" s="7" t="n">
        <v>27.4</v>
      </c>
      <c r="F139" s="6" t="s">
        <v>1203</v>
      </c>
      <c r="G139" s="6" t="s">
        <v>1217</v>
      </c>
    </row>
    <row r="140" customFormat="false" ht="15" hidden="false" customHeight="false" outlineLevel="0" collapsed="false">
      <c r="A140" s="6" t="s">
        <v>1081</v>
      </c>
      <c r="B140" s="6" t="s">
        <v>51</v>
      </c>
      <c r="C140" s="7" t="n">
        <v>8</v>
      </c>
      <c r="D140" s="7" t="n">
        <v>1</v>
      </c>
      <c r="E140" s="7" t="n">
        <v>29.8</v>
      </c>
      <c r="F140" s="6" t="s">
        <v>1203</v>
      </c>
      <c r="G140" s="6" t="s">
        <v>1218</v>
      </c>
    </row>
    <row r="141" customFormat="false" ht="15" hidden="false" customHeight="false" outlineLevel="0" collapsed="false">
      <c r="A141" s="6" t="s">
        <v>1083</v>
      </c>
      <c r="B141" s="6" t="s">
        <v>51</v>
      </c>
      <c r="C141" s="7" t="n">
        <v>8</v>
      </c>
      <c r="D141" s="7" t="n">
        <v>1</v>
      </c>
      <c r="E141" s="7" t="n">
        <v>32.2</v>
      </c>
      <c r="F141" s="6" t="s">
        <v>1203</v>
      </c>
      <c r="G141" s="6" t="s">
        <v>1219</v>
      </c>
    </row>
    <row r="142" customFormat="false" ht="15" hidden="false" customHeight="false" outlineLevel="0" collapsed="false">
      <c r="A142" s="6" t="s">
        <v>1085</v>
      </c>
      <c r="B142" s="6" t="s">
        <v>51</v>
      </c>
      <c r="C142" s="7" t="n">
        <v>8</v>
      </c>
      <c r="D142" s="7" t="n">
        <v>1</v>
      </c>
      <c r="E142" s="7" t="n">
        <v>34.6</v>
      </c>
      <c r="F142" s="6" t="s">
        <v>1203</v>
      </c>
      <c r="G142" s="6" t="s">
        <v>1220</v>
      </c>
    </row>
    <row r="143" customFormat="false" ht="15" hidden="false" customHeight="false" outlineLevel="0" collapsed="false">
      <c r="A143" s="6" t="s">
        <v>1087</v>
      </c>
      <c r="B143" s="6" t="s">
        <v>51</v>
      </c>
      <c r="C143" s="7" t="n">
        <v>8</v>
      </c>
      <c r="D143" s="7" t="n">
        <v>1</v>
      </c>
      <c r="E143" s="7" t="n">
        <v>37</v>
      </c>
      <c r="F143" s="6" t="s">
        <v>1203</v>
      </c>
      <c r="G143" s="6" t="s">
        <v>1221</v>
      </c>
    </row>
    <row r="144" customFormat="false" ht="15" hidden="false" customHeight="false" outlineLevel="0" collapsed="false">
      <c r="A144" s="6" t="s">
        <v>1089</v>
      </c>
      <c r="B144" s="6" t="s">
        <v>51</v>
      </c>
      <c r="C144" s="7" t="n">
        <v>28</v>
      </c>
      <c r="D144" s="7" t="n">
        <v>1</v>
      </c>
      <c r="E144" s="7" t="n">
        <v>25</v>
      </c>
      <c r="F144" s="6" t="s">
        <v>1203</v>
      </c>
      <c r="G144" s="6" t="s">
        <v>1222</v>
      </c>
    </row>
    <row r="145" customFormat="false" ht="15" hidden="false" customHeight="false" outlineLevel="0" collapsed="false">
      <c r="A145" s="6" t="s">
        <v>1091</v>
      </c>
      <c r="B145" s="6" t="s">
        <v>51</v>
      </c>
      <c r="C145" s="7" t="n">
        <v>28</v>
      </c>
      <c r="D145" s="7" t="n">
        <v>1</v>
      </c>
      <c r="E145" s="7" t="n">
        <v>27.4</v>
      </c>
      <c r="F145" s="6" t="s">
        <v>1203</v>
      </c>
      <c r="G145" s="6" t="s">
        <v>1223</v>
      </c>
    </row>
    <row r="146" customFormat="false" ht="15" hidden="false" customHeight="false" outlineLevel="0" collapsed="false">
      <c r="A146" s="6" t="s">
        <v>1093</v>
      </c>
      <c r="B146" s="6" t="s">
        <v>51</v>
      </c>
      <c r="C146" s="7" t="n">
        <v>28</v>
      </c>
      <c r="D146" s="7" t="n">
        <v>1</v>
      </c>
      <c r="E146" s="7" t="n">
        <v>29.8</v>
      </c>
      <c r="F146" s="6" t="s">
        <v>1203</v>
      </c>
      <c r="G146" s="6" t="s">
        <v>1224</v>
      </c>
    </row>
    <row r="147" customFormat="false" ht="15" hidden="false" customHeight="false" outlineLevel="0" collapsed="false">
      <c r="A147" s="6" t="s">
        <v>1095</v>
      </c>
      <c r="B147" s="6" t="s">
        <v>51</v>
      </c>
      <c r="C147" s="7" t="n">
        <v>28</v>
      </c>
      <c r="D147" s="7" t="n">
        <v>1</v>
      </c>
      <c r="E147" s="7" t="n">
        <v>32.2</v>
      </c>
      <c r="F147" s="6" t="s">
        <v>1203</v>
      </c>
      <c r="G147" s="6" t="s">
        <v>1225</v>
      </c>
    </row>
    <row r="148" customFormat="false" ht="15" hidden="false" customHeight="false" outlineLevel="0" collapsed="false">
      <c r="A148" s="6" t="s">
        <v>1097</v>
      </c>
      <c r="B148" s="6" t="s">
        <v>51</v>
      </c>
      <c r="C148" s="7" t="n">
        <v>28</v>
      </c>
      <c r="D148" s="7" t="n">
        <v>1</v>
      </c>
      <c r="E148" s="7" t="n">
        <v>34.6</v>
      </c>
      <c r="F148" s="6" t="s">
        <v>1203</v>
      </c>
      <c r="G148" s="6" t="s">
        <v>1226</v>
      </c>
    </row>
    <row r="149" customFormat="false" ht="15" hidden="false" customHeight="false" outlineLevel="0" collapsed="false">
      <c r="A149" s="6" t="s">
        <v>1099</v>
      </c>
      <c r="B149" s="6" t="s">
        <v>51</v>
      </c>
      <c r="C149" s="7" t="n">
        <v>28</v>
      </c>
      <c r="D149" s="7" t="n">
        <v>1</v>
      </c>
      <c r="E149" s="7" t="n">
        <v>37</v>
      </c>
      <c r="F149" s="6" t="s">
        <v>1203</v>
      </c>
      <c r="G149" s="6" t="s">
        <v>1227</v>
      </c>
    </row>
    <row r="151" customFormat="false" ht="15" hidden="false" customHeight="false" outlineLevel="0" collapsed="false">
      <c r="A151" s="9" t="s">
        <v>1228</v>
      </c>
    </row>
    <row r="152" customFormat="false" ht="15" hidden="false" customHeight="false" outlineLevel="0" collapsed="false">
      <c r="A152" s="9" t="s">
        <v>1229</v>
      </c>
    </row>
    <row r="153" customFormat="false" ht="15" hidden="false" customHeight="false" outlineLevel="0" collapsed="false">
      <c r="A153" s="9" t="s">
        <v>1230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22"/>
    <col collapsed="false" customWidth="true" hidden="false" outlineLevel="0" max="3" min="3" style="0" width="12"/>
  </cols>
  <sheetData>
    <row r="1" customFormat="false" ht="30" hidden="false" customHeight="true" outlineLevel="0" collapsed="false">
      <c r="A1" s="5" t="s">
        <v>1231</v>
      </c>
      <c r="B1" s="5" t="s">
        <v>1232</v>
      </c>
      <c r="C1" s="5" t="s">
        <v>781</v>
      </c>
    </row>
    <row r="2" customFormat="false" ht="15" hidden="false" customHeight="false" outlineLevel="0" collapsed="false">
      <c r="A2" s="6" t="s">
        <v>791</v>
      </c>
      <c r="B2" s="6" t="s">
        <v>801</v>
      </c>
      <c r="C2" s="6" t="s">
        <v>794</v>
      </c>
    </row>
    <row r="3" customFormat="false" ht="15" hidden="false" customHeight="false" outlineLevel="0" collapsed="false">
      <c r="A3" s="6" t="s">
        <v>797</v>
      </c>
      <c r="B3" s="6" t="s">
        <v>805</v>
      </c>
      <c r="C3" s="6" t="s">
        <v>794</v>
      </c>
    </row>
    <row r="4" customFormat="false" ht="15" hidden="false" customHeight="false" outlineLevel="0" collapsed="false">
      <c r="A4" s="6" t="s">
        <v>801</v>
      </c>
      <c r="B4" s="6" t="s">
        <v>815</v>
      </c>
      <c r="C4" s="6" t="s">
        <v>794</v>
      </c>
    </row>
    <row r="5" customFormat="false" ht="15" hidden="false" customHeight="false" outlineLevel="0" collapsed="false">
      <c r="A5" s="6" t="s">
        <v>805</v>
      </c>
      <c r="B5" s="6" t="s">
        <v>818</v>
      </c>
      <c r="C5" s="6" t="s">
        <v>794</v>
      </c>
    </row>
    <row r="6" customFormat="false" ht="15" hidden="false" customHeight="false" outlineLevel="0" collapsed="false">
      <c r="A6" s="6" t="s">
        <v>807</v>
      </c>
      <c r="B6" s="6" t="s">
        <v>815</v>
      </c>
      <c r="C6" s="6" t="s">
        <v>794</v>
      </c>
    </row>
    <row r="7" customFormat="false" ht="15" hidden="false" customHeight="false" outlineLevel="0" collapsed="false">
      <c r="A7" s="6" t="s">
        <v>811</v>
      </c>
      <c r="B7" s="6" t="s">
        <v>818</v>
      </c>
      <c r="C7" s="6" t="s">
        <v>794</v>
      </c>
    </row>
    <row r="8" customFormat="false" ht="15" hidden="false" customHeight="false" outlineLevel="0" collapsed="false">
      <c r="A8" s="6" t="s">
        <v>815</v>
      </c>
      <c r="B8" s="6" t="s">
        <v>820</v>
      </c>
      <c r="C8" s="6" t="s">
        <v>794</v>
      </c>
    </row>
    <row r="9" customFormat="false" ht="15" hidden="false" customHeight="false" outlineLevel="0" collapsed="false">
      <c r="A9" s="6" t="s">
        <v>818</v>
      </c>
      <c r="B9" s="6" t="s">
        <v>823</v>
      </c>
      <c r="C9" s="6" t="s">
        <v>794</v>
      </c>
    </row>
    <row r="10" customFormat="false" ht="15" hidden="false" customHeight="false" outlineLevel="0" collapsed="false">
      <c r="A10" s="6" t="s">
        <v>815</v>
      </c>
      <c r="B10" s="6" t="s">
        <v>826</v>
      </c>
      <c r="C10" s="6" t="s">
        <v>794</v>
      </c>
    </row>
    <row r="11" customFormat="false" ht="15" hidden="false" customHeight="false" outlineLevel="0" collapsed="false">
      <c r="A11" s="6" t="s">
        <v>818</v>
      </c>
      <c r="B11" s="6" t="s">
        <v>828</v>
      </c>
      <c r="C11" s="6" t="s">
        <v>794</v>
      </c>
    </row>
    <row r="12" customFormat="false" ht="15" hidden="false" customHeight="false" outlineLevel="0" collapsed="false">
      <c r="A12" s="6" t="s">
        <v>815</v>
      </c>
      <c r="B12" s="6" t="s">
        <v>831</v>
      </c>
      <c r="C12" s="6" t="s">
        <v>794</v>
      </c>
    </row>
    <row r="13" customFormat="false" ht="15" hidden="false" customHeight="false" outlineLevel="0" collapsed="false">
      <c r="A13" s="6" t="s">
        <v>818</v>
      </c>
      <c r="B13" s="6" t="s">
        <v>833</v>
      </c>
      <c r="C13" s="6" t="s">
        <v>794</v>
      </c>
    </row>
    <row r="14" customFormat="false" ht="15" hidden="false" customHeight="false" outlineLevel="0" collapsed="false">
      <c r="A14" s="6" t="s">
        <v>820</v>
      </c>
      <c r="B14" s="6" t="s">
        <v>836</v>
      </c>
      <c r="C14" s="6" t="s">
        <v>794</v>
      </c>
    </row>
    <row r="15" customFormat="false" ht="15" hidden="false" customHeight="false" outlineLevel="0" collapsed="false">
      <c r="A15" s="6" t="s">
        <v>823</v>
      </c>
      <c r="B15" s="6" t="s">
        <v>836</v>
      </c>
      <c r="C15" s="6" t="s">
        <v>794</v>
      </c>
    </row>
    <row r="16" customFormat="false" ht="15" hidden="false" customHeight="false" outlineLevel="0" collapsed="false">
      <c r="A16" s="6" t="s">
        <v>836</v>
      </c>
      <c r="B16" s="6" t="s">
        <v>840</v>
      </c>
      <c r="C16" s="6" t="s">
        <v>794</v>
      </c>
    </row>
    <row r="17" customFormat="false" ht="15" hidden="false" customHeight="false" outlineLevel="0" collapsed="false">
      <c r="A17" s="6" t="s">
        <v>840</v>
      </c>
      <c r="B17" s="6" t="s">
        <v>193</v>
      </c>
      <c r="C17" s="6" t="s">
        <v>794</v>
      </c>
    </row>
    <row r="18" customFormat="false" ht="15" hidden="false" customHeight="false" outlineLevel="0" collapsed="false">
      <c r="A18" s="6" t="s">
        <v>840</v>
      </c>
      <c r="B18" s="6" t="s">
        <v>205</v>
      </c>
      <c r="C18" s="6" t="s">
        <v>794</v>
      </c>
    </row>
    <row r="19" customFormat="false" ht="15" hidden="false" customHeight="false" outlineLevel="0" collapsed="false">
      <c r="A19" s="6" t="s">
        <v>840</v>
      </c>
      <c r="B19" s="6" t="s">
        <v>218</v>
      </c>
      <c r="C19" s="6" t="s">
        <v>794</v>
      </c>
    </row>
    <row r="20" customFormat="false" ht="15" hidden="false" customHeight="false" outlineLevel="0" collapsed="false">
      <c r="A20" s="6" t="s">
        <v>840</v>
      </c>
      <c r="B20" s="6" t="s">
        <v>230</v>
      </c>
      <c r="C20" s="6" t="s">
        <v>794</v>
      </c>
    </row>
    <row r="21" customFormat="false" ht="15" hidden="false" customHeight="false" outlineLevel="0" collapsed="false">
      <c r="A21" s="6" t="s">
        <v>840</v>
      </c>
      <c r="B21" s="6" t="s">
        <v>243</v>
      </c>
      <c r="C21" s="6" t="s">
        <v>794</v>
      </c>
    </row>
    <row r="22" customFormat="false" ht="15" hidden="false" customHeight="false" outlineLevel="0" collapsed="false">
      <c r="A22" s="6" t="s">
        <v>840</v>
      </c>
      <c r="B22" s="6" t="s">
        <v>255</v>
      </c>
      <c r="C22" s="6" t="s">
        <v>794</v>
      </c>
    </row>
    <row r="23" customFormat="false" ht="15" hidden="false" customHeight="false" outlineLevel="0" collapsed="false">
      <c r="A23" s="6" t="s">
        <v>840</v>
      </c>
      <c r="B23" s="6" t="s">
        <v>269</v>
      </c>
      <c r="C23" s="6" t="s">
        <v>794</v>
      </c>
    </row>
    <row r="24" customFormat="false" ht="15" hidden="false" customHeight="false" outlineLevel="0" collapsed="false">
      <c r="A24" s="6" t="s">
        <v>840</v>
      </c>
      <c r="B24" s="6" t="s">
        <v>281</v>
      </c>
      <c r="C24" s="6" t="s">
        <v>794</v>
      </c>
    </row>
    <row r="25" customFormat="false" ht="15" hidden="false" customHeight="false" outlineLevel="0" collapsed="false">
      <c r="A25" s="6" t="s">
        <v>840</v>
      </c>
      <c r="B25" s="6" t="s">
        <v>294</v>
      </c>
      <c r="C25" s="6" t="s">
        <v>794</v>
      </c>
    </row>
    <row r="26" customFormat="false" ht="15" hidden="false" customHeight="false" outlineLevel="0" collapsed="false">
      <c r="A26" s="6" t="s">
        <v>840</v>
      </c>
      <c r="B26" s="6" t="s">
        <v>306</v>
      </c>
      <c r="C26" s="6" t="s">
        <v>794</v>
      </c>
    </row>
    <row r="27" customFormat="false" ht="15" hidden="false" customHeight="false" outlineLevel="0" collapsed="false">
      <c r="A27" s="6" t="s">
        <v>840</v>
      </c>
      <c r="B27" s="6" t="s">
        <v>319</v>
      </c>
      <c r="C27" s="6" t="s">
        <v>794</v>
      </c>
    </row>
    <row r="28" customFormat="false" ht="15" hidden="false" customHeight="false" outlineLevel="0" collapsed="false">
      <c r="A28" s="6" t="s">
        <v>840</v>
      </c>
      <c r="B28" s="6" t="s">
        <v>331</v>
      </c>
      <c r="C28" s="6" t="s">
        <v>794</v>
      </c>
    </row>
    <row r="29" customFormat="false" ht="15" hidden="false" customHeight="false" outlineLevel="0" collapsed="false">
      <c r="A29" s="6" t="s">
        <v>820</v>
      </c>
      <c r="B29" s="6" t="s">
        <v>869</v>
      </c>
      <c r="C29" s="6" t="s">
        <v>794</v>
      </c>
    </row>
    <row r="30" customFormat="false" ht="15" hidden="false" customHeight="false" outlineLevel="0" collapsed="false">
      <c r="A30" s="6" t="s">
        <v>823</v>
      </c>
      <c r="B30" s="6" t="s">
        <v>869</v>
      </c>
      <c r="C30" s="6" t="s">
        <v>794</v>
      </c>
    </row>
    <row r="31" customFormat="false" ht="15" hidden="false" customHeight="false" outlineLevel="0" collapsed="false">
      <c r="A31" s="6" t="s">
        <v>869</v>
      </c>
      <c r="B31" s="6" t="s">
        <v>872</v>
      </c>
      <c r="C31" s="6" t="s">
        <v>794</v>
      </c>
    </row>
    <row r="32" customFormat="false" ht="15" hidden="false" customHeight="false" outlineLevel="0" collapsed="false">
      <c r="A32" s="6" t="s">
        <v>872</v>
      </c>
      <c r="B32" s="6" t="s">
        <v>343</v>
      </c>
      <c r="C32" s="6" t="s">
        <v>794</v>
      </c>
    </row>
    <row r="33" customFormat="false" ht="15" hidden="false" customHeight="false" outlineLevel="0" collapsed="false">
      <c r="A33" s="6" t="s">
        <v>872</v>
      </c>
      <c r="B33" s="6" t="s">
        <v>355</v>
      </c>
      <c r="C33" s="6" t="s">
        <v>794</v>
      </c>
    </row>
    <row r="34" customFormat="false" ht="15" hidden="false" customHeight="false" outlineLevel="0" collapsed="false">
      <c r="A34" s="6" t="s">
        <v>872</v>
      </c>
      <c r="B34" s="6" t="s">
        <v>367</v>
      </c>
      <c r="C34" s="6" t="s">
        <v>794</v>
      </c>
    </row>
    <row r="35" customFormat="false" ht="15" hidden="false" customHeight="false" outlineLevel="0" collapsed="false">
      <c r="A35" s="6" t="s">
        <v>872</v>
      </c>
      <c r="B35" s="6" t="s">
        <v>379</v>
      </c>
      <c r="C35" s="6" t="s">
        <v>794</v>
      </c>
    </row>
    <row r="36" customFormat="false" ht="15" hidden="false" customHeight="false" outlineLevel="0" collapsed="false">
      <c r="A36" s="6" t="s">
        <v>872</v>
      </c>
      <c r="B36" s="6" t="s">
        <v>391</v>
      </c>
      <c r="C36" s="6" t="s">
        <v>794</v>
      </c>
    </row>
    <row r="37" customFormat="false" ht="15" hidden="false" customHeight="false" outlineLevel="0" collapsed="false">
      <c r="A37" s="6" t="s">
        <v>872</v>
      </c>
      <c r="B37" s="6" t="s">
        <v>403</v>
      </c>
      <c r="C37" s="6" t="s">
        <v>794</v>
      </c>
    </row>
    <row r="38" customFormat="false" ht="15" hidden="false" customHeight="false" outlineLevel="0" collapsed="false">
      <c r="A38" s="6" t="s">
        <v>872</v>
      </c>
      <c r="B38" s="6" t="s">
        <v>415</v>
      </c>
      <c r="C38" s="6" t="s">
        <v>794</v>
      </c>
    </row>
    <row r="39" customFormat="false" ht="15" hidden="false" customHeight="false" outlineLevel="0" collapsed="false">
      <c r="A39" s="6" t="s">
        <v>872</v>
      </c>
      <c r="B39" s="6" t="s">
        <v>427</v>
      </c>
      <c r="C39" s="6" t="s">
        <v>794</v>
      </c>
    </row>
    <row r="40" customFormat="false" ht="15" hidden="false" customHeight="false" outlineLevel="0" collapsed="false">
      <c r="A40" s="6" t="s">
        <v>872</v>
      </c>
      <c r="B40" s="6" t="s">
        <v>440</v>
      </c>
      <c r="C40" s="6" t="s">
        <v>794</v>
      </c>
    </row>
    <row r="41" customFormat="false" ht="15" hidden="false" customHeight="false" outlineLevel="0" collapsed="false">
      <c r="A41" s="6" t="s">
        <v>872</v>
      </c>
      <c r="B41" s="6" t="s">
        <v>452</v>
      </c>
      <c r="C41" s="6" t="s">
        <v>794</v>
      </c>
    </row>
    <row r="42" customFormat="false" ht="15" hidden="false" customHeight="false" outlineLevel="0" collapsed="false">
      <c r="A42" s="6" t="s">
        <v>872</v>
      </c>
      <c r="B42" s="6" t="s">
        <v>464</v>
      </c>
      <c r="C42" s="6" t="s">
        <v>794</v>
      </c>
    </row>
    <row r="43" customFormat="false" ht="15" hidden="false" customHeight="false" outlineLevel="0" collapsed="false">
      <c r="A43" s="6" t="s">
        <v>872</v>
      </c>
      <c r="B43" s="6" t="s">
        <v>476</v>
      </c>
      <c r="C43" s="6" t="s">
        <v>794</v>
      </c>
    </row>
    <row r="44" customFormat="false" ht="15" hidden="false" customHeight="false" outlineLevel="0" collapsed="false">
      <c r="A44" s="6" t="s">
        <v>826</v>
      </c>
      <c r="B44" s="6" t="s">
        <v>899</v>
      </c>
      <c r="C44" s="6" t="s">
        <v>794</v>
      </c>
    </row>
    <row r="45" customFormat="false" ht="15" hidden="false" customHeight="false" outlineLevel="0" collapsed="false">
      <c r="A45" s="6" t="s">
        <v>828</v>
      </c>
      <c r="B45" s="6" t="s">
        <v>899</v>
      </c>
      <c r="C45" s="6" t="s">
        <v>794</v>
      </c>
    </row>
    <row r="46" customFormat="false" ht="15" hidden="false" customHeight="false" outlineLevel="0" collapsed="false">
      <c r="A46" s="6" t="s">
        <v>899</v>
      </c>
      <c r="B46" s="6" t="s">
        <v>902</v>
      </c>
      <c r="C46" s="6" t="s">
        <v>794</v>
      </c>
    </row>
    <row r="47" customFormat="false" ht="15" hidden="false" customHeight="false" outlineLevel="0" collapsed="false">
      <c r="A47" s="6" t="s">
        <v>902</v>
      </c>
      <c r="B47" s="6" t="s">
        <v>488</v>
      </c>
      <c r="C47" s="6" t="s">
        <v>794</v>
      </c>
    </row>
    <row r="48" customFormat="false" ht="15" hidden="false" customHeight="false" outlineLevel="0" collapsed="false">
      <c r="A48" s="6" t="s">
        <v>902</v>
      </c>
      <c r="B48" s="6" t="s">
        <v>500</v>
      </c>
      <c r="C48" s="6" t="s">
        <v>794</v>
      </c>
    </row>
    <row r="49" customFormat="false" ht="15" hidden="false" customHeight="false" outlineLevel="0" collapsed="false">
      <c r="A49" s="6" t="s">
        <v>902</v>
      </c>
      <c r="B49" s="6" t="s">
        <v>512</v>
      </c>
      <c r="C49" s="6" t="s">
        <v>794</v>
      </c>
    </row>
    <row r="50" customFormat="false" ht="15" hidden="false" customHeight="false" outlineLevel="0" collapsed="false">
      <c r="A50" s="6" t="s">
        <v>902</v>
      </c>
      <c r="B50" s="6" t="s">
        <v>524</v>
      </c>
      <c r="C50" s="6" t="s">
        <v>794</v>
      </c>
    </row>
    <row r="51" customFormat="false" ht="15" hidden="false" customHeight="false" outlineLevel="0" collapsed="false">
      <c r="A51" s="6" t="s">
        <v>902</v>
      </c>
      <c r="B51" s="6" t="s">
        <v>536</v>
      </c>
      <c r="C51" s="6" t="s">
        <v>794</v>
      </c>
    </row>
    <row r="52" customFormat="false" ht="15" hidden="false" customHeight="false" outlineLevel="0" collapsed="false">
      <c r="A52" s="6" t="s">
        <v>902</v>
      </c>
      <c r="B52" s="6" t="s">
        <v>548</v>
      </c>
      <c r="C52" s="6" t="s">
        <v>794</v>
      </c>
    </row>
    <row r="53" customFormat="false" ht="15" hidden="false" customHeight="false" outlineLevel="0" collapsed="false">
      <c r="A53" s="6" t="s">
        <v>902</v>
      </c>
      <c r="B53" s="6" t="s">
        <v>560</v>
      </c>
      <c r="C53" s="6" t="s">
        <v>794</v>
      </c>
    </row>
    <row r="54" customFormat="false" ht="15" hidden="false" customHeight="false" outlineLevel="0" collapsed="false">
      <c r="A54" s="6" t="s">
        <v>902</v>
      </c>
      <c r="B54" s="6" t="s">
        <v>572</v>
      </c>
      <c r="C54" s="6" t="s">
        <v>794</v>
      </c>
    </row>
    <row r="55" customFormat="false" ht="15" hidden="false" customHeight="false" outlineLevel="0" collapsed="false">
      <c r="A55" s="6" t="s">
        <v>902</v>
      </c>
      <c r="B55" s="6" t="s">
        <v>584</v>
      </c>
      <c r="C55" s="6" t="s">
        <v>794</v>
      </c>
    </row>
    <row r="56" customFormat="false" ht="15" hidden="false" customHeight="false" outlineLevel="0" collapsed="false">
      <c r="A56" s="6" t="s">
        <v>902</v>
      </c>
      <c r="B56" s="6" t="s">
        <v>596</v>
      </c>
      <c r="C56" s="6" t="s">
        <v>794</v>
      </c>
    </row>
    <row r="57" customFormat="false" ht="15" hidden="false" customHeight="false" outlineLevel="0" collapsed="false">
      <c r="A57" s="6" t="s">
        <v>902</v>
      </c>
      <c r="B57" s="6" t="s">
        <v>608</v>
      </c>
      <c r="C57" s="6" t="s">
        <v>794</v>
      </c>
    </row>
    <row r="58" customFormat="false" ht="15" hidden="false" customHeight="false" outlineLevel="0" collapsed="false">
      <c r="A58" s="6" t="s">
        <v>902</v>
      </c>
      <c r="B58" s="6" t="s">
        <v>620</v>
      </c>
      <c r="C58" s="6" t="s">
        <v>794</v>
      </c>
    </row>
    <row r="59" customFormat="false" ht="15" hidden="false" customHeight="false" outlineLevel="0" collapsed="false">
      <c r="A59" s="6" t="s">
        <v>831</v>
      </c>
      <c r="B59" s="6" t="s">
        <v>929</v>
      </c>
      <c r="C59" s="6" t="s">
        <v>794</v>
      </c>
    </row>
    <row r="60" customFormat="false" ht="15" hidden="false" customHeight="false" outlineLevel="0" collapsed="false">
      <c r="A60" s="6" t="s">
        <v>833</v>
      </c>
      <c r="B60" s="6" t="s">
        <v>929</v>
      </c>
      <c r="C60" s="6" t="s">
        <v>794</v>
      </c>
    </row>
    <row r="61" customFormat="false" ht="15" hidden="false" customHeight="false" outlineLevel="0" collapsed="false">
      <c r="A61" s="6" t="s">
        <v>929</v>
      </c>
      <c r="B61" s="6" t="s">
        <v>932</v>
      </c>
      <c r="C61" s="6" t="s">
        <v>794</v>
      </c>
    </row>
    <row r="62" customFormat="false" ht="15" hidden="false" customHeight="false" outlineLevel="0" collapsed="false">
      <c r="A62" s="6" t="s">
        <v>932</v>
      </c>
      <c r="B62" s="6" t="s">
        <v>632</v>
      </c>
      <c r="C62" s="6" t="s">
        <v>794</v>
      </c>
    </row>
    <row r="63" customFormat="false" ht="15" hidden="false" customHeight="false" outlineLevel="0" collapsed="false">
      <c r="A63" s="6" t="s">
        <v>932</v>
      </c>
      <c r="B63" s="6" t="s">
        <v>644</v>
      </c>
      <c r="C63" s="6" t="s">
        <v>794</v>
      </c>
    </row>
    <row r="64" customFormat="false" ht="15" hidden="false" customHeight="false" outlineLevel="0" collapsed="false">
      <c r="A64" s="6" t="s">
        <v>932</v>
      </c>
      <c r="B64" s="6" t="s">
        <v>656</v>
      </c>
      <c r="C64" s="6" t="s">
        <v>794</v>
      </c>
    </row>
    <row r="65" customFormat="false" ht="15" hidden="false" customHeight="false" outlineLevel="0" collapsed="false">
      <c r="A65" s="6" t="s">
        <v>932</v>
      </c>
      <c r="B65" s="6" t="s">
        <v>668</v>
      </c>
      <c r="C65" s="6" t="s">
        <v>794</v>
      </c>
    </row>
    <row r="66" customFormat="false" ht="15" hidden="false" customHeight="false" outlineLevel="0" collapsed="false">
      <c r="A66" s="6" t="s">
        <v>932</v>
      </c>
      <c r="B66" s="6" t="s">
        <v>680</v>
      </c>
      <c r="C66" s="6" t="s">
        <v>794</v>
      </c>
    </row>
    <row r="67" customFormat="false" ht="15" hidden="false" customHeight="false" outlineLevel="0" collapsed="false">
      <c r="A67" s="6" t="s">
        <v>932</v>
      </c>
      <c r="B67" s="6" t="s">
        <v>692</v>
      </c>
      <c r="C67" s="6" t="s">
        <v>794</v>
      </c>
    </row>
    <row r="68" customFormat="false" ht="15" hidden="false" customHeight="false" outlineLevel="0" collapsed="false">
      <c r="A68" s="6" t="s">
        <v>932</v>
      </c>
      <c r="B68" s="6" t="s">
        <v>704</v>
      </c>
      <c r="C68" s="6" t="s">
        <v>794</v>
      </c>
    </row>
    <row r="69" customFormat="false" ht="15" hidden="false" customHeight="false" outlineLevel="0" collapsed="false">
      <c r="A69" s="6" t="s">
        <v>932</v>
      </c>
      <c r="B69" s="6" t="s">
        <v>716</v>
      </c>
      <c r="C69" s="6" t="s">
        <v>794</v>
      </c>
    </row>
    <row r="70" customFormat="false" ht="15" hidden="false" customHeight="false" outlineLevel="0" collapsed="false">
      <c r="A70" s="6" t="s">
        <v>932</v>
      </c>
      <c r="B70" s="6" t="s">
        <v>728</v>
      </c>
      <c r="C70" s="6" t="s">
        <v>794</v>
      </c>
    </row>
    <row r="71" customFormat="false" ht="15" hidden="false" customHeight="false" outlineLevel="0" collapsed="false">
      <c r="A71" s="6" t="s">
        <v>932</v>
      </c>
      <c r="B71" s="6" t="s">
        <v>740</v>
      </c>
      <c r="C71" s="6" t="s">
        <v>794</v>
      </c>
    </row>
    <row r="72" customFormat="false" ht="15" hidden="false" customHeight="false" outlineLevel="0" collapsed="false">
      <c r="A72" s="6" t="s">
        <v>932</v>
      </c>
      <c r="B72" s="6" t="s">
        <v>752</v>
      </c>
      <c r="C72" s="6" t="s">
        <v>794</v>
      </c>
    </row>
    <row r="73" customFormat="false" ht="15" hidden="false" customHeight="false" outlineLevel="0" collapsed="false">
      <c r="A73" s="6" t="s">
        <v>932</v>
      </c>
      <c r="B73" s="6" t="s">
        <v>764</v>
      </c>
      <c r="C73" s="6" t="s">
        <v>794</v>
      </c>
    </row>
    <row r="74" customFormat="false" ht="15" hidden="false" customHeight="false" outlineLevel="0" collapsed="false">
      <c r="A74" s="6" t="s">
        <v>959</v>
      </c>
      <c r="B74" s="6" t="s">
        <v>966</v>
      </c>
      <c r="C74" s="6" t="s">
        <v>962</v>
      </c>
    </row>
    <row r="75" customFormat="false" ht="15" hidden="false" customHeight="false" outlineLevel="0" collapsed="false">
      <c r="A75" s="6" t="s">
        <v>964</v>
      </c>
      <c r="B75" s="6" t="s">
        <v>969</v>
      </c>
      <c r="C75" s="6" t="s">
        <v>962</v>
      </c>
    </row>
    <row r="76" customFormat="false" ht="15" hidden="false" customHeight="false" outlineLevel="0" collapsed="false">
      <c r="A76" s="6" t="s">
        <v>966</v>
      </c>
      <c r="B76" s="6" t="s">
        <v>971</v>
      </c>
      <c r="C76" s="6" t="s">
        <v>962</v>
      </c>
    </row>
    <row r="77" customFormat="false" ht="15" hidden="false" customHeight="false" outlineLevel="0" collapsed="false">
      <c r="A77" s="6" t="s">
        <v>969</v>
      </c>
      <c r="B77" s="6" t="s">
        <v>976</v>
      </c>
      <c r="C77" s="6" t="s">
        <v>962</v>
      </c>
    </row>
    <row r="78" customFormat="false" ht="15" hidden="false" customHeight="false" outlineLevel="0" collapsed="false">
      <c r="A78" s="6" t="s">
        <v>971</v>
      </c>
      <c r="B78" s="6" t="s">
        <v>194</v>
      </c>
      <c r="C78" s="6" t="s">
        <v>962</v>
      </c>
    </row>
    <row r="79" customFormat="false" ht="15" hidden="false" customHeight="false" outlineLevel="0" collapsed="false">
      <c r="A79" s="6" t="s">
        <v>971</v>
      </c>
      <c r="B79" s="6" t="s">
        <v>206</v>
      </c>
      <c r="C79" s="6" t="s">
        <v>962</v>
      </c>
    </row>
    <row r="80" customFormat="false" ht="15" hidden="false" customHeight="false" outlineLevel="0" collapsed="false">
      <c r="A80" s="6" t="s">
        <v>971</v>
      </c>
      <c r="B80" s="6" t="s">
        <v>219</v>
      </c>
      <c r="C80" s="6" t="s">
        <v>962</v>
      </c>
    </row>
    <row r="81" customFormat="false" ht="15" hidden="false" customHeight="false" outlineLevel="0" collapsed="false">
      <c r="A81" s="6" t="s">
        <v>971</v>
      </c>
      <c r="B81" s="6" t="s">
        <v>231</v>
      </c>
      <c r="C81" s="6" t="s">
        <v>962</v>
      </c>
    </row>
    <row r="82" customFormat="false" ht="15" hidden="false" customHeight="false" outlineLevel="0" collapsed="false">
      <c r="A82" s="6" t="s">
        <v>971</v>
      </c>
      <c r="B82" s="6" t="s">
        <v>244</v>
      </c>
      <c r="C82" s="6" t="s">
        <v>962</v>
      </c>
    </row>
    <row r="83" customFormat="false" ht="15" hidden="false" customHeight="false" outlineLevel="0" collapsed="false">
      <c r="A83" s="6" t="s">
        <v>971</v>
      </c>
      <c r="B83" s="6" t="s">
        <v>256</v>
      </c>
      <c r="C83" s="6" t="s">
        <v>962</v>
      </c>
    </row>
    <row r="84" customFormat="false" ht="15" hidden="false" customHeight="false" outlineLevel="0" collapsed="false">
      <c r="A84" s="6" t="s">
        <v>971</v>
      </c>
      <c r="B84" s="6" t="s">
        <v>270</v>
      </c>
      <c r="C84" s="6" t="s">
        <v>962</v>
      </c>
    </row>
    <row r="85" customFormat="false" ht="15" hidden="false" customHeight="false" outlineLevel="0" collapsed="false">
      <c r="A85" s="6" t="s">
        <v>971</v>
      </c>
      <c r="B85" s="6" t="s">
        <v>282</v>
      </c>
      <c r="C85" s="6" t="s">
        <v>962</v>
      </c>
    </row>
    <row r="86" customFormat="false" ht="15" hidden="false" customHeight="false" outlineLevel="0" collapsed="false">
      <c r="A86" s="6" t="s">
        <v>971</v>
      </c>
      <c r="B86" s="6" t="s">
        <v>295</v>
      </c>
      <c r="C86" s="6" t="s">
        <v>962</v>
      </c>
    </row>
    <row r="87" customFormat="false" ht="15" hidden="false" customHeight="false" outlineLevel="0" collapsed="false">
      <c r="A87" s="6" t="s">
        <v>971</v>
      </c>
      <c r="B87" s="6" t="s">
        <v>307</v>
      </c>
      <c r="C87" s="6" t="s">
        <v>962</v>
      </c>
    </row>
    <row r="88" customFormat="false" ht="15" hidden="false" customHeight="false" outlineLevel="0" collapsed="false">
      <c r="A88" s="6" t="s">
        <v>971</v>
      </c>
      <c r="B88" s="6" t="s">
        <v>320</v>
      </c>
      <c r="C88" s="6" t="s">
        <v>962</v>
      </c>
    </row>
    <row r="89" customFormat="false" ht="15" hidden="false" customHeight="false" outlineLevel="0" collapsed="false">
      <c r="A89" s="6" t="s">
        <v>971</v>
      </c>
      <c r="B89" s="6" t="s">
        <v>332</v>
      </c>
      <c r="C89" s="6" t="s">
        <v>962</v>
      </c>
    </row>
    <row r="90" customFormat="false" ht="15" hidden="false" customHeight="false" outlineLevel="0" collapsed="false">
      <c r="A90" s="6" t="s">
        <v>971</v>
      </c>
      <c r="B90" s="6" t="s">
        <v>344</v>
      </c>
      <c r="C90" s="6" t="s">
        <v>962</v>
      </c>
    </row>
    <row r="91" customFormat="false" ht="15" hidden="false" customHeight="false" outlineLevel="0" collapsed="false">
      <c r="A91" s="6" t="s">
        <v>971</v>
      </c>
      <c r="B91" s="6" t="s">
        <v>356</v>
      </c>
      <c r="C91" s="6" t="s">
        <v>962</v>
      </c>
    </row>
    <row r="92" customFormat="false" ht="15" hidden="false" customHeight="false" outlineLevel="0" collapsed="false">
      <c r="A92" s="6" t="s">
        <v>971</v>
      </c>
      <c r="B92" s="6" t="s">
        <v>368</v>
      </c>
      <c r="C92" s="6" t="s">
        <v>962</v>
      </c>
    </row>
    <row r="93" customFormat="false" ht="15" hidden="false" customHeight="false" outlineLevel="0" collapsed="false">
      <c r="A93" s="6" t="s">
        <v>971</v>
      </c>
      <c r="B93" s="6" t="s">
        <v>380</v>
      </c>
      <c r="C93" s="6" t="s">
        <v>962</v>
      </c>
    </row>
    <row r="94" customFormat="false" ht="15" hidden="false" customHeight="false" outlineLevel="0" collapsed="false">
      <c r="A94" s="6" t="s">
        <v>971</v>
      </c>
      <c r="B94" s="6" t="s">
        <v>392</v>
      </c>
      <c r="C94" s="6" t="s">
        <v>962</v>
      </c>
    </row>
    <row r="95" customFormat="false" ht="15" hidden="false" customHeight="false" outlineLevel="0" collapsed="false">
      <c r="A95" s="6" t="s">
        <v>971</v>
      </c>
      <c r="B95" s="6" t="s">
        <v>404</v>
      </c>
      <c r="C95" s="6" t="s">
        <v>962</v>
      </c>
    </row>
    <row r="96" customFormat="false" ht="15" hidden="false" customHeight="false" outlineLevel="0" collapsed="false">
      <c r="A96" s="6" t="s">
        <v>971</v>
      </c>
      <c r="B96" s="6" t="s">
        <v>416</v>
      </c>
      <c r="C96" s="6" t="s">
        <v>962</v>
      </c>
    </row>
    <row r="97" customFormat="false" ht="15" hidden="false" customHeight="false" outlineLevel="0" collapsed="false">
      <c r="A97" s="6" t="s">
        <v>971</v>
      </c>
      <c r="B97" s="6" t="s">
        <v>428</v>
      </c>
      <c r="C97" s="6" t="s">
        <v>962</v>
      </c>
    </row>
    <row r="98" customFormat="false" ht="15" hidden="false" customHeight="false" outlineLevel="0" collapsed="false">
      <c r="A98" s="6" t="s">
        <v>971</v>
      </c>
      <c r="B98" s="6" t="s">
        <v>441</v>
      </c>
      <c r="C98" s="6" t="s">
        <v>962</v>
      </c>
    </row>
    <row r="99" customFormat="false" ht="15" hidden="false" customHeight="false" outlineLevel="0" collapsed="false">
      <c r="A99" s="6" t="s">
        <v>971</v>
      </c>
      <c r="B99" s="6" t="s">
        <v>453</v>
      </c>
      <c r="C99" s="6" t="s">
        <v>962</v>
      </c>
    </row>
    <row r="100" customFormat="false" ht="15" hidden="false" customHeight="false" outlineLevel="0" collapsed="false">
      <c r="A100" s="6" t="s">
        <v>971</v>
      </c>
      <c r="B100" s="6" t="s">
        <v>465</v>
      </c>
      <c r="C100" s="6" t="s">
        <v>962</v>
      </c>
    </row>
    <row r="101" customFormat="false" ht="15" hidden="false" customHeight="false" outlineLevel="0" collapsed="false">
      <c r="A101" s="6" t="s">
        <v>971</v>
      </c>
      <c r="B101" s="6" t="s">
        <v>477</v>
      </c>
      <c r="C101" s="6" t="s">
        <v>962</v>
      </c>
    </row>
    <row r="102" customFormat="false" ht="15" hidden="false" customHeight="false" outlineLevel="0" collapsed="false">
      <c r="A102" s="6" t="s">
        <v>976</v>
      </c>
      <c r="B102" s="6" t="s">
        <v>489</v>
      </c>
      <c r="C102" s="6" t="s">
        <v>962</v>
      </c>
    </row>
    <row r="103" customFormat="false" ht="15" hidden="false" customHeight="false" outlineLevel="0" collapsed="false">
      <c r="A103" s="6" t="s">
        <v>976</v>
      </c>
      <c r="B103" s="6" t="s">
        <v>501</v>
      </c>
      <c r="C103" s="6" t="s">
        <v>962</v>
      </c>
    </row>
    <row r="104" customFormat="false" ht="15" hidden="false" customHeight="false" outlineLevel="0" collapsed="false">
      <c r="A104" s="6" t="s">
        <v>976</v>
      </c>
      <c r="B104" s="6" t="s">
        <v>513</v>
      </c>
      <c r="C104" s="6" t="s">
        <v>962</v>
      </c>
    </row>
    <row r="105" customFormat="false" ht="15" hidden="false" customHeight="false" outlineLevel="0" collapsed="false">
      <c r="A105" s="6" t="s">
        <v>976</v>
      </c>
      <c r="B105" s="6" t="s">
        <v>525</v>
      </c>
      <c r="C105" s="6" t="s">
        <v>962</v>
      </c>
    </row>
    <row r="106" customFormat="false" ht="15" hidden="false" customHeight="false" outlineLevel="0" collapsed="false">
      <c r="A106" s="6" t="s">
        <v>976</v>
      </c>
      <c r="B106" s="6" t="s">
        <v>537</v>
      </c>
      <c r="C106" s="6" t="s">
        <v>962</v>
      </c>
    </row>
    <row r="107" customFormat="false" ht="15" hidden="false" customHeight="false" outlineLevel="0" collapsed="false">
      <c r="A107" s="6" t="s">
        <v>976</v>
      </c>
      <c r="B107" s="6" t="s">
        <v>549</v>
      </c>
      <c r="C107" s="6" t="s">
        <v>962</v>
      </c>
    </row>
    <row r="108" customFormat="false" ht="15" hidden="false" customHeight="false" outlineLevel="0" collapsed="false">
      <c r="A108" s="6" t="s">
        <v>976</v>
      </c>
      <c r="B108" s="6" t="s">
        <v>561</v>
      </c>
      <c r="C108" s="6" t="s">
        <v>962</v>
      </c>
    </row>
    <row r="109" customFormat="false" ht="15" hidden="false" customHeight="false" outlineLevel="0" collapsed="false">
      <c r="A109" s="6" t="s">
        <v>976</v>
      </c>
      <c r="B109" s="6" t="s">
        <v>573</v>
      </c>
      <c r="C109" s="6" t="s">
        <v>962</v>
      </c>
    </row>
    <row r="110" customFormat="false" ht="15" hidden="false" customHeight="false" outlineLevel="0" collapsed="false">
      <c r="A110" s="6" t="s">
        <v>976</v>
      </c>
      <c r="B110" s="6" t="s">
        <v>585</v>
      </c>
      <c r="C110" s="6" t="s">
        <v>962</v>
      </c>
    </row>
    <row r="111" customFormat="false" ht="15" hidden="false" customHeight="false" outlineLevel="0" collapsed="false">
      <c r="A111" s="6" t="s">
        <v>976</v>
      </c>
      <c r="B111" s="6" t="s">
        <v>597</v>
      </c>
      <c r="C111" s="6" t="s">
        <v>962</v>
      </c>
    </row>
    <row r="112" customFormat="false" ht="15" hidden="false" customHeight="false" outlineLevel="0" collapsed="false">
      <c r="A112" s="6" t="s">
        <v>976</v>
      </c>
      <c r="B112" s="6" t="s">
        <v>609</v>
      </c>
      <c r="C112" s="6" t="s">
        <v>962</v>
      </c>
    </row>
    <row r="113" customFormat="false" ht="15" hidden="false" customHeight="false" outlineLevel="0" collapsed="false">
      <c r="A113" s="6" t="s">
        <v>976</v>
      </c>
      <c r="B113" s="6" t="s">
        <v>621</v>
      </c>
      <c r="C113" s="6" t="s">
        <v>962</v>
      </c>
    </row>
    <row r="114" customFormat="false" ht="15" hidden="false" customHeight="false" outlineLevel="0" collapsed="false">
      <c r="A114" s="6" t="s">
        <v>976</v>
      </c>
      <c r="B114" s="6" t="s">
        <v>633</v>
      </c>
      <c r="C114" s="6" t="s">
        <v>962</v>
      </c>
    </row>
    <row r="115" customFormat="false" ht="15" hidden="false" customHeight="false" outlineLevel="0" collapsed="false">
      <c r="A115" s="6" t="s">
        <v>976</v>
      </c>
      <c r="B115" s="6" t="s">
        <v>645</v>
      </c>
      <c r="C115" s="6" t="s">
        <v>962</v>
      </c>
    </row>
    <row r="116" customFormat="false" ht="15" hidden="false" customHeight="false" outlineLevel="0" collapsed="false">
      <c r="A116" s="6" t="s">
        <v>976</v>
      </c>
      <c r="B116" s="6" t="s">
        <v>657</v>
      </c>
      <c r="C116" s="6" t="s">
        <v>962</v>
      </c>
    </row>
    <row r="117" customFormat="false" ht="15" hidden="false" customHeight="false" outlineLevel="0" collapsed="false">
      <c r="A117" s="6" t="s">
        <v>976</v>
      </c>
      <c r="B117" s="6" t="s">
        <v>669</v>
      </c>
      <c r="C117" s="6" t="s">
        <v>962</v>
      </c>
    </row>
    <row r="118" customFormat="false" ht="15" hidden="false" customHeight="false" outlineLevel="0" collapsed="false">
      <c r="A118" s="6" t="s">
        <v>976</v>
      </c>
      <c r="B118" s="6" t="s">
        <v>681</v>
      </c>
      <c r="C118" s="6" t="s">
        <v>962</v>
      </c>
    </row>
    <row r="119" customFormat="false" ht="15" hidden="false" customHeight="false" outlineLevel="0" collapsed="false">
      <c r="A119" s="6" t="s">
        <v>976</v>
      </c>
      <c r="B119" s="6" t="s">
        <v>693</v>
      </c>
      <c r="C119" s="6" t="s">
        <v>962</v>
      </c>
    </row>
    <row r="120" customFormat="false" ht="15" hidden="false" customHeight="false" outlineLevel="0" collapsed="false">
      <c r="A120" s="6" t="s">
        <v>976</v>
      </c>
      <c r="B120" s="6" t="s">
        <v>705</v>
      </c>
      <c r="C120" s="6" t="s">
        <v>962</v>
      </c>
    </row>
    <row r="121" customFormat="false" ht="15" hidden="false" customHeight="false" outlineLevel="0" collapsed="false">
      <c r="A121" s="6" t="s">
        <v>976</v>
      </c>
      <c r="B121" s="6" t="s">
        <v>717</v>
      </c>
      <c r="C121" s="6" t="s">
        <v>962</v>
      </c>
    </row>
    <row r="122" customFormat="false" ht="15" hidden="false" customHeight="false" outlineLevel="0" collapsed="false">
      <c r="A122" s="6" t="s">
        <v>976</v>
      </c>
      <c r="B122" s="6" t="s">
        <v>729</v>
      </c>
      <c r="C122" s="6" t="s">
        <v>962</v>
      </c>
    </row>
    <row r="123" customFormat="false" ht="15" hidden="false" customHeight="false" outlineLevel="0" collapsed="false">
      <c r="A123" s="6" t="s">
        <v>976</v>
      </c>
      <c r="B123" s="6" t="s">
        <v>741</v>
      </c>
      <c r="C123" s="6" t="s">
        <v>962</v>
      </c>
    </row>
    <row r="124" customFormat="false" ht="15" hidden="false" customHeight="false" outlineLevel="0" collapsed="false">
      <c r="A124" s="6" t="s">
        <v>976</v>
      </c>
      <c r="B124" s="6" t="s">
        <v>753</v>
      </c>
      <c r="C124" s="6" t="s">
        <v>962</v>
      </c>
    </row>
    <row r="125" customFormat="false" ht="15" hidden="false" customHeight="false" outlineLevel="0" collapsed="false">
      <c r="A125" s="6" t="s">
        <v>976</v>
      </c>
      <c r="B125" s="6" t="s">
        <v>765</v>
      </c>
      <c r="C125" s="6" t="s">
        <v>962</v>
      </c>
    </row>
    <row r="126" customFormat="false" ht="15" hidden="false" customHeight="false" outlineLevel="0" collapsed="false">
      <c r="A126" s="6" t="s">
        <v>193</v>
      </c>
      <c r="B126" s="6" t="s">
        <v>1051</v>
      </c>
      <c r="C126" s="6" t="s">
        <v>794</v>
      </c>
    </row>
    <row r="127" customFormat="false" ht="15" hidden="false" customHeight="false" outlineLevel="0" collapsed="false">
      <c r="A127" s="6" t="s">
        <v>205</v>
      </c>
      <c r="B127" s="6" t="s">
        <v>1051</v>
      </c>
      <c r="C127" s="6" t="s">
        <v>794</v>
      </c>
    </row>
    <row r="128" customFormat="false" ht="15" hidden="false" customHeight="false" outlineLevel="0" collapsed="false">
      <c r="A128" s="6" t="s">
        <v>1051</v>
      </c>
      <c r="B128" s="6" t="s">
        <v>194</v>
      </c>
      <c r="C128" s="6" t="s">
        <v>962</v>
      </c>
    </row>
    <row r="129" customFormat="false" ht="15" hidden="false" customHeight="false" outlineLevel="0" collapsed="false">
      <c r="A129" s="6" t="s">
        <v>1051</v>
      </c>
      <c r="B129" s="6" t="s">
        <v>206</v>
      </c>
      <c r="C129" s="6" t="s">
        <v>962</v>
      </c>
    </row>
    <row r="130" customFormat="false" ht="15" hidden="false" customHeight="false" outlineLevel="0" collapsed="false">
      <c r="A130" s="6" t="s">
        <v>218</v>
      </c>
      <c r="B130" s="6" t="s">
        <v>1055</v>
      </c>
      <c r="C130" s="6" t="s">
        <v>794</v>
      </c>
    </row>
    <row r="131" customFormat="false" ht="15" hidden="false" customHeight="false" outlineLevel="0" collapsed="false">
      <c r="A131" s="6" t="s">
        <v>230</v>
      </c>
      <c r="B131" s="6" t="s">
        <v>1055</v>
      </c>
      <c r="C131" s="6" t="s">
        <v>794</v>
      </c>
    </row>
    <row r="132" customFormat="false" ht="15" hidden="false" customHeight="false" outlineLevel="0" collapsed="false">
      <c r="A132" s="6" t="s">
        <v>1055</v>
      </c>
      <c r="B132" s="6" t="s">
        <v>219</v>
      </c>
      <c r="C132" s="6" t="s">
        <v>962</v>
      </c>
    </row>
    <row r="133" customFormat="false" ht="15" hidden="false" customHeight="false" outlineLevel="0" collapsed="false">
      <c r="A133" s="6" t="s">
        <v>1055</v>
      </c>
      <c r="B133" s="6" t="s">
        <v>231</v>
      </c>
      <c r="C133" s="6" t="s">
        <v>962</v>
      </c>
    </row>
    <row r="134" customFormat="false" ht="15" hidden="false" customHeight="false" outlineLevel="0" collapsed="false">
      <c r="A134" s="6" t="s">
        <v>243</v>
      </c>
      <c r="B134" s="6" t="s">
        <v>1057</v>
      </c>
      <c r="C134" s="6" t="s">
        <v>794</v>
      </c>
    </row>
    <row r="135" customFormat="false" ht="15" hidden="false" customHeight="false" outlineLevel="0" collapsed="false">
      <c r="A135" s="6" t="s">
        <v>255</v>
      </c>
      <c r="B135" s="6" t="s">
        <v>1057</v>
      </c>
      <c r="C135" s="6" t="s">
        <v>794</v>
      </c>
    </row>
    <row r="136" customFormat="false" ht="15" hidden="false" customHeight="false" outlineLevel="0" collapsed="false">
      <c r="A136" s="6" t="s">
        <v>1057</v>
      </c>
      <c r="B136" s="6" t="s">
        <v>244</v>
      </c>
      <c r="C136" s="6" t="s">
        <v>962</v>
      </c>
    </row>
    <row r="137" customFormat="false" ht="15" hidden="false" customHeight="false" outlineLevel="0" collapsed="false">
      <c r="A137" s="6" t="s">
        <v>1057</v>
      </c>
      <c r="B137" s="6" t="s">
        <v>256</v>
      </c>
      <c r="C137" s="6" t="s">
        <v>962</v>
      </c>
    </row>
    <row r="138" customFormat="false" ht="15" hidden="false" customHeight="false" outlineLevel="0" collapsed="false">
      <c r="A138" s="6" t="s">
        <v>269</v>
      </c>
      <c r="B138" s="6" t="s">
        <v>1059</v>
      </c>
      <c r="C138" s="6" t="s">
        <v>794</v>
      </c>
    </row>
    <row r="139" customFormat="false" ht="15" hidden="false" customHeight="false" outlineLevel="0" collapsed="false">
      <c r="A139" s="6" t="s">
        <v>281</v>
      </c>
      <c r="B139" s="6" t="s">
        <v>1059</v>
      </c>
      <c r="C139" s="6" t="s">
        <v>794</v>
      </c>
    </row>
    <row r="140" customFormat="false" ht="15" hidden="false" customHeight="false" outlineLevel="0" collapsed="false">
      <c r="A140" s="6" t="s">
        <v>1059</v>
      </c>
      <c r="B140" s="6" t="s">
        <v>270</v>
      </c>
      <c r="C140" s="6" t="s">
        <v>962</v>
      </c>
    </row>
    <row r="141" customFormat="false" ht="15" hidden="false" customHeight="false" outlineLevel="0" collapsed="false">
      <c r="A141" s="6" t="s">
        <v>1059</v>
      </c>
      <c r="B141" s="6" t="s">
        <v>282</v>
      </c>
      <c r="C141" s="6" t="s">
        <v>962</v>
      </c>
    </row>
    <row r="142" customFormat="false" ht="15" hidden="false" customHeight="false" outlineLevel="0" collapsed="false">
      <c r="A142" s="6" t="s">
        <v>294</v>
      </c>
      <c r="B142" s="6" t="s">
        <v>1061</v>
      </c>
      <c r="C142" s="6" t="s">
        <v>794</v>
      </c>
    </row>
    <row r="143" customFormat="false" ht="15" hidden="false" customHeight="false" outlineLevel="0" collapsed="false">
      <c r="A143" s="6" t="s">
        <v>306</v>
      </c>
      <c r="B143" s="6" t="s">
        <v>1061</v>
      </c>
      <c r="C143" s="6" t="s">
        <v>794</v>
      </c>
    </row>
    <row r="144" customFormat="false" ht="15" hidden="false" customHeight="false" outlineLevel="0" collapsed="false">
      <c r="A144" s="6" t="s">
        <v>1061</v>
      </c>
      <c r="B144" s="6" t="s">
        <v>295</v>
      </c>
      <c r="C144" s="6" t="s">
        <v>962</v>
      </c>
    </row>
    <row r="145" customFormat="false" ht="15" hidden="false" customHeight="false" outlineLevel="0" collapsed="false">
      <c r="A145" s="6" t="s">
        <v>1061</v>
      </c>
      <c r="B145" s="6" t="s">
        <v>307</v>
      </c>
      <c r="C145" s="6" t="s">
        <v>962</v>
      </c>
    </row>
    <row r="146" customFormat="false" ht="15" hidden="false" customHeight="false" outlineLevel="0" collapsed="false">
      <c r="A146" s="6" t="s">
        <v>319</v>
      </c>
      <c r="B146" s="6" t="s">
        <v>1063</v>
      </c>
      <c r="C146" s="6" t="s">
        <v>794</v>
      </c>
    </row>
    <row r="147" customFormat="false" ht="15" hidden="false" customHeight="false" outlineLevel="0" collapsed="false">
      <c r="A147" s="6" t="s">
        <v>331</v>
      </c>
      <c r="B147" s="6" t="s">
        <v>1063</v>
      </c>
      <c r="C147" s="6" t="s">
        <v>794</v>
      </c>
    </row>
    <row r="148" customFormat="false" ht="15" hidden="false" customHeight="false" outlineLevel="0" collapsed="false">
      <c r="A148" s="6" t="s">
        <v>1063</v>
      </c>
      <c r="B148" s="6" t="s">
        <v>320</v>
      </c>
      <c r="C148" s="6" t="s">
        <v>962</v>
      </c>
    </row>
    <row r="149" customFormat="false" ht="15" hidden="false" customHeight="false" outlineLevel="0" collapsed="false">
      <c r="A149" s="6" t="s">
        <v>1063</v>
      </c>
      <c r="B149" s="6" t="s">
        <v>332</v>
      </c>
      <c r="C149" s="6" t="s">
        <v>962</v>
      </c>
    </row>
    <row r="150" customFormat="false" ht="15" hidden="false" customHeight="false" outlineLevel="0" collapsed="false">
      <c r="A150" s="6" t="s">
        <v>343</v>
      </c>
      <c r="B150" s="6" t="s">
        <v>1065</v>
      </c>
      <c r="C150" s="6" t="s">
        <v>794</v>
      </c>
    </row>
    <row r="151" customFormat="false" ht="15" hidden="false" customHeight="false" outlineLevel="0" collapsed="false">
      <c r="A151" s="6" t="s">
        <v>355</v>
      </c>
      <c r="B151" s="6" t="s">
        <v>1065</v>
      </c>
      <c r="C151" s="6" t="s">
        <v>794</v>
      </c>
    </row>
    <row r="152" customFormat="false" ht="15" hidden="false" customHeight="false" outlineLevel="0" collapsed="false">
      <c r="A152" s="6" t="s">
        <v>1065</v>
      </c>
      <c r="B152" s="6" t="s">
        <v>344</v>
      </c>
      <c r="C152" s="6" t="s">
        <v>962</v>
      </c>
    </row>
    <row r="153" customFormat="false" ht="15" hidden="false" customHeight="false" outlineLevel="0" collapsed="false">
      <c r="A153" s="6" t="s">
        <v>1065</v>
      </c>
      <c r="B153" s="6" t="s">
        <v>356</v>
      </c>
      <c r="C153" s="6" t="s">
        <v>962</v>
      </c>
    </row>
    <row r="154" customFormat="false" ht="15" hidden="false" customHeight="false" outlineLevel="0" collapsed="false">
      <c r="A154" s="6" t="s">
        <v>367</v>
      </c>
      <c r="B154" s="6" t="s">
        <v>1067</v>
      </c>
      <c r="C154" s="6" t="s">
        <v>794</v>
      </c>
    </row>
    <row r="155" customFormat="false" ht="15" hidden="false" customHeight="false" outlineLevel="0" collapsed="false">
      <c r="A155" s="6" t="s">
        <v>379</v>
      </c>
      <c r="B155" s="6" t="s">
        <v>1067</v>
      </c>
      <c r="C155" s="6" t="s">
        <v>794</v>
      </c>
    </row>
    <row r="156" customFormat="false" ht="15" hidden="false" customHeight="false" outlineLevel="0" collapsed="false">
      <c r="A156" s="6" t="s">
        <v>1067</v>
      </c>
      <c r="B156" s="6" t="s">
        <v>368</v>
      </c>
      <c r="C156" s="6" t="s">
        <v>962</v>
      </c>
    </row>
    <row r="157" customFormat="false" ht="15" hidden="false" customHeight="false" outlineLevel="0" collapsed="false">
      <c r="A157" s="6" t="s">
        <v>1067</v>
      </c>
      <c r="B157" s="6" t="s">
        <v>380</v>
      </c>
      <c r="C157" s="6" t="s">
        <v>962</v>
      </c>
    </row>
    <row r="158" customFormat="false" ht="15" hidden="false" customHeight="false" outlineLevel="0" collapsed="false">
      <c r="A158" s="6" t="s">
        <v>391</v>
      </c>
      <c r="B158" s="6" t="s">
        <v>1069</v>
      </c>
      <c r="C158" s="6" t="s">
        <v>794</v>
      </c>
    </row>
    <row r="159" customFormat="false" ht="15" hidden="false" customHeight="false" outlineLevel="0" collapsed="false">
      <c r="A159" s="6" t="s">
        <v>403</v>
      </c>
      <c r="B159" s="6" t="s">
        <v>1069</v>
      </c>
      <c r="C159" s="6" t="s">
        <v>794</v>
      </c>
    </row>
    <row r="160" customFormat="false" ht="15" hidden="false" customHeight="false" outlineLevel="0" collapsed="false">
      <c r="A160" s="6" t="s">
        <v>1069</v>
      </c>
      <c r="B160" s="6" t="s">
        <v>392</v>
      </c>
      <c r="C160" s="6" t="s">
        <v>962</v>
      </c>
    </row>
    <row r="161" customFormat="false" ht="15" hidden="false" customHeight="false" outlineLevel="0" collapsed="false">
      <c r="A161" s="6" t="s">
        <v>1069</v>
      </c>
      <c r="B161" s="6" t="s">
        <v>404</v>
      </c>
      <c r="C161" s="6" t="s">
        <v>962</v>
      </c>
    </row>
    <row r="162" customFormat="false" ht="15" hidden="false" customHeight="false" outlineLevel="0" collapsed="false">
      <c r="A162" s="6" t="s">
        <v>415</v>
      </c>
      <c r="B162" s="6" t="s">
        <v>1071</v>
      </c>
      <c r="C162" s="6" t="s">
        <v>794</v>
      </c>
    </row>
    <row r="163" customFormat="false" ht="15" hidden="false" customHeight="false" outlineLevel="0" collapsed="false">
      <c r="A163" s="6" t="s">
        <v>427</v>
      </c>
      <c r="B163" s="6" t="s">
        <v>1071</v>
      </c>
      <c r="C163" s="6" t="s">
        <v>794</v>
      </c>
    </row>
    <row r="164" customFormat="false" ht="15" hidden="false" customHeight="false" outlineLevel="0" collapsed="false">
      <c r="A164" s="6" t="s">
        <v>1071</v>
      </c>
      <c r="B164" s="6" t="s">
        <v>416</v>
      </c>
      <c r="C164" s="6" t="s">
        <v>962</v>
      </c>
    </row>
    <row r="165" customFormat="false" ht="15" hidden="false" customHeight="false" outlineLevel="0" collapsed="false">
      <c r="A165" s="6" t="s">
        <v>1071</v>
      </c>
      <c r="B165" s="6" t="s">
        <v>428</v>
      </c>
      <c r="C165" s="6" t="s">
        <v>962</v>
      </c>
    </row>
    <row r="166" customFormat="false" ht="15" hidden="false" customHeight="false" outlineLevel="0" collapsed="false">
      <c r="A166" s="6" t="s">
        <v>440</v>
      </c>
      <c r="B166" s="6" t="s">
        <v>1073</v>
      </c>
      <c r="C166" s="6" t="s">
        <v>794</v>
      </c>
    </row>
    <row r="167" customFormat="false" ht="15" hidden="false" customHeight="false" outlineLevel="0" collapsed="false">
      <c r="A167" s="6" t="s">
        <v>452</v>
      </c>
      <c r="B167" s="6" t="s">
        <v>1073</v>
      </c>
      <c r="C167" s="6" t="s">
        <v>794</v>
      </c>
    </row>
    <row r="168" customFormat="false" ht="15" hidden="false" customHeight="false" outlineLevel="0" collapsed="false">
      <c r="A168" s="6" t="s">
        <v>1073</v>
      </c>
      <c r="B168" s="6" t="s">
        <v>441</v>
      </c>
      <c r="C168" s="6" t="s">
        <v>962</v>
      </c>
    </row>
    <row r="169" customFormat="false" ht="15" hidden="false" customHeight="false" outlineLevel="0" collapsed="false">
      <c r="A169" s="6" t="s">
        <v>1073</v>
      </c>
      <c r="B169" s="6" t="s">
        <v>453</v>
      </c>
      <c r="C169" s="6" t="s">
        <v>962</v>
      </c>
    </row>
    <row r="170" customFormat="false" ht="15" hidden="false" customHeight="false" outlineLevel="0" collapsed="false">
      <c r="A170" s="6" t="s">
        <v>464</v>
      </c>
      <c r="B170" s="6" t="s">
        <v>1075</v>
      </c>
      <c r="C170" s="6" t="s">
        <v>794</v>
      </c>
    </row>
    <row r="171" customFormat="false" ht="15" hidden="false" customHeight="false" outlineLevel="0" collapsed="false">
      <c r="A171" s="6" t="s">
        <v>476</v>
      </c>
      <c r="B171" s="6" t="s">
        <v>1075</v>
      </c>
      <c r="C171" s="6" t="s">
        <v>794</v>
      </c>
    </row>
    <row r="172" customFormat="false" ht="15" hidden="false" customHeight="false" outlineLevel="0" collapsed="false">
      <c r="A172" s="6" t="s">
        <v>1075</v>
      </c>
      <c r="B172" s="6" t="s">
        <v>465</v>
      </c>
      <c r="C172" s="6" t="s">
        <v>962</v>
      </c>
    </row>
    <row r="173" customFormat="false" ht="15" hidden="false" customHeight="false" outlineLevel="0" collapsed="false">
      <c r="A173" s="6" t="s">
        <v>1075</v>
      </c>
      <c r="B173" s="6" t="s">
        <v>477</v>
      </c>
      <c r="C173" s="6" t="s">
        <v>962</v>
      </c>
    </row>
    <row r="174" customFormat="false" ht="15" hidden="false" customHeight="false" outlineLevel="0" collapsed="false">
      <c r="A174" s="6" t="s">
        <v>488</v>
      </c>
      <c r="B174" s="6" t="s">
        <v>1077</v>
      </c>
      <c r="C174" s="6" t="s">
        <v>794</v>
      </c>
    </row>
    <row r="175" customFormat="false" ht="15" hidden="false" customHeight="false" outlineLevel="0" collapsed="false">
      <c r="A175" s="6" t="s">
        <v>500</v>
      </c>
      <c r="B175" s="6" t="s">
        <v>1077</v>
      </c>
      <c r="C175" s="6" t="s">
        <v>794</v>
      </c>
    </row>
    <row r="176" customFormat="false" ht="15" hidden="false" customHeight="false" outlineLevel="0" collapsed="false">
      <c r="A176" s="6" t="s">
        <v>1077</v>
      </c>
      <c r="B176" s="6" t="s">
        <v>489</v>
      </c>
      <c r="C176" s="6" t="s">
        <v>962</v>
      </c>
    </row>
    <row r="177" customFormat="false" ht="15" hidden="false" customHeight="false" outlineLevel="0" collapsed="false">
      <c r="A177" s="6" t="s">
        <v>1077</v>
      </c>
      <c r="B177" s="6" t="s">
        <v>501</v>
      </c>
      <c r="C177" s="6" t="s">
        <v>962</v>
      </c>
    </row>
    <row r="178" customFormat="false" ht="15" hidden="false" customHeight="false" outlineLevel="0" collapsed="false">
      <c r="A178" s="6" t="s">
        <v>512</v>
      </c>
      <c r="B178" s="6" t="s">
        <v>1079</v>
      </c>
      <c r="C178" s="6" t="s">
        <v>794</v>
      </c>
    </row>
    <row r="179" customFormat="false" ht="15" hidden="false" customHeight="false" outlineLevel="0" collapsed="false">
      <c r="A179" s="6" t="s">
        <v>524</v>
      </c>
      <c r="B179" s="6" t="s">
        <v>1079</v>
      </c>
      <c r="C179" s="6" t="s">
        <v>794</v>
      </c>
    </row>
    <row r="180" customFormat="false" ht="15" hidden="false" customHeight="false" outlineLevel="0" collapsed="false">
      <c r="A180" s="6" t="s">
        <v>1079</v>
      </c>
      <c r="B180" s="6" t="s">
        <v>513</v>
      </c>
      <c r="C180" s="6" t="s">
        <v>962</v>
      </c>
    </row>
    <row r="181" customFormat="false" ht="15" hidden="false" customHeight="false" outlineLevel="0" collapsed="false">
      <c r="A181" s="6" t="s">
        <v>1079</v>
      </c>
      <c r="B181" s="6" t="s">
        <v>525</v>
      </c>
      <c r="C181" s="6" t="s">
        <v>962</v>
      </c>
    </row>
    <row r="182" customFormat="false" ht="15" hidden="false" customHeight="false" outlineLevel="0" collapsed="false">
      <c r="A182" s="6" t="s">
        <v>536</v>
      </c>
      <c r="B182" s="6" t="s">
        <v>1081</v>
      </c>
      <c r="C182" s="6" t="s">
        <v>794</v>
      </c>
    </row>
    <row r="183" customFormat="false" ht="15" hidden="false" customHeight="false" outlineLevel="0" collapsed="false">
      <c r="A183" s="6" t="s">
        <v>548</v>
      </c>
      <c r="B183" s="6" t="s">
        <v>1081</v>
      </c>
      <c r="C183" s="6" t="s">
        <v>794</v>
      </c>
    </row>
    <row r="184" customFormat="false" ht="15" hidden="false" customHeight="false" outlineLevel="0" collapsed="false">
      <c r="A184" s="6" t="s">
        <v>1081</v>
      </c>
      <c r="B184" s="6" t="s">
        <v>537</v>
      </c>
      <c r="C184" s="6" t="s">
        <v>962</v>
      </c>
    </row>
    <row r="185" customFormat="false" ht="15" hidden="false" customHeight="false" outlineLevel="0" collapsed="false">
      <c r="A185" s="6" t="s">
        <v>1081</v>
      </c>
      <c r="B185" s="6" t="s">
        <v>549</v>
      </c>
      <c r="C185" s="6" t="s">
        <v>962</v>
      </c>
    </row>
    <row r="186" customFormat="false" ht="15" hidden="false" customHeight="false" outlineLevel="0" collapsed="false">
      <c r="A186" s="6" t="s">
        <v>560</v>
      </c>
      <c r="B186" s="6" t="s">
        <v>1083</v>
      </c>
      <c r="C186" s="6" t="s">
        <v>794</v>
      </c>
    </row>
    <row r="187" customFormat="false" ht="15" hidden="false" customHeight="false" outlineLevel="0" collapsed="false">
      <c r="A187" s="6" t="s">
        <v>572</v>
      </c>
      <c r="B187" s="6" t="s">
        <v>1083</v>
      </c>
      <c r="C187" s="6" t="s">
        <v>794</v>
      </c>
    </row>
    <row r="188" customFormat="false" ht="15" hidden="false" customHeight="false" outlineLevel="0" collapsed="false">
      <c r="A188" s="6" t="s">
        <v>1083</v>
      </c>
      <c r="B188" s="6" t="s">
        <v>561</v>
      </c>
      <c r="C188" s="6" t="s">
        <v>962</v>
      </c>
    </row>
    <row r="189" customFormat="false" ht="15" hidden="false" customHeight="false" outlineLevel="0" collapsed="false">
      <c r="A189" s="6" t="s">
        <v>1083</v>
      </c>
      <c r="B189" s="6" t="s">
        <v>573</v>
      </c>
      <c r="C189" s="6" t="s">
        <v>962</v>
      </c>
    </row>
    <row r="190" customFormat="false" ht="15" hidden="false" customHeight="false" outlineLevel="0" collapsed="false">
      <c r="A190" s="6" t="s">
        <v>584</v>
      </c>
      <c r="B190" s="6" t="s">
        <v>1085</v>
      </c>
      <c r="C190" s="6" t="s">
        <v>794</v>
      </c>
    </row>
    <row r="191" customFormat="false" ht="15" hidden="false" customHeight="false" outlineLevel="0" collapsed="false">
      <c r="A191" s="6" t="s">
        <v>596</v>
      </c>
      <c r="B191" s="6" t="s">
        <v>1085</v>
      </c>
      <c r="C191" s="6" t="s">
        <v>794</v>
      </c>
    </row>
    <row r="192" customFormat="false" ht="15" hidden="false" customHeight="false" outlineLevel="0" collapsed="false">
      <c r="A192" s="6" t="s">
        <v>1085</v>
      </c>
      <c r="B192" s="6" t="s">
        <v>585</v>
      </c>
      <c r="C192" s="6" t="s">
        <v>962</v>
      </c>
    </row>
    <row r="193" customFormat="false" ht="15" hidden="false" customHeight="false" outlineLevel="0" collapsed="false">
      <c r="A193" s="6" t="s">
        <v>1085</v>
      </c>
      <c r="B193" s="6" t="s">
        <v>597</v>
      </c>
      <c r="C193" s="6" t="s">
        <v>962</v>
      </c>
    </row>
    <row r="194" customFormat="false" ht="15" hidden="false" customHeight="false" outlineLevel="0" collapsed="false">
      <c r="A194" s="6" t="s">
        <v>608</v>
      </c>
      <c r="B194" s="6" t="s">
        <v>1087</v>
      </c>
      <c r="C194" s="6" t="s">
        <v>794</v>
      </c>
    </row>
    <row r="195" customFormat="false" ht="15" hidden="false" customHeight="false" outlineLevel="0" collapsed="false">
      <c r="A195" s="6" t="s">
        <v>620</v>
      </c>
      <c r="B195" s="6" t="s">
        <v>1087</v>
      </c>
      <c r="C195" s="6" t="s">
        <v>794</v>
      </c>
    </row>
    <row r="196" customFormat="false" ht="15" hidden="false" customHeight="false" outlineLevel="0" collapsed="false">
      <c r="A196" s="6" t="s">
        <v>1087</v>
      </c>
      <c r="B196" s="6" t="s">
        <v>609</v>
      </c>
      <c r="C196" s="6" t="s">
        <v>962</v>
      </c>
    </row>
    <row r="197" customFormat="false" ht="15" hidden="false" customHeight="false" outlineLevel="0" collapsed="false">
      <c r="A197" s="6" t="s">
        <v>1087</v>
      </c>
      <c r="B197" s="6" t="s">
        <v>621</v>
      </c>
      <c r="C197" s="6" t="s">
        <v>962</v>
      </c>
    </row>
    <row r="198" customFormat="false" ht="15" hidden="false" customHeight="false" outlineLevel="0" collapsed="false">
      <c r="A198" s="6" t="s">
        <v>632</v>
      </c>
      <c r="B198" s="6" t="s">
        <v>1089</v>
      </c>
      <c r="C198" s="6" t="s">
        <v>794</v>
      </c>
    </row>
    <row r="199" customFormat="false" ht="15" hidden="false" customHeight="false" outlineLevel="0" collapsed="false">
      <c r="A199" s="6" t="s">
        <v>644</v>
      </c>
      <c r="B199" s="6" t="s">
        <v>1089</v>
      </c>
      <c r="C199" s="6" t="s">
        <v>794</v>
      </c>
    </row>
    <row r="200" customFormat="false" ht="15" hidden="false" customHeight="false" outlineLevel="0" collapsed="false">
      <c r="A200" s="6" t="s">
        <v>1089</v>
      </c>
      <c r="B200" s="6" t="s">
        <v>633</v>
      </c>
      <c r="C200" s="6" t="s">
        <v>962</v>
      </c>
    </row>
    <row r="201" customFormat="false" ht="15" hidden="false" customHeight="false" outlineLevel="0" collapsed="false">
      <c r="A201" s="6" t="s">
        <v>1089</v>
      </c>
      <c r="B201" s="6" t="s">
        <v>645</v>
      </c>
      <c r="C201" s="6" t="s">
        <v>962</v>
      </c>
    </row>
    <row r="202" customFormat="false" ht="15" hidden="false" customHeight="false" outlineLevel="0" collapsed="false">
      <c r="A202" s="6" t="s">
        <v>656</v>
      </c>
      <c r="B202" s="6" t="s">
        <v>1091</v>
      </c>
      <c r="C202" s="6" t="s">
        <v>794</v>
      </c>
    </row>
    <row r="203" customFormat="false" ht="15" hidden="false" customHeight="false" outlineLevel="0" collapsed="false">
      <c r="A203" s="6" t="s">
        <v>668</v>
      </c>
      <c r="B203" s="6" t="s">
        <v>1091</v>
      </c>
      <c r="C203" s="6" t="s">
        <v>794</v>
      </c>
    </row>
    <row r="204" customFormat="false" ht="15" hidden="false" customHeight="false" outlineLevel="0" collapsed="false">
      <c r="A204" s="6" t="s">
        <v>1091</v>
      </c>
      <c r="B204" s="6" t="s">
        <v>657</v>
      </c>
      <c r="C204" s="6" t="s">
        <v>962</v>
      </c>
    </row>
    <row r="205" customFormat="false" ht="15" hidden="false" customHeight="false" outlineLevel="0" collapsed="false">
      <c r="A205" s="6" t="s">
        <v>1091</v>
      </c>
      <c r="B205" s="6" t="s">
        <v>669</v>
      </c>
      <c r="C205" s="6" t="s">
        <v>962</v>
      </c>
    </row>
    <row r="206" customFormat="false" ht="15" hidden="false" customHeight="false" outlineLevel="0" collapsed="false">
      <c r="A206" s="6" t="s">
        <v>680</v>
      </c>
      <c r="B206" s="6" t="s">
        <v>1093</v>
      </c>
      <c r="C206" s="6" t="s">
        <v>794</v>
      </c>
    </row>
    <row r="207" customFormat="false" ht="15" hidden="false" customHeight="false" outlineLevel="0" collapsed="false">
      <c r="A207" s="6" t="s">
        <v>692</v>
      </c>
      <c r="B207" s="6" t="s">
        <v>1093</v>
      </c>
      <c r="C207" s="6" t="s">
        <v>794</v>
      </c>
    </row>
    <row r="208" customFormat="false" ht="15" hidden="false" customHeight="false" outlineLevel="0" collapsed="false">
      <c r="A208" s="6" t="s">
        <v>1093</v>
      </c>
      <c r="B208" s="6" t="s">
        <v>681</v>
      </c>
      <c r="C208" s="6" t="s">
        <v>962</v>
      </c>
    </row>
    <row r="209" customFormat="false" ht="15" hidden="false" customHeight="false" outlineLevel="0" collapsed="false">
      <c r="A209" s="6" t="s">
        <v>1093</v>
      </c>
      <c r="B209" s="6" t="s">
        <v>693</v>
      </c>
      <c r="C209" s="6" t="s">
        <v>962</v>
      </c>
    </row>
    <row r="210" customFormat="false" ht="15" hidden="false" customHeight="false" outlineLevel="0" collapsed="false">
      <c r="A210" s="6" t="s">
        <v>704</v>
      </c>
      <c r="B210" s="6" t="s">
        <v>1095</v>
      </c>
      <c r="C210" s="6" t="s">
        <v>794</v>
      </c>
    </row>
    <row r="211" customFormat="false" ht="15" hidden="false" customHeight="false" outlineLevel="0" collapsed="false">
      <c r="A211" s="6" t="s">
        <v>716</v>
      </c>
      <c r="B211" s="6" t="s">
        <v>1095</v>
      </c>
      <c r="C211" s="6" t="s">
        <v>794</v>
      </c>
    </row>
    <row r="212" customFormat="false" ht="15" hidden="false" customHeight="false" outlineLevel="0" collapsed="false">
      <c r="A212" s="6" t="s">
        <v>1095</v>
      </c>
      <c r="B212" s="6" t="s">
        <v>705</v>
      </c>
      <c r="C212" s="6" t="s">
        <v>962</v>
      </c>
    </row>
    <row r="213" customFormat="false" ht="15" hidden="false" customHeight="false" outlineLevel="0" collapsed="false">
      <c r="A213" s="6" t="s">
        <v>1095</v>
      </c>
      <c r="B213" s="6" t="s">
        <v>717</v>
      </c>
      <c r="C213" s="6" t="s">
        <v>962</v>
      </c>
    </row>
    <row r="214" customFormat="false" ht="15" hidden="false" customHeight="false" outlineLevel="0" collapsed="false">
      <c r="A214" s="6" t="s">
        <v>728</v>
      </c>
      <c r="B214" s="6" t="s">
        <v>1097</v>
      </c>
      <c r="C214" s="6" t="s">
        <v>794</v>
      </c>
    </row>
    <row r="215" customFormat="false" ht="15" hidden="false" customHeight="false" outlineLevel="0" collapsed="false">
      <c r="A215" s="6" t="s">
        <v>740</v>
      </c>
      <c r="B215" s="6" t="s">
        <v>1097</v>
      </c>
      <c r="C215" s="6" t="s">
        <v>794</v>
      </c>
    </row>
    <row r="216" customFormat="false" ht="15" hidden="false" customHeight="false" outlineLevel="0" collapsed="false">
      <c r="A216" s="6" t="s">
        <v>1097</v>
      </c>
      <c r="B216" s="6" t="s">
        <v>729</v>
      </c>
      <c r="C216" s="6" t="s">
        <v>962</v>
      </c>
    </row>
    <row r="217" customFormat="false" ht="15" hidden="false" customHeight="false" outlineLevel="0" collapsed="false">
      <c r="A217" s="6" t="s">
        <v>1097</v>
      </c>
      <c r="B217" s="6" t="s">
        <v>741</v>
      </c>
      <c r="C217" s="6" t="s">
        <v>962</v>
      </c>
    </row>
    <row r="218" customFormat="false" ht="15" hidden="false" customHeight="false" outlineLevel="0" collapsed="false">
      <c r="A218" s="6" t="s">
        <v>752</v>
      </c>
      <c r="B218" s="6" t="s">
        <v>1099</v>
      </c>
      <c r="C218" s="6" t="s">
        <v>794</v>
      </c>
    </row>
    <row r="219" customFormat="false" ht="15" hidden="false" customHeight="false" outlineLevel="0" collapsed="false">
      <c r="A219" s="6" t="s">
        <v>764</v>
      </c>
      <c r="B219" s="6" t="s">
        <v>1099</v>
      </c>
      <c r="C219" s="6" t="s">
        <v>794</v>
      </c>
    </row>
    <row r="220" customFormat="false" ht="15" hidden="false" customHeight="false" outlineLevel="0" collapsed="false">
      <c r="A220" s="6" t="s">
        <v>1099</v>
      </c>
      <c r="B220" s="6" t="s">
        <v>753</v>
      </c>
      <c r="C220" s="6" t="s">
        <v>962</v>
      </c>
    </row>
    <row r="221" customFormat="false" ht="15" hidden="false" customHeight="false" outlineLevel="0" collapsed="false">
      <c r="A221" s="6" t="s">
        <v>1099</v>
      </c>
      <c r="B221" s="6" t="s">
        <v>765</v>
      </c>
      <c r="C221" s="6" t="s">
        <v>962</v>
      </c>
    </row>
    <row r="223" customFormat="false" ht="15" hidden="false" customHeight="false" outlineLevel="0" collapsed="false">
      <c r="A223" s="9" t="s">
        <v>1233</v>
      </c>
    </row>
    <row r="224" customFormat="false" ht="15" hidden="false" customHeight="false" outlineLevel="0" collapsed="false">
      <c r="A224" s="9" t="s">
        <v>1234</v>
      </c>
    </row>
    <row r="225" customFormat="false" ht="15" hidden="false" customHeight="false" outlineLevel="0" collapsed="false">
      <c r="A225" s="9" t="s">
        <v>1235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6"/>
    <col collapsed="false" customWidth="true" hidden="false" outlineLevel="0" max="4" min="3" style="0" width="15"/>
    <col collapsed="false" customWidth="true" hidden="false" outlineLevel="0" max="5" min="5" style="0" width="17"/>
    <col collapsed="false" customWidth="true" hidden="false" outlineLevel="0" max="6" min="6" style="0" width="26"/>
  </cols>
  <sheetData>
    <row r="1" customFormat="false" ht="30" hidden="false" customHeight="true" outlineLevel="0" collapsed="false">
      <c r="A1" s="5" t="s">
        <v>778</v>
      </c>
      <c r="B1" s="5" t="s">
        <v>1236</v>
      </c>
      <c r="C1" s="5" t="s">
        <v>1237</v>
      </c>
      <c r="D1" s="5" t="s">
        <v>1238</v>
      </c>
      <c r="E1" s="5" t="s">
        <v>790</v>
      </c>
      <c r="F1" s="5" t="s">
        <v>1239</v>
      </c>
    </row>
    <row r="2" customFormat="false" ht="15" hidden="false" customHeight="false" outlineLevel="0" collapsed="false">
      <c r="A2" s="6" t="s">
        <v>343</v>
      </c>
      <c r="B2" s="6" t="s">
        <v>1240</v>
      </c>
      <c r="C2" s="6" t="n">
        <v>800</v>
      </c>
      <c r="D2" s="6" t="n">
        <v>14</v>
      </c>
      <c r="E2" s="6" t="n">
        <v>10</v>
      </c>
      <c r="F2" s="6" t="s">
        <v>1241</v>
      </c>
    </row>
    <row r="3" customFormat="false" ht="15" hidden="false" customHeight="false" outlineLevel="0" collapsed="false">
      <c r="A3" s="6" t="s">
        <v>355</v>
      </c>
      <c r="B3" s="6" t="s">
        <v>1240</v>
      </c>
      <c r="C3" s="6" t="n">
        <v>800</v>
      </c>
      <c r="D3" s="6" t="n">
        <v>14</v>
      </c>
      <c r="E3" s="6" t="n">
        <v>10</v>
      </c>
      <c r="F3" s="6" t="s">
        <v>1241</v>
      </c>
    </row>
    <row r="4" customFormat="false" ht="15" hidden="false" customHeight="false" outlineLevel="0" collapsed="false">
      <c r="A4" s="6" t="s">
        <v>872</v>
      </c>
      <c r="B4" s="6" t="s">
        <v>1242</v>
      </c>
      <c r="C4" s="8" t="n">
        <v>2500</v>
      </c>
      <c r="D4" s="6" t="n">
        <v>45</v>
      </c>
      <c r="E4" s="6" t="n">
        <v>14</v>
      </c>
      <c r="F4" s="6" t="s">
        <v>1241</v>
      </c>
    </row>
    <row r="5" customFormat="false" ht="15" hidden="false" customHeight="false" outlineLevel="0" collapsed="false">
      <c r="A5" s="6" t="s">
        <v>344</v>
      </c>
      <c r="B5" s="6" t="s">
        <v>1243</v>
      </c>
      <c r="C5" s="6" t="n">
        <v>600</v>
      </c>
      <c r="D5" s="6" t="n">
        <v>40</v>
      </c>
      <c r="E5" s="6" t="n">
        <v>8</v>
      </c>
      <c r="F5" s="6" t="s">
        <v>1241</v>
      </c>
    </row>
    <row r="6" customFormat="false" ht="15" hidden="false" customHeight="false" outlineLevel="0" collapsed="false">
      <c r="A6" s="6" t="s">
        <v>356</v>
      </c>
      <c r="B6" s="6" t="s">
        <v>1243</v>
      </c>
      <c r="C6" s="6" t="n">
        <v>600</v>
      </c>
      <c r="D6" s="6" t="n">
        <v>40</v>
      </c>
      <c r="E6" s="6" t="n">
        <v>8</v>
      </c>
      <c r="F6" s="6" t="s">
        <v>1241</v>
      </c>
    </row>
    <row r="7" customFormat="false" ht="15" hidden="false" customHeight="false" outlineLevel="0" collapsed="false">
      <c r="A7" s="6" t="s">
        <v>820</v>
      </c>
      <c r="B7" s="6" t="s">
        <v>1244</v>
      </c>
      <c r="C7" s="8" t="n">
        <v>3000</v>
      </c>
      <c r="D7" s="6" t="n">
        <v>97</v>
      </c>
      <c r="E7" s="6" t="n">
        <v>16</v>
      </c>
      <c r="F7" s="6" t="s">
        <v>1241</v>
      </c>
    </row>
    <row r="9" customFormat="false" ht="15" hidden="false" customHeight="false" outlineLevel="0" collapsed="false">
      <c r="A9" s="9" t="s">
        <v>1245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13"/>
    <col collapsed="false" customWidth="true" hidden="false" outlineLevel="0" max="5" min="5" style="0" width="10"/>
    <col collapsed="false" customWidth="true" hidden="false" outlineLevel="0" max="6" min="6" style="0" width="16"/>
    <col collapsed="false" customWidth="true" hidden="false" outlineLevel="0" max="8" min="7" style="0" width="11"/>
    <col collapsed="false" customWidth="true" hidden="false" outlineLevel="0" max="9" min="9" style="0" width="18"/>
    <col collapsed="false" customWidth="true" hidden="false" outlineLevel="0" max="10" min="10" style="0" width="19"/>
    <col collapsed="false" customWidth="true" hidden="false" outlineLevel="0" max="11" min="11" style="0" width="17"/>
  </cols>
  <sheetData>
    <row r="1" customFormat="false" ht="30" hidden="false" customHeight="true" outlineLevel="0" collapsed="false">
      <c r="A1" s="5" t="s">
        <v>778</v>
      </c>
      <c r="B1" s="5" t="s">
        <v>780</v>
      </c>
      <c r="C1" s="5" t="s">
        <v>781</v>
      </c>
      <c r="D1" s="5" t="s">
        <v>1246</v>
      </c>
      <c r="E1" s="5" t="s">
        <v>782</v>
      </c>
      <c r="F1" s="5" t="s">
        <v>785</v>
      </c>
      <c r="G1" s="5" t="s">
        <v>1247</v>
      </c>
      <c r="H1" s="5" t="s">
        <v>1248</v>
      </c>
      <c r="I1" s="5" t="s">
        <v>1249</v>
      </c>
      <c r="J1" s="5" t="s">
        <v>1250</v>
      </c>
      <c r="K1" s="5" t="s">
        <v>40</v>
      </c>
    </row>
    <row r="2" customFormat="false" ht="15" hidden="false" customHeight="false" outlineLevel="0" collapsed="false">
      <c r="A2" s="6" t="s">
        <v>343</v>
      </c>
      <c r="B2" s="6" t="s">
        <v>875</v>
      </c>
      <c r="C2" s="6" t="s">
        <v>794</v>
      </c>
      <c r="D2" s="6" t="n">
        <v>1</v>
      </c>
      <c r="E2" s="6" t="n">
        <v>400</v>
      </c>
      <c r="F2" s="7" t="n">
        <v>320</v>
      </c>
      <c r="G2" s="7" t="n">
        <v>100</v>
      </c>
      <c r="H2" s="7" t="n">
        <v>600</v>
      </c>
      <c r="I2" s="7" t="n">
        <v>31.2</v>
      </c>
      <c r="J2" s="7" t="n">
        <v>187.5</v>
      </c>
      <c r="K2" s="6" t="s">
        <v>1251</v>
      </c>
    </row>
    <row r="3" customFormat="false" ht="15" hidden="false" customHeight="false" outlineLevel="0" collapsed="false">
      <c r="A3" s="6" t="s">
        <v>355</v>
      </c>
      <c r="B3" s="6" t="s">
        <v>877</v>
      </c>
      <c r="C3" s="6" t="s">
        <v>794</v>
      </c>
      <c r="D3" s="6" t="n">
        <v>1</v>
      </c>
      <c r="E3" s="6" t="n">
        <v>400</v>
      </c>
      <c r="F3" s="7" t="n">
        <v>320</v>
      </c>
      <c r="G3" s="7" t="n">
        <v>100</v>
      </c>
      <c r="H3" s="7" t="n">
        <v>600</v>
      </c>
      <c r="I3" s="7" t="n">
        <v>31.2</v>
      </c>
      <c r="J3" s="7" t="n">
        <v>187.5</v>
      </c>
      <c r="K3" s="6" t="s">
        <v>1251</v>
      </c>
    </row>
    <row r="4" customFormat="false" ht="15" hidden="false" customHeight="false" outlineLevel="0" collapsed="false">
      <c r="A4" s="6" t="s">
        <v>872</v>
      </c>
      <c r="B4" s="6" t="s">
        <v>873</v>
      </c>
      <c r="C4" s="6" t="s">
        <v>794</v>
      </c>
      <c r="D4" s="6" t="n">
        <v>2</v>
      </c>
      <c r="E4" s="8" t="n">
        <v>1600</v>
      </c>
      <c r="F4" s="7" t="n">
        <v>1280</v>
      </c>
      <c r="G4" s="6" t="n">
        <v>976</v>
      </c>
      <c r="H4" s="8" t="n">
        <v>1976</v>
      </c>
      <c r="I4" s="7" t="n">
        <v>76.2</v>
      </c>
      <c r="J4" s="7" t="n">
        <v>154.4</v>
      </c>
      <c r="K4" s="6" t="s">
        <v>1251</v>
      </c>
    </row>
    <row r="5" customFormat="false" ht="15" hidden="false" customHeight="false" outlineLevel="0" collapsed="false">
      <c r="A5" s="6" t="s">
        <v>869</v>
      </c>
      <c r="B5" s="6" t="s">
        <v>870</v>
      </c>
      <c r="C5" s="6" t="s">
        <v>794</v>
      </c>
      <c r="D5" s="6" t="n">
        <v>3</v>
      </c>
      <c r="E5" s="8" t="n">
        <v>2800</v>
      </c>
      <c r="F5" s="7" t="n">
        <v>2240</v>
      </c>
      <c r="G5" s="6" t="n">
        <v>976</v>
      </c>
      <c r="H5" s="8" t="n">
        <v>1976</v>
      </c>
      <c r="I5" s="7" t="n">
        <v>43.6</v>
      </c>
      <c r="J5" s="7" t="n">
        <v>88.2</v>
      </c>
      <c r="K5" s="6" t="s">
        <v>1252</v>
      </c>
    </row>
    <row r="6" customFormat="false" ht="15" hidden="false" customHeight="false" outlineLevel="0" collapsed="false">
      <c r="A6" s="6" t="s">
        <v>820</v>
      </c>
      <c r="B6" s="6" t="s">
        <v>822</v>
      </c>
      <c r="C6" s="6" t="s">
        <v>794</v>
      </c>
      <c r="D6" s="6" t="n">
        <v>4</v>
      </c>
      <c r="E6" s="8" t="n">
        <v>3000</v>
      </c>
      <c r="F6" s="7" t="n">
        <v>2160</v>
      </c>
      <c r="G6" s="8" t="n">
        <v>1919</v>
      </c>
      <c r="H6" s="8" t="n">
        <v>2919</v>
      </c>
      <c r="I6" s="7" t="n">
        <v>88.8</v>
      </c>
      <c r="J6" s="7" t="n">
        <v>135.1</v>
      </c>
      <c r="K6" s="6" t="s">
        <v>1253</v>
      </c>
    </row>
    <row r="7" customFormat="false" ht="15" hidden="false" customHeight="false" outlineLevel="0" collapsed="false">
      <c r="A7" s="6" t="s">
        <v>823</v>
      </c>
      <c r="B7" s="6" t="s">
        <v>825</v>
      </c>
      <c r="C7" s="6" t="s">
        <v>794</v>
      </c>
      <c r="D7" s="6" t="n">
        <v>4</v>
      </c>
      <c r="E7" s="8" t="n">
        <v>3000</v>
      </c>
      <c r="F7" s="7" t="n">
        <v>2160</v>
      </c>
      <c r="G7" s="8" t="n">
        <v>1919</v>
      </c>
      <c r="H7" s="8" t="n">
        <v>2919</v>
      </c>
      <c r="I7" s="7" t="n">
        <v>88.8</v>
      </c>
      <c r="J7" s="7" t="n">
        <v>135.1</v>
      </c>
      <c r="K7" s="6" t="s">
        <v>1253</v>
      </c>
    </row>
    <row r="8" customFormat="false" ht="15" hidden="false" customHeight="false" outlineLevel="0" collapsed="false">
      <c r="A8" s="6" t="s">
        <v>815</v>
      </c>
      <c r="B8" s="6" t="s">
        <v>817</v>
      </c>
      <c r="C8" s="6" t="s">
        <v>794</v>
      </c>
      <c r="D8" s="6" t="n">
        <v>5</v>
      </c>
      <c r="E8" s="8" t="n">
        <v>6000</v>
      </c>
      <c r="F8" s="7" t="n">
        <v>5100</v>
      </c>
      <c r="G8" s="7" t="n">
        <v>3740</v>
      </c>
      <c r="H8" s="7" t="n">
        <v>4290</v>
      </c>
      <c r="I8" s="7" t="n">
        <v>73.3</v>
      </c>
      <c r="J8" s="7" t="n">
        <v>84.1</v>
      </c>
      <c r="K8" s="6" t="s">
        <v>1252</v>
      </c>
    </row>
    <row r="9" customFormat="false" ht="15" hidden="false" customHeight="false" outlineLevel="0" collapsed="false">
      <c r="A9" s="6" t="s">
        <v>801</v>
      </c>
      <c r="B9" s="6" t="s">
        <v>803</v>
      </c>
      <c r="C9" s="6" t="s">
        <v>794</v>
      </c>
      <c r="D9" s="6" t="n">
        <v>6</v>
      </c>
      <c r="E9" s="8" t="n">
        <v>7500</v>
      </c>
      <c r="F9" s="7" t="n">
        <v>6000</v>
      </c>
      <c r="G9" s="7" t="n">
        <v>4155.6</v>
      </c>
      <c r="H9" s="7" t="n">
        <v>4766.7</v>
      </c>
      <c r="I9" s="7" t="n">
        <v>69.3</v>
      </c>
      <c r="J9" s="7" t="n">
        <v>79.4</v>
      </c>
      <c r="K9" s="6" t="s">
        <v>1254</v>
      </c>
    </row>
    <row r="10" customFormat="false" ht="15" hidden="false" customHeight="false" outlineLevel="0" collapsed="false">
      <c r="A10" s="6" t="s">
        <v>791</v>
      </c>
      <c r="B10" s="6" t="s">
        <v>793</v>
      </c>
      <c r="C10" s="6" t="s">
        <v>794</v>
      </c>
      <c r="D10" s="6" t="n">
        <v>7</v>
      </c>
      <c r="E10" s="8" t="n">
        <v>6000</v>
      </c>
      <c r="F10" s="7" t="n">
        <v>5100</v>
      </c>
      <c r="G10" s="7" t="n">
        <v>3740</v>
      </c>
      <c r="H10" s="7" t="n">
        <v>4290</v>
      </c>
      <c r="I10" s="7" t="n">
        <v>73.3</v>
      </c>
      <c r="J10" s="7" t="n">
        <v>84.1</v>
      </c>
      <c r="K10" s="6" t="s">
        <v>1252</v>
      </c>
    </row>
    <row r="11" customFormat="false" ht="15" hidden="false" customHeight="false" outlineLevel="0" collapsed="false">
      <c r="A11" s="6" t="s">
        <v>344</v>
      </c>
      <c r="B11" s="6" t="s">
        <v>997</v>
      </c>
      <c r="C11" s="6" t="s">
        <v>962</v>
      </c>
      <c r="D11" s="6" t="n">
        <v>1</v>
      </c>
      <c r="E11" s="6" t="n">
        <v>200</v>
      </c>
      <c r="F11" s="7" t="n">
        <v>180</v>
      </c>
      <c r="G11" s="7" t="n">
        <v>100</v>
      </c>
      <c r="H11" s="7" t="n">
        <v>600</v>
      </c>
      <c r="I11" s="7" t="n">
        <v>55.6</v>
      </c>
      <c r="J11" s="7" t="n">
        <v>333.3</v>
      </c>
      <c r="K11" s="6" t="s">
        <v>1251</v>
      </c>
    </row>
    <row r="12" customFormat="false" ht="15" hidden="false" customHeight="false" outlineLevel="0" collapsed="false">
      <c r="A12" s="6" t="s">
        <v>356</v>
      </c>
      <c r="B12" s="6" t="s">
        <v>999</v>
      </c>
      <c r="C12" s="6" t="s">
        <v>962</v>
      </c>
      <c r="D12" s="6" t="n">
        <v>1</v>
      </c>
      <c r="E12" s="6" t="n">
        <v>200</v>
      </c>
      <c r="F12" s="7" t="n">
        <v>180</v>
      </c>
      <c r="G12" s="7" t="n">
        <v>100</v>
      </c>
      <c r="H12" s="7" t="n">
        <v>600</v>
      </c>
      <c r="I12" s="7" t="n">
        <v>55.6</v>
      </c>
      <c r="J12" s="7" t="n">
        <v>333.3</v>
      </c>
      <c r="K12" s="6" t="s">
        <v>1251</v>
      </c>
    </row>
    <row r="13" customFormat="false" ht="15" hidden="false" customHeight="false" outlineLevel="0" collapsed="false">
      <c r="A13" s="6" t="s">
        <v>971</v>
      </c>
      <c r="B13" s="6" t="s">
        <v>973</v>
      </c>
      <c r="C13" s="6" t="s">
        <v>962</v>
      </c>
      <c r="D13" s="6" t="n">
        <v>2</v>
      </c>
      <c r="E13" s="8" t="n">
        <v>9000</v>
      </c>
      <c r="F13" s="7" t="n">
        <v>7650</v>
      </c>
      <c r="G13" s="7" t="n">
        <v>4590.9</v>
      </c>
      <c r="H13" s="7" t="n">
        <v>6983.2</v>
      </c>
      <c r="I13" s="7" t="n">
        <v>60</v>
      </c>
      <c r="J13" s="7" t="n">
        <v>91.3</v>
      </c>
      <c r="K13" s="6" t="s">
        <v>1252</v>
      </c>
    </row>
    <row r="15" customFormat="false" ht="15" hidden="false" customHeight="false" outlineLevel="0" collapsed="false">
      <c r="A15" s="9" t="s">
        <v>1255</v>
      </c>
    </row>
    <row r="16" customFormat="false" ht="15" hidden="false" customHeight="false" outlineLevel="0" collapsed="false">
      <c r="A16" s="9" t="s">
        <v>1256</v>
      </c>
    </row>
    <row r="17" customFormat="false" ht="15" hidden="false" customHeight="false" outlineLevel="0" collapsed="false">
      <c r="A17" s="9" t="s">
        <v>1257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5" min="3" style="0" width="16"/>
  </cols>
  <sheetData>
    <row r="1" customFormat="false" ht="30" hidden="false" customHeight="true" outlineLevel="0" collapsed="false">
      <c r="A1" s="5" t="s">
        <v>1258</v>
      </c>
      <c r="B1" s="5" t="s">
        <v>783</v>
      </c>
      <c r="C1" s="5" t="s">
        <v>1259</v>
      </c>
      <c r="D1" s="5" t="s">
        <v>1260</v>
      </c>
      <c r="E1" s="5" t="s">
        <v>1261</v>
      </c>
    </row>
    <row r="2" customFormat="false" ht="15" hidden="false" customHeight="false" outlineLevel="0" collapsed="false">
      <c r="A2" s="6" t="s">
        <v>1262</v>
      </c>
      <c r="B2" s="6" t="s">
        <v>974</v>
      </c>
      <c r="C2" s="7" t="n">
        <v>4591</v>
      </c>
      <c r="D2" s="7" t="n">
        <v>6983</v>
      </c>
      <c r="E2" s="7" t="n">
        <v>2392</v>
      </c>
    </row>
    <row r="3" customFormat="false" ht="15" hidden="false" customHeight="false" outlineLevel="0" collapsed="false">
      <c r="A3" s="6" t="s">
        <v>1263</v>
      </c>
      <c r="B3" s="6" t="s">
        <v>1264</v>
      </c>
      <c r="C3" s="7" t="n">
        <v>28</v>
      </c>
      <c r="D3" s="7" t="n">
        <v>32.12</v>
      </c>
      <c r="E3" s="7" t="n">
        <v>4.12</v>
      </c>
    </row>
    <row r="4" customFormat="false" ht="15" hidden="false" customHeight="false" outlineLevel="0" collapsed="false">
      <c r="A4" s="6" t="s">
        <v>1265</v>
      </c>
      <c r="B4" s="6" t="s">
        <v>1266</v>
      </c>
      <c r="C4" s="8" t="n">
        <v>50400000</v>
      </c>
      <c r="D4" s="7" t="n">
        <v>57810960</v>
      </c>
      <c r="E4" s="7" t="n">
        <v>7410960</v>
      </c>
    </row>
    <row r="5" customFormat="false" ht="15" hidden="false" customHeight="false" outlineLevel="0" collapsed="false">
      <c r="A5" s="6" t="s">
        <v>1267</v>
      </c>
      <c r="B5" s="6" t="s">
        <v>1268</v>
      </c>
      <c r="C5" s="7" t="n">
        <v>1.58</v>
      </c>
      <c r="D5" s="7" t="n">
        <v>1.71</v>
      </c>
      <c r="E5" s="7" t="n">
        <v>0.13</v>
      </c>
    </row>
    <row r="6" customFormat="false" ht="15" hidden="false" customHeight="false" outlineLevel="0" collapsed="false">
      <c r="A6" s="6" t="s">
        <v>1269</v>
      </c>
      <c r="B6" s="6" t="s">
        <v>1270</v>
      </c>
      <c r="C6" s="6" t="n">
        <v>48</v>
      </c>
      <c r="D6" s="7" t="n">
        <v>31.6</v>
      </c>
      <c r="E6" s="7" t="n">
        <v>-16.4</v>
      </c>
    </row>
    <row r="8" customFormat="false" ht="15" hidden="false" customHeight="false" outlineLevel="0" collapsed="false">
      <c r="A8" s="9" t="s">
        <v>1271</v>
      </c>
    </row>
    <row r="9" customFormat="false" ht="15" hidden="false" customHeight="false" outlineLevel="0" collapsed="false">
      <c r="A9" s="9" t="s">
        <v>1272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12"/>
    <col collapsed="false" customWidth="true" hidden="false" outlineLevel="0" max="4" min="4" style="0" width="15"/>
    <col collapsed="false" customWidth="true" hidden="false" outlineLevel="0" max="5" min="5" style="0" width="8"/>
    <col collapsed="false" customWidth="true" hidden="false" outlineLevel="0" max="6" min="6" style="0" width="22"/>
    <col collapsed="false" customWidth="true" hidden="false" outlineLevel="0" max="7" min="7" style="0" width="15"/>
  </cols>
  <sheetData>
    <row r="1" customFormat="false" ht="30" hidden="false" customHeight="true" outlineLevel="0" collapsed="false">
      <c r="A1" s="5" t="s">
        <v>187</v>
      </c>
      <c r="B1" s="5" t="s">
        <v>33</v>
      </c>
      <c r="C1" s="5" t="s">
        <v>32</v>
      </c>
      <c r="D1" s="5" t="s">
        <v>1273</v>
      </c>
      <c r="E1" s="5" t="s">
        <v>45</v>
      </c>
      <c r="F1" s="5" t="s">
        <v>1274</v>
      </c>
      <c r="G1" s="5" t="s">
        <v>1275</v>
      </c>
    </row>
    <row r="2" customFormat="false" ht="15" hidden="false" customHeight="false" outlineLevel="0" collapsed="false">
      <c r="A2" s="6" t="s">
        <v>192</v>
      </c>
      <c r="B2" s="6" t="s">
        <v>1276</v>
      </c>
      <c r="C2" s="6" t="s">
        <v>51</v>
      </c>
      <c r="D2" s="8" t="n">
        <v>1450</v>
      </c>
      <c r="E2" s="6" t="n">
        <v>72</v>
      </c>
      <c r="F2" s="6" t="s">
        <v>1277</v>
      </c>
      <c r="G2" s="6" t="s">
        <v>1278</v>
      </c>
    </row>
    <row r="3" customFormat="false" ht="15" hidden="false" customHeight="false" outlineLevel="0" collapsed="false">
      <c r="A3" s="6" t="s">
        <v>242</v>
      </c>
      <c r="B3" s="6" t="s">
        <v>1279</v>
      </c>
      <c r="C3" s="6" t="s">
        <v>51</v>
      </c>
      <c r="D3" s="6" t="n">
        <v>980</v>
      </c>
      <c r="E3" s="6" t="n">
        <v>49</v>
      </c>
      <c r="F3" s="6" t="s">
        <v>1280</v>
      </c>
      <c r="G3" s="6" t="s">
        <v>1281</v>
      </c>
    </row>
    <row r="4" customFormat="false" ht="15" hidden="false" customHeight="false" outlineLevel="0" collapsed="false">
      <c r="A4" s="6" t="s">
        <v>439</v>
      </c>
      <c r="B4" s="6" t="s">
        <v>1282</v>
      </c>
      <c r="C4" s="6" t="s">
        <v>51</v>
      </c>
      <c r="D4" s="8" t="n">
        <v>2100</v>
      </c>
      <c r="E4" s="6" t="n">
        <v>35</v>
      </c>
      <c r="F4" s="6" t="s">
        <v>1283</v>
      </c>
      <c r="G4" s="6" t="s">
        <v>1284</v>
      </c>
    </row>
    <row r="5" customFormat="false" ht="15" hidden="false" customHeight="false" outlineLevel="0" collapsed="false">
      <c r="A5" s="6" t="s">
        <v>293</v>
      </c>
      <c r="B5" s="6" t="s">
        <v>1285</v>
      </c>
      <c r="C5" s="6" t="s">
        <v>51</v>
      </c>
      <c r="D5" s="6" t="n">
        <v>620</v>
      </c>
      <c r="E5" s="6" t="n">
        <v>31</v>
      </c>
      <c r="F5" s="6" t="s">
        <v>1286</v>
      </c>
      <c r="G5" s="6" t="s">
        <v>1287</v>
      </c>
    </row>
    <row r="6" customFormat="false" ht="15" hidden="false" customHeight="false" outlineLevel="0" collapsed="false">
      <c r="A6" s="6" t="s">
        <v>318</v>
      </c>
      <c r="B6" s="6" t="s">
        <v>1288</v>
      </c>
      <c r="C6" s="6" t="s">
        <v>51</v>
      </c>
      <c r="D6" s="6" t="n">
        <v>840</v>
      </c>
      <c r="E6" s="6" t="n">
        <v>42</v>
      </c>
      <c r="F6" s="6" t="s">
        <v>1289</v>
      </c>
      <c r="G6" s="6" t="s">
        <v>1290</v>
      </c>
    </row>
    <row r="7" customFormat="false" ht="15" hidden="false" customHeight="false" outlineLevel="0" collapsed="false">
      <c r="A7" s="6" t="s">
        <v>1291</v>
      </c>
      <c r="B7" s="6" t="s">
        <v>1292</v>
      </c>
      <c r="C7" s="6" t="s">
        <v>59</v>
      </c>
      <c r="D7" s="8" t="n">
        <v>1620</v>
      </c>
      <c r="E7" s="6" t="n">
        <v>81</v>
      </c>
      <c r="F7" s="6" t="s">
        <v>1293</v>
      </c>
      <c r="G7" s="6" t="s">
        <v>1294</v>
      </c>
    </row>
    <row r="8" customFormat="false" ht="15" hidden="false" customHeight="false" outlineLevel="0" collapsed="false">
      <c r="A8" s="6" t="s">
        <v>1295</v>
      </c>
      <c r="B8" s="6" t="s">
        <v>1296</v>
      </c>
      <c r="C8" s="6" t="s">
        <v>59</v>
      </c>
      <c r="D8" s="8" t="n">
        <v>1180</v>
      </c>
      <c r="E8" s="6" t="n">
        <v>59</v>
      </c>
      <c r="F8" s="6" t="s">
        <v>1297</v>
      </c>
      <c r="G8" s="6" t="s">
        <v>1298</v>
      </c>
    </row>
    <row r="9" customFormat="false" ht="15" hidden="false" customHeight="false" outlineLevel="0" collapsed="false">
      <c r="A9" s="6" t="s">
        <v>1299</v>
      </c>
      <c r="B9" s="6" t="s">
        <v>1300</v>
      </c>
      <c r="C9" s="6" t="s">
        <v>59</v>
      </c>
      <c r="D9" s="8" t="n">
        <v>2150</v>
      </c>
      <c r="E9" s="6" t="n">
        <v>107</v>
      </c>
      <c r="F9" s="6" t="s">
        <v>1301</v>
      </c>
      <c r="G9" s="6" t="s">
        <v>1302</v>
      </c>
    </row>
    <row r="10" customFormat="false" ht="15" hidden="false" customHeight="false" outlineLevel="0" collapsed="false">
      <c r="A10" s="6" t="s">
        <v>1303</v>
      </c>
      <c r="B10" s="6" t="s">
        <v>1304</v>
      </c>
      <c r="C10" s="6" t="s">
        <v>63</v>
      </c>
      <c r="D10" s="6" t="n">
        <v>890</v>
      </c>
      <c r="E10" s="6" t="n">
        <v>44</v>
      </c>
      <c r="F10" s="6" t="s">
        <v>1305</v>
      </c>
      <c r="G10" s="6" t="s">
        <v>1306</v>
      </c>
    </row>
    <row r="11" customFormat="false" ht="15" hidden="false" customHeight="false" outlineLevel="0" collapsed="false">
      <c r="A11" s="6" t="s">
        <v>1307</v>
      </c>
      <c r="B11" s="6" t="s">
        <v>1308</v>
      </c>
      <c r="C11" s="6" t="s">
        <v>63</v>
      </c>
      <c r="D11" s="8" t="n">
        <v>1340</v>
      </c>
      <c r="E11" s="6" t="n">
        <v>67</v>
      </c>
      <c r="F11" s="6" t="s">
        <v>1309</v>
      </c>
      <c r="G11" s="6" t="s">
        <v>1310</v>
      </c>
    </row>
    <row r="12" customFormat="false" ht="15" hidden="false" customHeight="false" outlineLevel="0" collapsed="false">
      <c r="A12" s="6" t="s">
        <v>1311</v>
      </c>
      <c r="B12" s="6" t="s">
        <v>1312</v>
      </c>
      <c r="C12" s="6" t="s">
        <v>63</v>
      </c>
      <c r="D12" s="8" t="n">
        <v>1760</v>
      </c>
      <c r="E12" s="6" t="n">
        <v>59</v>
      </c>
      <c r="F12" s="6" t="s">
        <v>1313</v>
      </c>
      <c r="G12" s="6" t="s">
        <v>1314</v>
      </c>
    </row>
    <row r="13" customFormat="false" ht="15" hidden="false" customHeight="false" outlineLevel="0" collapsed="false">
      <c r="A13" s="6" t="s">
        <v>1315</v>
      </c>
      <c r="B13" s="6" t="s">
        <v>1316</v>
      </c>
      <c r="C13" s="6" t="s">
        <v>69</v>
      </c>
      <c r="D13" s="8" t="n">
        <v>3200</v>
      </c>
      <c r="E13" s="6" t="n">
        <v>53</v>
      </c>
      <c r="F13" s="6" t="s">
        <v>1317</v>
      </c>
      <c r="G13" s="6" t="s">
        <v>1318</v>
      </c>
    </row>
    <row r="14" customFormat="false" ht="15" hidden="false" customHeight="false" outlineLevel="0" collapsed="false">
      <c r="A14" s="6" t="s">
        <v>1319</v>
      </c>
      <c r="B14" s="6" t="s">
        <v>1320</v>
      </c>
      <c r="C14" s="6" t="s">
        <v>69</v>
      </c>
      <c r="D14" s="8" t="n">
        <v>1480</v>
      </c>
      <c r="E14" s="6" t="n">
        <v>74</v>
      </c>
      <c r="F14" s="6" t="s">
        <v>1293</v>
      </c>
      <c r="G14" s="6" t="s">
        <v>1321</v>
      </c>
    </row>
    <row r="15" customFormat="false" ht="15" hidden="false" customHeight="false" outlineLevel="0" collapsed="false">
      <c r="A15" s="6" t="s">
        <v>1322</v>
      </c>
      <c r="B15" s="6" t="s">
        <v>1323</v>
      </c>
      <c r="C15" s="6" t="s">
        <v>75</v>
      </c>
      <c r="D15" s="8" t="n">
        <v>2240</v>
      </c>
      <c r="E15" s="6" t="n">
        <v>112</v>
      </c>
      <c r="F15" s="6" t="s">
        <v>1324</v>
      </c>
      <c r="G15" s="6" t="s">
        <v>1325</v>
      </c>
    </row>
    <row r="16" customFormat="false" ht="15" hidden="false" customHeight="false" outlineLevel="0" collapsed="false">
      <c r="A16" s="6" t="s">
        <v>1326</v>
      </c>
      <c r="B16" s="6" t="s">
        <v>1276</v>
      </c>
      <c r="C16" s="6" t="s">
        <v>75</v>
      </c>
      <c r="D16" s="8" t="n">
        <v>2680</v>
      </c>
      <c r="E16" s="6" t="n">
        <v>134</v>
      </c>
      <c r="F16" s="6" t="s">
        <v>1277</v>
      </c>
      <c r="G16" s="6" t="s">
        <v>1327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26"/>
    <col collapsed="false" customWidth="true" hidden="false" outlineLevel="0" max="4" min="4" style="0" width="12"/>
    <col collapsed="false" customWidth="true" hidden="false" outlineLevel="0" max="5" min="5" style="0" width="16"/>
    <col collapsed="false" customWidth="true" hidden="false" outlineLevel="0" max="6" min="6" style="0" width="22"/>
    <col collapsed="false" customWidth="true" hidden="false" outlineLevel="0" max="7" min="7" style="0" width="17"/>
    <col collapsed="false" customWidth="true" hidden="false" outlineLevel="0" max="8" min="8" style="0" width="24"/>
    <col collapsed="false" customWidth="true" hidden="false" outlineLevel="0" max="9" min="9" style="0" width="26"/>
    <col collapsed="false" customWidth="true" hidden="false" outlineLevel="0" max="10" min="10" style="0" width="14"/>
  </cols>
  <sheetData>
    <row r="1" customFormat="false" ht="30" hidden="false" customHeight="true" outlineLevel="0" collapsed="false">
      <c r="A1" s="5" t="s">
        <v>1328</v>
      </c>
      <c r="B1" s="5" t="s">
        <v>187</v>
      </c>
      <c r="C1" s="5" t="s">
        <v>1329</v>
      </c>
      <c r="D1" s="5" t="s">
        <v>32</v>
      </c>
      <c r="E1" s="5" t="s">
        <v>1330</v>
      </c>
      <c r="F1" s="5" t="s">
        <v>1331</v>
      </c>
      <c r="G1" s="5" t="s">
        <v>1332</v>
      </c>
      <c r="H1" s="5" t="s">
        <v>1333</v>
      </c>
      <c r="I1" s="5" t="s">
        <v>1334</v>
      </c>
      <c r="J1" s="5" t="s">
        <v>1335</v>
      </c>
    </row>
    <row r="2" customFormat="false" ht="15" hidden="false" customHeight="false" outlineLevel="0" collapsed="false">
      <c r="A2" s="6" t="s">
        <v>1336</v>
      </c>
      <c r="B2" s="6" t="s">
        <v>192</v>
      </c>
      <c r="C2" s="6" t="s">
        <v>1276</v>
      </c>
      <c r="D2" s="6" t="s">
        <v>51</v>
      </c>
      <c r="E2" s="7" t="n">
        <v>99.982</v>
      </c>
      <c r="F2" s="6" t="n">
        <v>4</v>
      </c>
      <c r="G2" s="6" t="n">
        <v>410</v>
      </c>
      <c r="H2" s="7" t="n">
        <v>102.5</v>
      </c>
      <c r="I2" s="6" t="s">
        <v>1337</v>
      </c>
      <c r="J2" s="6" t="s">
        <v>1338</v>
      </c>
    </row>
    <row r="3" customFormat="false" ht="15" hidden="false" customHeight="false" outlineLevel="0" collapsed="false">
      <c r="A3" s="6" t="s">
        <v>1339</v>
      </c>
      <c r="B3" s="6" t="s">
        <v>242</v>
      </c>
      <c r="C3" s="6" t="s">
        <v>1279</v>
      </c>
      <c r="D3" s="6" t="s">
        <v>51</v>
      </c>
      <c r="E3" s="7" t="n">
        <v>99.995</v>
      </c>
      <c r="F3" s="6" t="n">
        <v>2</v>
      </c>
      <c r="G3" s="6" t="n">
        <v>680</v>
      </c>
      <c r="H3" s="7" t="n">
        <v>340</v>
      </c>
      <c r="I3" s="6" t="s">
        <v>1337</v>
      </c>
      <c r="J3" s="6" t="s">
        <v>1340</v>
      </c>
    </row>
    <row r="4" customFormat="false" ht="15" hidden="false" customHeight="false" outlineLevel="0" collapsed="false">
      <c r="A4" s="6" t="s">
        <v>1341</v>
      </c>
      <c r="B4" s="6" t="s">
        <v>439</v>
      </c>
      <c r="C4" s="6" t="s">
        <v>1282</v>
      </c>
      <c r="D4" s="6" t="s">
        <v>51</v>
      </c>
      <c r="E4" s="7" t="n">
        <v>99.95</v>
      </c>
      <c r="F4" s="6" t="n">
        <v>6</v>
      </c>
      <c r="G4" s="6" t="n">
        <v>290</v>
      </c>
      <c r="H4" s="7" t="n">
        <v>48.3</v>
      </c>
      <c r="I4" s="6" t="s">
        <v>1337</v>
      </c>
      <c r="J4" s="6" t="s">
        <v>1338</v>
      </c>
    </row>
    <row r="5" customFormat="false" ht="15" hidden="false" customHeight="false" outlineLevel="0" collapsed="false">
      <c r="A5" s="6" t="s">
        <v>1342</v>
      </c>
      <c r="B5" s="6" t="s">
        <v>293</v>
      </c>
      <c r="C5" s="6" t="s">
        <v>1285</v>
      </c>
      <c r="D5" s="6" t="s">
        <v>51</v>
      </c>
      <c r="E5" s="7" t="n">
        <v>99.995</v>
      </c>
      <c r="F5" s="6" t="n">
        <v>2</v>
      </c>
      <c r="G5" s="6" t="n">
        <v>520</v>
      </c>
      <c r="H5" s="7" t="n">
        <v>260</v>
      </c>
      <c r="I5" s="6" t="s">
        <v>1337</v>
      </c>
      <c r="J5" s="6" t="s">
        <v>1340</v>
      </c>
    </row>
    <row r="6" customFormat="false" ht="15" hidden="false" customHeight="false" outlineLevel="0" collapsed="false">
      <c r="A6" s="6" t="s">
        <v>1343</v>
      </c>
      <c r="B6" s="6" t="s">
        <v>318</v>
      </c>
      <c r="C6" s="6" t="s">
        <v>1288</v>
      </c>
      <c r="D6" s="6" t="s">
        <v>51</v>
      </c>
      <c r="E6" s="7" t="n">
        <v>99.982</v>
      </c>
      <c r="F6" s="6" t="n">
        <v>4</v>
      </c>
      <c r="G6" s="6" t="n">
        <v>230</v>
      </c>
      <c r="H6" s="7" t="n">
        <v>57.5</v>
      </c>
      <c r="I6" s="6" t="s">
        <v>1337</v>
      </c>
      <c r="J6" s="6" t="s">
        <v>1338</v>
      </c>
    </row>
    <row r="7" customFormat="false" ht="15" hidden="false" customHeight="false" outlineLevel="0" collapsed="false">
      <c r="A7" s="6" t="s">
        <v>1344</v>
      </c>
      <c r="B7" s="6" t="s">
        <v>1291</v>
      </c>
      <c r="C7" s="6" t="s">
        <v>1292</v>
      </c>
      <c r="D7" s="6" t="s">
        <v>59</v>
      </c>
      <c r="E7" s="7" t="n">
        <v>99.995</v>
      </c>
      <c r="F7" s="6" t="n">
        <v>2</v>
      </c>
      <c r="G7" s="6" t="n">
        <v>610</v>
      </c>
      <c r="H7" s="7" t="n">
        <v>305</v>
      </c>
      <c r="I7" s="6" t="s">
        <v>1337</v>
      </c>
      <c r="J7" s="6" t="s">
        <v>1340</v>
      </c>
    </row>
    <row r="8" customFormat="false" ht="15" hidden="false" customHeight="false" outlineLevel="0" collapsed="false">
      <c r="A8" s="6" t="s">
        <v>1345</v>
      </c>
      <c r="B8" s="6" t="s">
        <v>1295</v>
      </c>
      <c r="C8" s="6" t="s">
        <v>1296</v>
      </c>
      <c r="D8" s="6" t="s">
        <v>59</v>
      </c>
      <c r="E8" s="7" t="n">
        <v>99.95</v>
      </c>
      <c r="F8" s="6" t="n">
        <v>6</v>
      </c>
      <c r="G8" s="6" t="n">
        <v>180</v>
      </c>
      <c r="H8" s="7" t="n">
        <v>30</v>
      </c>
      <c r="I8" s="6" t="s">
        <v>1337</v>
      </c>
      <c r="J8" s="6" t="s">
        <v>1338</v>
      </c>
    </row>
    <row r="9" customFormat="false" ht="15" hidden="false" customHeight="false" outlineLevel="0" collapsed="false">
      <c r="A9" s="6" t="s">
        <v>1346</v>
      </c>
      <c r="B9" s="6" t="s">
        <v>1299</v>
      </c>
      <c r="C9" s="6" t="s">
        <v>1300</v>
      </c>
      <c r="D9" s="6" t="s">
        <v>59</v>
      </c>
      <c r="E9" s="7" t="n">
        <v>99.999</v>
      </c>
      <c r="F9" s="6" t="n">
        <v>1</v>
      </c>
      <c r="G9" s="6" t="n">
        <v>940</v>
      </c>
      <c r="H9" s="7" t="n">
        <v>940</v>
      </c>
      <c r="I9" s="6" t="s">
        <v>1337</v>
      </c>
      <c r="J9" s="6" t="s">
        <v>1340</v>
      </c>
    </row>
    <row r="10" customFormat="false" ht="15" hidden="false" customHeight="false" outlineLevel="0" collapsed="false">
      <c r="A10" s="6" t="s">
        <v>1347</v>
      </c>
      <c r="B10" s="6" t="s">
        <v>1303</v>
      </c>
      <c r="C10" s="6" t="s">
        <v>1304</v>
      </c>
      <c r="D10" s="6" t="s">
        <v>63</v>
      </c>
      <c r="E10" s="7" t="n">
        <v>99.95</v>
      </c>
      <c r="F10" s="6" t="n">
        <v>8</v>
      </c>
      <c r="G10" s="6" t="n">
        <v>150</v>
      </c>
      <c r="H10" s="7" t="n">
        <v>18.8</v>
      </c>
      <c r="I10" s="6" t="s">
        <v>1337</v>
      </c>
      <c r="J10" s="6" t="s">
        <v>1338</v>
      </c>
    </row>
    <row r="11" customFormat="false" ht="15" hidden="false" customHeight="false" outlineLevel="0" collapsed="false">
      <c r="A11" s="6" t="s">
        <v>1348</v>
      </c>
      <c r="B11" s="6" t="s">
        <v>1307</v>
      </c>
      <c r="C11" s="6" t="s">
        <v>1308</v>
      </c>
      <c r="D11" s="6" t="s">
        <v>63</v>
      </c>
      <c r="E11" s="7" t="n">
        <v>99.982</v>
      </c>
      <c r="F11" s="6" t="n">
        <v>4</v>
      </c>
      <c r="G11" s="6" t="n">
        <v>260</v>
      </c>
      <c r="H11" s="7" t="n">
        <v>65</v>
      </c>
      <c r="I11" s="6" t="s">
        <v>1337</v>
      </c>
      <c r="J11" s="6" t="s">
        <v>1338</v>
      </c>
    </row>
    <row r="12" customFormat="false" ht="15" hidden="false" customHeight="false" outlineLevel="0" collapsed="false">
      <c r="A12" s="6" t="s">
        <v>1349</v>
      </c>
      <c r="B12" s="6" t="s">
        <v>1311</v>
      </c>
      <c r="C12" s="6" t="s">
        <v>1312</v>
      </c>
      <c r="D12" s="6" t="s">
        <v>63</v>
      </c>
      <c r="E12" s="7" t="n">
        <v>99.99</v>
      </c>
      <c r="F12" s="6" t="n">
        <v>3</v>
      </c>
      <c r="G12" s="6" t="n">
        <v>340</v>
      </c>
      <c r="H12" s="7" t="n">
        <v>113.3</v>
      </c>
      <c r="I12" s="6" t="s">
        <v>1337</v>
      </c>
      <c r="J12" s="6" t="s">
        <v>1340</v>
      </c>
    </row>
    <row r="13" customFormat="false" ht="15" hidden="false" customHeight="false" outlineLevel="0" collapsed="false">
      <c r="A13" s="6" t="s">
        <v>1350</v>
      </c>
      <c r="B13" s="6" t="s">
        <v>1315</v>
      </c>
      <c r="C13" s="6" t="s">
        <v>1316</v>
      </c>
      <c r="D13" s="6" t="s">
        <v>69</v>
      </c>
      <c r="E13" s="7" t="n">
        <v>99.95</v>
      </c>
      <c r="F13" s="6" t="n">
        <v>6</v>
      </c>
      <c r="G13" s="6" t="n">
        <v>380</v>
      </c>
      <c r="H13" s="7" t="n">
        <v>63.3</v>
      </c>
      <c r="I13" s="6" t="s">
        <v>1337</v>
      </c>
      <c r="J13" s="6" t="s">
        <v>1338</v>
      </c>
    </row>
    <row r="14" customFormat="false" ht="15" hidden="false" customHeight="false" outlineLevel="0" collapsed="false">
      <c r="A14" s="6" t="s">
        <v>1351</v>
      </c>
      <c r="B14" s="6" t="s">
        <v>1319</v>
      </c>
      <c r="C14" s="6" t="s">
        <v>1320</v>
      </c>
      <c r="D14" s="6" t="s">
        <v>69</v>
      </c>
      <c r="E14" s="7" t="n">
        <v>99.995</v>
      </c>
      <c r="F14" s="6" t="n">
        <v>2</v>
      </c>
      <c r="G14" s="6" t="n">
        <v>610</v>
      </c>
      <c r="H14" s="7" t="n">
        <v>305</v>
      </c>
      <c r="I14" s="6" t="s">
        <v>1337</v>
      </c>
      <c r="J14" s="6" t="s">
        <v>1340</v>
      </c>
    </row>
    <row r="15" customFormat="false" ht="15" hidden="false" customHeight="false" outlineLevel="0" collapsed="false">
      <c r="A15" s="6" t="s">
        <v>1352</v>
      </c>
      <c r="B15" s="6" t="s">
        <v>1322</v>
      </c>
      <c r="C15" s="6" t="s">
        <v>1323</v>
      </c>
      <c r="D15" s="6" t="s">
        <v>75</v>
      </c>
      <c r="E15" s="7" t="n">
        <v>99.99</v>
      </c>
      <c r="F15" s="6" t="n">
        <v>3</v>
      </c>
      <c r="G15" s="6" t="n">
        <v>720</v>
      </c>
      <c r="H15" s="7" t="n">
        <v>240</v>
      </c>
      <c r="I15" s="6" t="s">
        <v>1337</v>
      </c>
      <c r="J15" s="6" t="s">
        <v>1340</v>
      </c>
    </row>
    <row r="16" customFormat="false" ht="15" hidden="false" customHeight="false" outlineLevel="0" collapsed="false">
      <c r="A16" s="6" t="s">
        <v>1353</v>
      </c>
      <c r="B16" s="6" t="s">
        <v>1326</v>
      </c>
      <c r="C16" s="6" t="s">
        <v>1276</v>
      </c>
      <c r="D16" s="6" t="s">
        <v>75</v>
      </c>
      <c r="E16" s="7" t="n">
        <v>99.982</v>
      </c>
      <c r="F16" s="6" t="n">
        <v>4</v>
      </c>
      <c r="G16" s="6" t="n">
        <v>410</v>
      </c>
      <c r="H16" s="7" t="n">
        <v>102.5</v>
      </c>
      <c r="I16" s="6" t="s">
        <v>1337</v>
      </c>
      <c r="J16" s="6" t="s">
        <v>1338</v>
      </c>
    </row>
    <row r="18" customFormat="false" ht="15" hidden="false" customHeight="false" outlineLevel="0" collapsed="false">
      <c r="A18" s="9" t="s">
        <v>1354</v>
      </c>
    </row>
    <row r="19" customFormat="false" ht="15" hidden="false" customHeight="false" outlineLevel="0" collapsed="false">
      <c r="A19" s="9" t="s">
        <v>1355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1"/>
    <col collapsed="false" customWidth="true" hidden="false" outlineLevel="0" max="3" min="3" style="0" width="14"/>
    <col collapsed="false" customWidth="true" hidden="false" outlineLevel="0" max="4" min="4" style="0" width="10"/>
    <col collapsed="false" customWidth="true" hidden="false" outlineLevel="0" max="6" min="5" style="0" width="19"/>
    <col collapsed="false" customWidth="true" hidden="false" outlineLevel="0" max="7" min="7" style="0" width="50"/>
    <col collapsed="false" customWidth="true" hidden="false" outlineLevel="0" max="8" min="8" style="0" width="44"/>
    <col collapsed="false" customWidth="true" hidden="false" outlineLevel="0" max="9" min="9" style="0" width="13"/>
    <col collapsed="false" customWidth="true" hidden="false" outlineLevel="0" max="10" min="10" style="0" width="16"/>
    <col collapsed="false" customWidth="true" hidden="false" outlineLevel="0" max="11" min="11" style="0" width="14"/>
    <col collapsed="false" customWidth="true" hidden="false" outlineLevel="0" max="12" min="12" style="0" width="56"/>
  </cols>
  <sheetData>
    <row r="1" customFormat="false" ht="30" hidden="false" customHeight="true" outlineLevel="0" collapsed="false">
      <c r="A1" s="5" t="s">
        <v>1356</v>
      </c>
      <c r="B1" s="5" t="s">
        <v>32</v>
      </c>
      <c r="C1" s="5" t="s">
        <v>778</v>
      </c>
      <c r="D1" s="5" t="s">
        <v>1357</v>
      </c>
      <c r="E1" s="5" t="s">
        <v>1358</v>
      </c>
      <c r="F1" s="5" t="s">
        <v>1359</v>
      </c>
      <c r="G1" s="5" t="s">
        <v>1236</v>
      </c>
      <c r="H1" s="5" t="s">
        <v>1360</v>
      </c>
      <c r="I1" s="5" t="s">
        <v>1361</v>
      </c>
      <c r="J1" s="5" t="s">
        <v>1362</v>
      </c>
      <c r="K1" s="5" t="s">
        <v>1238</v>
      </c>
      <c r="L1" s="5" t="s">
        <v>97</v>
      </c>
    </row>
    <row r="2" customFormat="false" ht="15" hidden="false" customHeight="false" outlineLevel="0" collapsed="false">
      <c r="A2" s="6" t="s">
        <v>1363</v>
      </c>
      <c r="B2" s="6" t="s">
        <v>51</v>
      </c>
      <c r="C2" s="6" t="s">
        <v>820</v>
      </c>
      <c r="D2" s="6" t="s">
        <v>1364</v>
      </c>
      <c r="E2" s="6" t="s">
        <v>1365</v>
      </c>
      <c r="F2" s="6" t="s">
        <v>1366</v>
      </c>
      <c r="G2" s="6" t="s">
        <v>1367</v>
      </c>
      <c r="H2" s="6" t="s">
        <v>1368</v>
      </c>
      <c r="I2" s="6" t="n">
        <v>383</v>
      </c>
      <c r="J2" s="6" t="n">
        <v>2</v>
      </c>
      <c r="K2" s="7" t="n">
        <v>18</v>
      </c>
      <c r="L2" s="6" t="s">
        <v>1369</v>
      </c>
    </row>
    <row r="3" customFormat="false" ht="15" hidden="false" customHeight="false" outlineLevel="0" collapsed="false">
      <c r="A3" s="6" t="s">
        <v>1370</v>
      </c>
      <c r="B3" s="6" t="s">
        <v>1371</v>
      </c>
      <c r="C3" s="6" t="s">
        <v>823</v>
      </c>
      <c r="D3" s="6" t="s">
        <v>1364</v>
      </c>
      <c r="E3" s="6" t="s">
        <v>1372</v>
      </c>
      <c r="F3" s="6" t="s">
        <v>1373</v>
      </c>
      <c r="G3" s="6" t="s">
        <v>1374</v>
      </c>
      <c r="H3" s="6" t="s">
        <v>1375</v>
      </c>
      <c r="I3" s="6" t="n">
        <v>260</v>
      </c>
      <c r="J3" s="6" t="n">
        <v>1</v>
      </c>
      <c r="K3" s="7" t="n">
        <v>12.5</v>
      </c>
      <c r="L3" s="6" t="s">
        <v>1376</v>
      </c>
    </row>
    <row r="4" customFormat="false" ht="15" hidden="false" customHeight="false" outlineLevel="0" collapsed="false">
      <c r="A4" s="6" t="s">
        <v>1377</v>
      </c>
      <c r="B4" s="6" t="s">
        <v>75</v>
      </c>
      <c r="C4" s="6" t="s">
        <v>820</v>
      </c>
      <c r="D4" s="6" t="s">
        <v>1378</v>
      </c>
      <c r="E4" s="6" t="s">
        <v>1379</v>
      </c>
      <c r="F4" s="6" t="s">
        <v>1380</v>
      </c>
      <c r="G4" s="6" t="s">
        <v>1381</v>
      </c>
      <c r="H4" s="6" t="s">
        <v>1375</v>
      </c>
      <c r="I4" s="6" t="n">
        <v>255</v>
      </c>
      <c r="J4" s="6" t="n">
        <v>2</v>
      </c>
      <c r="K4" s="7" t="n">
        <v>9.2</v>
      </c>
      <c r="L4" s="6" t="s">
        <v>1382</v>
      </c>
    </row>
    <row r="5" customFormat="false" ht="15" hidden="false" customHeight="false" outlineLevel="0" collapsed="false">
      <c r="A5" s="6" t="s">
        <v>1383</v>
      </c>
      <c r="B5" s="6" t="s">
        <v>51</v>
      </c>
      <c r="C5" s="6" t="s">
        <v>441</v>
      </c>
      <c r="D5" s="6" t="s">
        <v>1378</v>
      </c>
      <c r="E5" s="6" t="s">
        <v>1384</v>
      </c>
      <c r="F5" s="6" t="s">
        <v>1385</v>
      </c>
      <c r="G5" s="6" t="s">
        <v>1386</v>
      </c>
      <c r="H5" s="6" t="s">
        <v>1387</v>
      </c>
      <c r="I5" s="6" t="n">
        <v>164</v>
      </c>
      <c r="J5" s="6" t="n">
        <v>0</v>
      </c>
      <c r="K5" s="7" t="n">
        <v>4.1</v>
      </c>
      <c r="L5" s="6"/>
    </row>
    <row r="6" customFormat="false" ht="15" hidden="false" customHeight="false" outlineLevel="0" collapsed="false">
      <c r="A6" s="6" t="s">
        <v>1388</v>
      </c>
      <c r="B6" s="6" t="s">
        <v>63</v>
      </c>
      <c r="C6" s="6" t="s">
        <v>966</v>
      </c>
      <c r="D6" s="6" t="s">
        <v>1378</v>
      </c>
      <c r="E6" s="6" t="s">
        <v>1389</v>
      </c>
      <c r="F6" s="6" t="s">
        <v>1390</v>
      </c>
      <c r="G6" s="6" t="s">
        <v>1391</v>
      </c>
      <c r="H6" s="6" t="s">
        <v>1392</v>
      </c>
      <c r="I6" s="6" t="n">
        <v>400</v>
      </c>
      <c r="J6" s="6" t="n">
        <v>1</v>
      </c>
      <c r="K6" s="7" t="n">
        <v>7.8</v>
      </c>
      <c r="L6" s="6"/>
    </row>
    <row r="7" customFormat="false" ht="15" hidden="false" customHeight="false" outlineLevel="0" collapsed="false">
      <c r="A7" s="6" t="s">
        <v>1393</v>
      </c>
      <c r="B7" s="6" t="s">
        <v>59</v>
      </c>
      <c r="C7" s="6" t="s">
        <v>840</v>
      </c>
      <c r="D7" s="6" t="s">
        <v>1394</v>
      </c>
      <c r="E7" s="6" t="s">
        <v>1395</v>
      </c>
      <c r="F7" s="6" t="s">
        <v>1396</v>
      </c>
      <c r="G7" s="6" t="s">
        <v>1397</v>
      </c>
      <c r="H7" s="6" t="s">
        <v>1398</v>
      </c>
      <c r="I7" s="6" t="n">
        <v>105</v>
      </c>
      <c r="J7" s="6" t="n">
        <v>0</v>
      </c>
      <c r="K7" s="7" t="n">
        <v>2.3</v>
      </c>
      <c r="L7" s="6"/>
    </row>
    <row r="8" customFormat="false" ht="15" hidden="false" customHeight="false" outlineLevel="0" collapsed="false">
      <c r="A8" s="6" t="s">
        <v>1399</v>
      </c>
      <c r="B8" s="6" t="s">
        <v>75</v>
      </c>
      <c r="C8" s="6" t="s">
        <v>807</v>
      </c>
      <c r="D8" s="6" t="s">
        <v>1394</v>
      </c>
      <c r="E8" s="6" t="s">
        <v>1400</v>
      </c>
      <c r="F8" s="6" t="s">
        <v>1401</v>
      </c>
      <c r="G8" s="6" t="s">
        <v>1402</v>
      </c>
      <c r="H8" s="6" t="s">
        <v>1403</v>
      </c>
      <c r="I8" s="6" t="n">
        <v>165</v>
      </c>
      <c r="J8" s="6" t="n">
        <v>0</v>
      </c>
      <c r="K8" s="7" t="n">
        <v>3.4</v>
      </c>
      <c r="L8" s="6"/>
    </row>
    <row r="9" customFormat="false" ht="15" hidden="false" customHeight="false" outlineLevel="0" collapsed="false">
      <c r="A9" s="6" t="s">
        <v>1404</v>
      </c>
      <c r="B9" s="6" t="s">
        <v>63</v>
      </c>
      <c r="C9" s="6" t="s">
        <v>964</v>
      </c>
      <c r="D9" s="6" t="s">
        <v>1394</v>
      </c>
      <c r="E9" s="6" t="s">
        <v>1405</v>
      </c>
      <c r="F9" s="6" t="s">
        <v>1406</v>
      </c>
      <c r="G9" s="6" t="s">
        <v>1407</v>
      </c>
      <c r="H9" s="6" t="s">
        <v>1408</v>
      </c>
      <c r="I9" s="6" t="n">
        <v>153</v>
      </c>
      <c r="J9" s="6" t="n">
        <v>0</v>
      </c>
      <c r="K9" s="7" t="n">
        <v>2.9</v>
      </c>
      <c r="L9" s="6" t="s">
        <v>1409</v>
      </c>
    </row>
    <row r="11" customFormat="false" ht="15" hidden="false" customHeight="false" outlineLevel="0" collapsed="false">
      <c r="A11" s="9" t="s">
        <v>1410</v>
      </c>
    </row>
    <row r="12" customFormat="false" ht="15" hidden="false" customHeight="false" outlineLevel="0" collapsed="false">
      <c r="A12" s="9" t="s">
        <v>1411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1"/>
    <col collapsed="false" customWidth="true" hidden="false" outlineLevel="0" max="3" min="3" style="0" width="14"/>
    <col collapsed="false" customWidth="true" hidden="false" outlineLevel="0" max="5" min="4" style="0" width="17"/>
    <col collapsed="false" customWidth="true" hidden="false" outlineLevel="0" max="6" min="6" style="0" width="13"/>
    <col collapsed="false" customWidth="true" hidden="false" outlineLevel="0" max="7" min="7" style="0" width="24"/>
    <col collapsed="false" customWidth="true" hidden="false" outlineLevel="0" max="8" min="8" style="0" width="21"/>
    <col collapsed="false" customWidth="true" hidden="false" outlineLevel="0" max="9" min="9" style="0" width="12"/>
    <col collapsed="false" customWidth="true" hidden="false" outlineLevel="0" max="10" min="10" style="0" width="34"/>
  </cols>
  <sheetData>
    <row r="1" customFormat="false" ht="30" hidden="false" customHeight="true" outlineLevel="0" collapsed="false">
      <c r="A1" s="5" t="s">
        <v>1412</v>
      </c>
      <c r="B1" s="5" t="s">
        <v>32</v>
      </c>
      <c r="C1" s="5" t="s">
        <v>778</v>
      </c>
      <c r="D1" s="5" t="s">
        <v>1413</v>
      </c>
      <c r="E1" s="5" t="s">
        <v>1414</v>
      </c>
      <c r="F1" s="5" t="s">
        <v>1415</v>
      </c>
      <c r="G1" s="5" t="s">
        <v>1416</v>
      </c>
      <c r="H1" s="5" t="s">
        <v>1417</v>
      </c>
      <c r="I1" s="5" t="s">
        <v>35</v>
      </c>
      <c r="J1" s="5" t="s">
        <v>1418</v>
      </c>
    </row>
    <row r="2" customFormat="false" ht="15" hidden="false" customHeight="false" outlineLevel="0" collapsed="false">
      <c r="A2" s="6" t="s">
        <v>1419</v>
      </c>
      <c r="B2" s="6" t="s">
        <v>51</v>
      </c>
      <c r="C2" s="6" t="s">
        <v>820</v>
      </c>
      <c r="D2" s="6" t="s">
        <v>1420</v>
      </c>
      <c r="E2" s="7" t="n">
        <v>437</v>
      </c>
      <c r="F2" s="7" t="n">
        <v>24.6</v>
      </c>
      <c r="G2" s="7" t="n">
        <v>4.117</v>
      </c>
      <c r="H2" s="7" t="n">
        <v>94</v>
      </c>
      <c r="I2" s="6" t="s">
        <v>1421</v>
      </c>
      <c r="J2" s="6"/>
    </row>
    <row r="3" customFormat="false" ht="15" hidden="false" customHeight="false" outlineLevel="0" collapsed="false">
      <c r="A3" s="6" t="s">
        <v>1422</v>
      </c>
      <c r="B3" s="6" t="s">
        <v>51</v>
      </c>
      <c r="C3" s="6" t="s">
        <v>820</v>
      </c>
      <c r="D3" s="6" t="s">
        <v>1420</v>
      </c>
      <c r="E3" s="7" t="n">
        <v>437</v>
      </c>
      <c r="F3" s="7" t="n">
        <v>24.67</v>
      </c>
      <c r="G3" s="7" t="n">
        <v>4.089</v>
      </c>
      <c r="H3" s="7" t="n">
        <v>94</v>
      </c>
      <c r="I3" s="6" t="s">
        <v>1421</v>
      </c>
      <c r="J3" s="6"/>
    </row>
    <row r="4" customFormat="false" ht="15" hidden="false" customHeight="false" outlineLevel="0" collapsed="false">
      <c r="A4" s="6" t="s">
        <v>1423</v>
      </c>
      <c r="B4" s="6" t="s">
        <v>51</v>
      </c>
      <c r="C4" s="6" t="s">
        <v>820</v>
      </c>
      <c r="D4" s="6" t="s">
        <v>1420</v>
      </c>
      <c r="E4" s="7" t="n">
        <v>437.06</v>
      </c>
      <c r="F4" s="7" t="n">
        <v>24.63</v>
      </c>
      <c r="G4" s="7" t="n">
        <v>4.114</v>
      </c>
      <c r="H4" s="7" t="n">
        <v>94</v>
      </c>
      <c r="I4" s="6" t="s">
        <v>1421</v>
      </c>
      <c r="J4" s="6"/>
    </row>
    <row r="5" customFormat="false" ht="15" hidden="false" customHeight="false" outlineLevel="0" collapsed="false">
      <c r="A5" s="6" t="s">
        <v>1424</v>
      </c>
      <c r="B5" s="6" t="s">
        <v>51</v>
      </c>
      <c r="C5" s="6" t="s">
        <v>820</v>
      </c>
      <c r="D5" s="6" t="s">
        <v>1420</v>
      </c>
      <c r="E5" s="7" t="n">
        <v>437.13</v>
      </c>
      <c r="F5" s="7" t="n">
        <v>24.26</v>
      </c>
      <c r="G5" s="7" t="n">
        <v>4.089</v>
      </c>
      <c r="H5" s="7" t="n">
        <v>94</v>
      </c>
      <c r="I5" s="6" t="s">
        <v>1421</v>
      </c>
      <c r="J5" s="6"/>
    </row>
    <row r="6" customFormat="false" ht="15" hidden="false" customHeight="false" outlineLevel="0" collapsed="false">
      <c r="A6" s="6" t="s">
        <v>1425</v>
      </c>
      <c r="B6" s="6" t="s">
        <v>51</v>
      </c>
      <c r="C6" s="6" t="s">
        <v>820</v>
      </c>
      <c r="D6" s="6" t="s">
        <v>1420</v>
      </c>
      <c r="E6" s="7" t="n">
        <v>436.79</v>
      </c>
      <c r="F6" s="7" t="n">
        <v>24.35</v>
      </c>
      <c r="G6" s="7" t="n">
        <v>4.103</v>
      </c>
      <c r="H6" s="7" t="n">
        <v>94</v>
      </c>
      <c r="I6" s="6" t="s">
        <v>1421</v>
      </c>
      <c r="J6" s="6"/>
    </row>
    <row r="7" customFormat="false" ht="15" hidden="false" customHeight="false" outlineLevel="0" collapsed="false">
      <c r="A7" s="6" t="s">
        <v>1426</v>
      </c>
      <c r="B7" s="6" t="s">
        <v>51</v>
      </c>
      <c r="C7" s="6" t="s">
        <v>820</v>
      </c>
      <c r="D7" s="6" t="s">
        <v>1420</v>
      </c>
      <c r="E7" s="7" t="n">
        <v>436.93</v>
      </c>
      <c r="F7" s="7" t="n">
        <v>24.33</v>
      </c>
      <c r="G7" s="7" t="n">
        <v>4.083</v>
      </c>
      <c r="H7" s="7" t="n">
        <v>94</v>
      </c>
      <c r="I7" s="6" t="s">
        <v>1421</v>
      </c>
      <c r="J7" s="6"/>
    </row>
    <row r="8" customFormat="false" ht="15" hidden="false" customHeight="false" outlineLevel="0" collapsed="false">
      <c r="A8" s="6" t="s">
        <v>1427</v>
      </c>
      <c r="B8" s="6" t="s">
        <v>51</v>
      </c>
      <c r="C8" s="6" t="s">
        <v>820</v>
      </c>
      <c r="D8" s="6" t="s">
        <v>1420</v>
      </c>
      <c r="E8" s="7" t="n">
        <v>437</v>
      </c>
      <c r="F8" s="7" t="n">
        <v>24.33</v>
      </c>
      <c r="G8" s="7" t="n">
        <v>4.087</v>
      </c>
      <c r="H8" s="7" t="n">
        <v>94</v>
      </c>
      <c r="I8" s="6" t="s">
        <v>1421</v>
      </c>
      <c r="J8" s="6"/>
    </row>
    <row r="9" customFormat="false" ht="15" hidden="false" customHeight="false" outlineLevel="0" collapsed="false">
      <c r="A9" s="6" t="s">
        <v>1428</v>
      </c>
      <c r="B9" s="6" t="s">
        <v>51</v>
      </c>
      <c r="C9" s="6" t="s">
        <v>820</v>
      </c>
      <c r="D9" s="6" t="s">
        <v>1420</v>
      </c>
      <c r="E9" s="7" t="n">
        <v>437.12</v>
      </c>
      <c r="F9" s="7" t="n">
        <v>24.47</v>
      </c>
      <c r="G9" s="7" t="n">
        <v>4.081</v>
      </c>
      <c r="H9" s="7" t="n">
        <v>94</v>
      </c>
      <c r="I9" s="6" t="s">
        <v>1421</v>
      </c>
      <c r="J9" s="6"/>
    </row>
    <row r="10" customFormat="false" ht="15" hidden="false" customHeight="false" outlineLevel="0" collapsed="false">
      <c r="A10" s="6" t="s">
        <v>1429</v>
      </c>
      <c r="B10" s="6" t="s">
        <v>51</v>
      </c>
      <c r="C10" s="6" t="s">
        <v>820</v>
      </c>
      <c r="D10" s="6" t="s">
        <v>1420</v>
      </c>
      <c r="E10" s="7" t="n">
        <v>436.8</v>
      </c>
      <c r="F10" s="7" t="n">
        <v>24.46</v>
      </c>
      <c r="G10" s="7" t="n">
        <v>4.087</v>
      </c>
      <c r="H10" s="7" t="n">
        <v>94</v>
      </c>
      <c r="I10" s="6" t="s">
        <v>1421</v>
      </c>
      <c r="J10" s="6"/>
    </row>
    <row r="11" customFormat="false" ht="15" hidden="false" customHeight="false" outlineLevel="0" collapsed="false">
      <c r="A11" s="6" t="s">
        <v>1430</v>
      </c>
      <c r="B11" s="6" t="s">
        <v>51</v>
      </c>
      <c r="C11" s="6" t="s">
        <v>820</v>
      </c>
      <c r="D11" s="6" t="s">
        <v>1420</v>
      </c>
      <c r="E11" s="7" t="n">
        <v>436.89</v>
      </c>
      <c r="F11" s="7" t="n">
        <v>24.43</v>
      </c>
      <c r="G11" s="7" t="n">
        <v>4.089</v>
      </c>
      <c r="H11" s="7" t="n">
        <v>94</v>
      </c>
      <c r="I11" s="6" t="s">
        <v>1421</v>
      </c>
      <c r="J11" s="6"/>
    </row>
    <row r="12" customFormat="false" ht="15" hidden="false" customHeight="false" outlineLevel="0" collapsed="false">
      <c r="A12" s="6" t="s">
        <v>1431</v>
      </c>
      <c r="B12" s="6" t="s">
        <v>51</v>
      </c>
      <c r="C12" s="6" t="s">
        <v>820</v>
      </c>
      <c r="D12" s="6" t="s">
        <v>1420</v>
      </c>
      <c r="E12" s="7" t="n">
        <v>437.21</v>
      </c>
      <c r="F12" s="7" t="n">
        <v>24.34</v>
      </c>
      <c r="G12" s="7" t="n">
        <v>4.1</v>
      </c>
      <c r="H12" s="7" t="n">
        <v>94</v>
      </c>
      <c r="I12" s="6" t="s">
        <v>1421</v>
      </c>
      <c r="J12" s="6"/>
    </row>
    <row r="13" customFormat="false" ht="15" hidden="false" customHeight="false" outlineLevel="0" collapsed="false">
      <c r="A13" s="6" t="s">
        <v>1432</v>
      </c>
      <c r="B13" s="6" t="s">
        <v>51</v>
      </c>
      <c r="C13" s="6" t="s">
        <v>820</v>
      </c>
      <c r="D13" s="6" t="s">
        <v>1420</v>
      </c>
      <c r="E13" s="7" t="n">
        <v>437</v>
      </c>
      <c r="F13" s="7" t="n">
        <v>24.58</v>
      </c>
      <c r="G13" s="7" t="n">
        <v>4.09</v>
      </c>
      <c r="H13" s="7" t="n">
        <v>94</v>
      </c>
      <c r="I13" s="6" t="s">
        <v>1421</v>
      </c>
      <c r="J13" s="6"/>
    </row>
    <row r="14" customFormat="false" ht="15" hidden="false" customHeight="false" outlineLevel="0" collapsed="false">
      <c r="A14" s="6" t="s">
        <v>1433</v>
      </c>
      <c r="B14" s="6" t="s">
        <v>51</v>
      </c>
      <c r="C14" s="6" t="s">
        <v>820</v>
      </c>
      <c r="D14" s="6" t="s">
        <v>1420</v>
      </c>
      <c r="E14" s="7" t="n">
        <v>436.85</v>
      </c>
      <c r="F14" s="7" t="n">
        <v>24.26</v>
      </c>
      <c r="G14" s="7" t="n">
        <v>4.117</v>
      </c>
      <c r="H14" s="7" t="n">
        <v>94</v>
      </c>
      <c r="I14" s="6" t="s">
        <v>1421</v>
      </c>
      <c r="J14" s="6"/>
    </row>
    <row r="15" customFormat="false" ht="15" hidden="false" customHeight="false" outlineLevel="0" collapsed="false">
      <c r="A15" s="6" t="s">
        <v>1434</v>
      </c>
      <c r="B15" s="6" t="s">
        <v>51</v>
      </c>
      <c r="C15" s="6" t="s">
        <v>820</v>
      </c>
      <c r="D15" s="6" t="s">
        <v>1420</v>
      </c>
      <c r="E15" s="7" t="n">
        <v>437.22</v>
      </c>
      <c r="F15" s="7" t="n">
        <v>24.5</v>
      </c>
      <c r="G15" s="7" t="n">
        <v>4.111</v>
      </c>
      <c r="H15" s="7" t="n">
        <v>94</v>
      </c>
      <c r="I15" s="6" t="s">
        <v>1421</v>
      </c>
      <c r="J15" s="6"/>
    </row>
    <row r="16" customFormat="false" ht="15" hidden="false" customHeight="false" outlineLevel="0" collapsed="false">
      <c r="A16" s="6" t="s">
        <v>1435</v>
      </c>
      <c r="B16" s="6" t="s">
        <v>51</v>
      </c>
      <c r="C16" s="6" t="s">
        <v>820</v>
      </c>
      <c r="D16" s="6" t="s">
        <v>1420</v>
      </c>
      <c r="E16" s="7" t="n">
        <v>437.22</v>
      </c>
      <c r="F16" s="7" t="n">
        <v>24.22</v>
      </c>
      <c r="G16" s="7" t="n">
        <v>4.109</v>
      </c>
      <c r="H16" s="7" t="n">
        <v>94</v>
      </c>
      <c r="I16" s="6" t="s">
        <v>1421</v>
      </c>
      <c r="J16" s="6"/>
    </row>
    <row r="17" customFormat="false" ht="15" hidden="false" customHeight="false" outlineLevel="0" collapsed="false">
      <c r="A17" s="6" t="s">
        <v>1436</v>
      </c>
      <c r="B17" s="6" t="s">
        <v>51</v>
      </c>
      <c r="C17" s="6" t="s">
        <v>820</v>
      </c>
      <c r="D17" s="6" t="s">
        <v>1420</v>
      </c>
      <c r="E17" s="7" t="n">
        <v>437.05</v>
      </c>
      <c r="F17" s="7" t="n">
        <v>24.41</v>
      </c>
      <c r="G17" s="7" t="n">
        <v>4.085</v>
      </c>
      <c r="H17" s="7" t="n">
        <v>94</v>
      </c>
      <c r="I17" s="6" t="s">
        <v>1421</v>
      </c>
      <c r="J17" s="6"/>
    </row>
    <row r="18" customFormat="false" ht="15" hidden="false" customHeight="false" outlineLevel="0" collapsed="false">
      <c r="A18" s="6" t="s">
        <v>1437</v>
      </c>
      <c r="B18" s="6" t="s">
        <v>51</v>
      </c>
      <c r="C18" s="6" t="s">
        <v>820</v>
      </c>
      <c r="D18" s="6" t="s">
        <v>1420</v>
      </c>
      <c r="E18" s="7" t="n">
        <v>437.1</v>
      </c>
      <c r="F18" s="7" t="n">
        <v>24.4</v>
      </c>
      <c r="G18" s="7" t="n">
        <v>4.082</v>
      </c>
      <c r="H18" s="7" t="n">
        <v>94</v>
      </c>
      <c r="I18" s="6" t="s">
        <v>1421</v>
      </c>
      <c r="J18" s="6"/>
    </row>
    <row r="19" customFormat="false" ht="15" hidden="false" customHeight="false" outlineLevel="0" collapsed="false">
      <c r="A19" s="6" t="s">
        <v>1438</v>
      </c>
      <c r="B19" s="6" t="s">
        <v>51</v>
      </c>
      <c r="C19" s="6" t="s">
        <v>820</v>
      </c>
      <c r="D19" s="6" t="s">
        <v>1420</v>
      </c>
      <c r="E19" s="7" t="n">
        <v>436.9</v>
      </c>
      <c r="F19" s="7" t="n">
        <v>24.31</v>
      </c>
      <c r="G19" s="7" t="n">
        <v>4.1</v>
      </c>
      <c r="H19" s="7" t="n">
        <v>94</v>
      </c>
      <c r="I19" s="6" t="s">
        <v>1421</v>
      </c>
      <c r="J19" s="6"/>
    </row>
    <row r="20" customFormat="false" ht="15" hidden="false" customHeight="false" outlineLevel="0" collapsed="false">
      <c r="A20" s="6" t="s">
        <v>1439</v>
      </c>
      <c r="B20" s="6" t="s">
        <v>51</v>
      </c>
      <c r="C20" s="6" t="s">
        <v>820</v>
      </c>
      <c r="D20" s="6" t="s">
        <v>1420</v>
      </c>
      <c r="E20" s="7" t="n">
        <v>436.83</v>
      </c>
      <c r="F20" s="7" t="n">
        <v>24.74</v>
      </c>
      <c r="G20" s="7" t="n">
        <v>4.085</v>
      </c>
      <c r="H20" s="7" t="n">
        <v>94</v>
      </c>
      <c r="I20" s="6" t="s">
        <v>1421</v>
      </c>
      <c r="J20" s="6"/>
    </row>
    <row r="21" customFormat="false" ht="15" hidden="false" customHeight="false" outlineLevel="0" collapsed="false">
      <c r="A21" s="6" t="s">
        <v>1440</v>
      </c>
      <c r="B21" s="6" t="s">
        <v>51</v>
      </c>
      <c r="C21" s="6" t="s">
        <v>820</v>
      </c>
      <c r="D21" s="6" t="s">
        <v>1420</v>
      </c>
      <c r="E21" s="7" t="n">
        <v>436.81</v>
      </c>
      <c r="F21" s="7" t="n">
        <v>24.22</v>
      </c>
      <c r="G21" s="7" t="n">
        <v>4.084</v>
      </c>
      <c r="H21" s="7" t="n">
        <v>94</v>
      </c>
      <c r="I21" s="6" t="s">
        <v>1421</v>
      </c>
      <c r="J21" s="6"/>
    </row>
    <row r="22" customFormat="false" ht="15" hidden="false" customHeight="false" outlineLevel="0" collapsed="false">
      <c r="A22" s="6" t="s">
        <v>1441</v>
      </c>
      <c r="B22" s="6" t="s">
        <v>51</v>
      </c>
      <c r="C22" s="6" t="s">
        <v>820</v>
      </c>
      <c r="D22" s="6" t="s">
        <v>1420</v>
      </c>
      <c r="E22" s="7" t="n">
        <v>437.07</v>
      </c>
      <c r="F22" s="7" t="n">
        <v>24.49</v>
      </c>
      <c r="G22" s="7" t="n">
        <v>4.086</v>
      </c>
      <c r="H22" s="7" t="n">
        <v>94</v>
      </c>
      <c r="I22" s="6" t="s">
        <v>1442</v>
      </c>
      <c r="J22" s="6" t="s">
        <v>1443</v>
      </c>
    </row>
    <row r="23" customFormat="false" ht="15" hidden="false" customHeight="false" outlineLevel="0" collapsed="false">
      <c r="A23" s="6" t="s">
        <v>1444</v>
      </c>
      <c r="B23" s="6" t="s">
        <v>51</v>
      </c>
      <c r="C23" s="6" t="s">
        <v>820</v>
      </c>
      <c r="D23" s="6" t="s">
        <v>1420</v>
      </c>
      <c r="E23" s="7" t="n">
        <v>436.69</v>
      </c>
      <c r="F23" s="7" t="n">
        <v>24.49</v>
      </c>
      <c r="G23" s="7" t="n">
        <v>4.133</v>
      </c>
      <c r="H23" s="7" t="n">
        <v>93.8</v>
      </c>
      <c r="I23" s="6" t="s">
        <v>1442</v>
      </c>
      <c r="J23" s="6"/>
    </row>
    <row r="24" customFormat="false" ht="15" hidden="false" customHeight="false" outlineLevel="0" collapsed="false">
      <c r="A24" s="6" t="s">
        <v>1445</v>
      </c>
      <c r="B24" s="6" t="s">
        <v>51</v>
      </c>
      <c r="C24" s="6" t="s">
        <v>820</v>
      </c>
      <c r="D24" s="6" t="s">
        <v>1420</v>
      </c>
      <c r="E24" s="7" t="n">
        <v>436.46</v>
      </c>
      <c r="F24" s="7" t="n">
        <v>25.21</v>
      </c>
      <c r="G24" s="7" t="n">
        <v>4.138</v>
      </c>
      <c r="H24" s="7" t="n">
        <v>93.61</v>
      </c>
      <c r="I24" s="6" t="s">
        <v>1442</v>
      </c>
      <c r="J24" s="6"/>
    </row>
    <row r="25" customFormat="false" ht="15" hidden="false" customHeight="false" outlineLevel="0" collapsed="false">
      <c r="A25" s="6" t="s">
        <v>1446</v>
      </c>
      <c r="B25" s="6" t="s">
        <v>51</v>
      </c>
      <c r="C25" s="6" t="s">
        <v>820</v>
      </c>
      <c r="D25" s="6" t="s">
        <v>1420</v>
      </c>
      <c r="E25" s="7" t="n">
        <v>436.22</v>
      </c>
      <c r="F25" s="7" t="n">
        <v>25.21</v>
      </c>
      <c r="G25" s="7" t="n">
        <v>4.163</v>
      </c>
      <c r="H25" s="7" t="n">
        <v>93.41</v>
      </c>
      <c r="I25" s="6" t="s">
        <v>1442</v>
      </c>
      <c r="J25" s="6"/>
    </row>
    <row r="26" customFormat="false" ht="15" hidden="false" customHeight="false" outlineLevel="0" collapsed="false">
      <c r="A26" s="6" t="s">
        <v>1447</v>
      </c>
      <c r="B26" s="6" t="s">
        <v>51</v>
      </c>
      <c r="C26" s="6" t="s">
        <v>820</v>
      </c>
      <c r="D26" s="6" t="s">
        <v>1420</v>
      </c>
      <c r="E26" s="7" t="n">
        <v>435.9</v>
      </c>
      <c r="F26" s="7" t="n">
        <v>25.54</v>
      </c>
      <c r="G26" s="7" t="n">
        <v>4.152</v>
      </c>
      <c r="H26" s="7" t="n">
        <v>93.22</v>
      </c>
      <c r="I26" s="6" t="s">
        <v>1442</v>
      </c>
      <c r="J26" s="6"/>
    </row>
    <row r="27" customFormat="false" ht="15" hidden="false" customHeight="false" outlineLevel="0" collapsed="false">
      <c r="A27" s="6" t="s">
        <v>1448</v>
      </c>
      <c r="B27" s="6" t="s">
        <v>51</v>
      </c>
      <c r="C27" s="6" t="s">
        <v>820</v>
      </c>
      <c r="D27" s="6" t="s">
        <v>1420</v>
      </c>
      <c r="E27" s="7" t="n">
        <v>435.55</v>
      </c>
      <c r="F27" s="7" t="n">
        <v>25.77</v>
      </c>
      <c r="G27" s="7" t="n">
        <v>4.168</v>
      </c>
      <c r="H27" s="7" t="n">
        <v>93.02</v>
      </c>
      <c r="I27" s="6" t="s">
        <v>1442</v>
      </c>
      <c r="J27" s="6"/>
    </row>
    <row r="28" customFormat="false" ht="15" hidden="false" customHeight="false" outlineLevel="0" collapsed="false">
      <c r="A28" s="6" t="s">
        <v>1449</v>
      </c>
      <c r="B28" s="6" t="s">
        <v>51</v>
      </c>
      <c r="C28" s="6" t="s">
        <v>820</v>
      </c>
      <c r="D28" s="6" t="s">
        <v>1420</v>
      </c>
      <c r="E28" s="7" t="n">
        <v>435.13</v>
      </c>
      <c r="F28" s="7" t="n">
        <v>25.68</v>
      </c>
      <c r="G28" s="7" t="n">
        <v>4.198</v>
      </c>
      <c r="H28" s="7" t="n">
        <v>92.82</v>
      </c>
      <c r="I28" s="6" t="s">
        <v>1442</v>
      </c>
      <c r="J28" s="6"/>
    </row>
    <row r="29" customFormat="false" ht="15" hidden="false" customHeight="false" outlineLevel="0" collapsed="false">
      <c r="A29" s="6" t="s">
        <v>1450</v>
      </c>
      <c r="B29" s="6" t="s">
        <v>51</v>
      </c>
      <c r="C29" s="6" t="s">
        <v>820</v>
      </c>
      <c r="D29" s="6" t="s">
        <v>1420</v>
      </c>
      <c r="E29" s="7" t="n">
        <v>434.67</v>
      </c>
      <c r="F29" s="7" t="n">
        <v>26.13</v>
      </c>
      <c r="G29" s="7" t="n">
        <v>4.218</v>
      </c>
      <c r="H29" s="7" t="n">
        <v>92.63</v>
      </c>
      <c r="I29" s="6" t="s">
        <v>1442</v>
      </c>
      <c r="J29" s="6"/>
    </row>
    <row r="30" customFormat="false" ht="15" hidden="false" customHeight="false" outlineLevel="0" collapsed="false">
      <c r="A30" s="6" t="s">
        <v>1451</v>
      </c>
      <c r="B30" s="6" t="s">
        <v>51</v>
      </c>
      <c r="C30" s="6" t="s">
        <v>820</v>
      </c>
      <c r="D30" s="6" t="s">
        <v>1420</v>
      </c>
      <c r="E30" s="7" t="n">
        <v>434.14</v>
      </c>
      <c r="F30" s="7" t="n">
        <v>26.57</v>
      </c>
      <c r="G30" s="7" t="n">
        <v>4.223</v>
      </c>
      <c r="H30" s="7" t="n">
        <v>92.43</v>
      </c>
      <c r="I30" s="6" t="s">
        <v>1442</v>
      </c>
      <c r="J30" s="6"/>
    </row>
    <row r="31" customFormat="false" ht="15" hidden="false" customHeight="false" outlineLevel="0" collapsed="false">
      <c r="A31" s="6" t="s">
        <v>1452</v>
      </c>
      <c r="B31" s="6" t="s">
        <v>51</v>
      </c>
      <c r="C31" s="6" t="s">
        <v>820</v>
      </c>
      <c r="D31" s="6" t="s">
        <v>1420</v>
      </c>
      <c r="E31" s="7" t="n">
        <v>434.19</v>
      </c>
      <c r="F31" s="7" t="n">
        <v>26.53</v>
      </c>
      <c r="G31" s="7" t="n">
        <v>4.264</v>
      </c>
      <c r="H31" s="7" t="n">
        <v>92.24</v>
      </c>
      <c r="I31" s="6" t="s">
        <v>1442</v>
      </c>
      <c r="J31" s="6"/>
    </row>
    <row r="32" customFormat="false" ht="15" hidden="false" customHeight="false" outlineLevel="0" collapsed="false">
      <c r="A32" s="6" t="s">
        <v>1453</v>
      </c>
      <c r="B32" s="6" t="s">
        <v>51</v>
      </c>
      <c r="C32" s="6" t="s">
        <v>820</v>
      </c>
      <c r="D32" s="6" t="s">
        <v>1420</v>
      </c>
      <c r="E32" s="7" t="n">
        <v>433.66</v>
      </c>
      <c r="F32" s="7" t="n">
        <v>27</v>
      </c>
      <c r="G32" s="7" t="n">
        <v>4.271</v>
      </c>
      <c r="H32" s="7" t="n">
        <v>92.04</v>
      </c>
      <c r="I32" s="6" t="s">
        <v>1442</v>
      </c>
      <c r="J32" s="6"/>
    </row>
    <row r="33" customFormat="false" ht="15" hidden="false" customHeight="false" outlineLevel="0" collapsed="false">
      <c r="A33" s="6" t="s">
        <v>1454</v>
      </c>
      <c r="B33" s="6" t="s">
        <v>51</v>
      </c>
      <c r="C33" s="6" t="s">
        <v>820</v>
      </c>
      <c r="D33" s="6" t="s">
        <v>1420</v>
      </c>
      <c r="E33" s="7" t="n">
        <v>433.44</v>
      </c>
      <c r="F33" s="7" t="n">
        <v>27.1</v>
      </c>
      <c r="G33" s="7" t="n">
        <v>4.303</v>
      </c>
      <c r="H33" s="7" t="n">
        <v>91.84</v>
      </c>
      <c r="I33" s="6" t="s">
        <v>1442</v>
      </c>
      <c r="J33" s="6"/>
    </row>
    <row r="34" customFormat="false" ht="15" hidden="false" customHeight="false" outlineLevel="0" collapsed="false">
      <c r="A34" s="6" t="s">
        <v>1455</v>
      </c>
      <c r="B34" s="6" t="s">
        <v>51</v>
      </c>
      <c r="C34" s="6" t="s">
        <v>820</v>
      </c>
      <c r="D34" s="6" t="s">
        <v>1420</v>
      </c>
      <c r="E34" s="7" t="n">
        <v>432.94</v>
      </c>
      <c r="F34" s="7" t="n">
        <v>27.38</v>
      </c>
      <c r="G34" s="7" t="n">
        <v>4.292</v>
      </c>
      <c r="H34" s="7" t="n">
        <v>91.65</v>
      </c>
      <c r="I34" s="6" t="s">
        <v>1442</v>
      </c>
      <c r="J34" s="6"/>
    </row>
    <row r="35" customFormat="false" ht="15" hidden="false" customHeight="false" outlineLevel="0" collapsed="false">
      <c r="A35" s="6" t="s">
        <v>1456</v>
      </c>
      <c r="B35" s="6" t="s">
        <v>51</v>
      </c>
      <c r="C35" s="6" t="s">
        <v>820</v>
      </c>
      <c r="D35" s="6" t="s">
        <v>1420</v>
      </c>
      <c r="E35" s="7" t="n">
        <v>432.5</v>
      </c>
      <c r="F35" s="7" t="n">
        <v>27.7</v>
      </c>
      <c r="G35" s="7" t="n">
        <v>4.334</v>
      </c>
      <c r="H35" s="7" t="n">
        <v>91.45</v>
      </c>
      <c r="I35" s="6" t="s">
        <v>1442</v>
      </c>
      <c r="J35" s="6"/>
    </row>
    <row r="36" customFormat="false" ht="15" hidden="false" customHeight="false" outlineLevel="0" collapsed="false">
      <c r="A36" s="6" t="s">
        <v>1457</v>
      </c>
      <c r="B36" s="6" t="s">
        <v>51</v>
      </c>
      <c r="C36" s="6" t="s">
        <v>820</v>
      </c>
      <c r="D36" s="6" t="s">
        <v>1420</v>
      </c>
      <c r="E36" s="7" t="n">
        <v>432.17</v>
      </c>
      <c r="F36" s="7" t="n">
        <v>28.01</v>
      </c>
      <c r="G36" s="7" t="n">
        <v>4.349</v>
      </c>
      <c r="H36" s="7" t="n">
        <v>91.26</v>
      </c>
      <c r="I36" s="6" t="s">
        <v>1442</v>
      </c>
      <c r="J36" s="6"/>
    </row>
    <row r="37" customFormat="false" ht="15" hidden="false" customHeight="false" outlineLevel="0" collapsed="false">
      <c r="A37" s="6" t="s">
        <v>1458</v>
      </c>
      <c r="B37" s="6" t="s">
        <v>51</v>
      </c>
      <c r="C37" s="6" t="s">
        <v>820</v>
      </c>
      <c r="D37" s="6" t="s">
        <v>1420</v>
      </c>
      <c r="E37" s="7" t="n">
        <v>431.94</v>
      </c>
      <c r="F37" s="7" t="n">
        <v>28.38</v>
      </c>
      <c r="G37" s="7" t="n">
        <v>4.352</v>
      </c>
      <c r="H37" s="7" t="n">
        <v>91.06</v>
      </c>
      <c r="I37" s="6" t="s">
        <v>1442</v>
      </c>
      <c r="J37" s="6"/>
    </row>
    <row r="38" customFormat="false" ht="15" hidden="false" customHeight="false" outlineLevel="0" collapsed="false">
      <c r="A38" s="6" t="s">
        <v>1459</v>
      </c>
      <c r="B38" s="6" t="s">
        <v>51</v>
      </c>
      <c r="C38" s="6" t="s">
        <v>820</v>
      </c>
      <c r="D38" s="6" t="s">
        <v>1420</v>
      </c>
      <c r="E38" s="7" t="n">
        <v>431.69</v>
      </c>
      <c r="F38" s="7" t="n">
        <v>28.18</v>
      </c>
      <c r="G38" s="7" t="n">
        <v>4.353</v>
      </c>
      <c r="H38" s="7" t="n">
        <v>90.86</v>
      </c>
      <c r="I38" s="6" t="s">
        <v>1442</v>
      </c>
      <c r="J38" s="6"/>
    </row>
    <row r="40" customFormat="false" ht="15" hidden="false" customHeight="false" outlineLevel="0" collapsed="false">
      <c r="A40" s="9" t="s">
        <v>1460</v>
      </c>
    </row>
    <row r="41" customFormat="false" ht="15" hidden="false" customHeight="false" outlineLevel="0" collapsed="false">
      <c r="A41" s="9" t="s">
        <v>1461</v>
      </c>
    </row>
    <row r="42" customFormat="false" ht="15" hidden="false" customHeight="false" outlineLevel="0" collapsed="false">
      <c r="A42" s="9" t="s">
        <v>1462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3"/>
    <col collapsed="false" customWidth="true" hidden="false" outlineLevel="0" max="6" min="6" style="0" width="16"/>
    <col collapsed="false" customWidth="true" hidden="false" outlineLevel="0" max="7" min="7" style="0" width="15"/>
    <col collapsed="false" customWidth="true" hidden="false" outlineLevel="0" max="8" min="8" style="0" width="14"/>
    <col collapsed="false" customWidth="true" hidden="false" outlineLevel="0" max="9" min="9" style="0" width="22"/>
    <col collapsed="false" customWidth="true" hidden="false" outlineLevel="0" max="10" min="10" style="0" width="15"/>
  </cols>
  <sheetData>
    <row r="1" customFormat="false" ht="30" hidden="false" customHeight="true" outlineLevel="0" collapsed="false">
      <c r="A1" s="5" t="s">
        <v>32</v>
      </c>
      <c r="B1" s="5" t="s">
        <v>1463</v>
      </c>
      <c r="C1" s="5" t="s">
        <v>1464</v>
      </c>
      <c r="D1" s="5" t="s">
        <v>1465</v>
      </c>
      <c r="E1" s="5" t="s">
        <v>1466</v>
      </c>
      <c r="F1" s="5" t="s">
        <v>48</v>
      </c>
      <c r="G1" s="5" t="s">
        <v>1238</v>
      </c>
      <c r="H1" s="5" t="s">
        <v>1467</v>
      </c>
      <c r="I1" s="5" t="s">
        <v>1468</v>
      </c>
      <c r="J1" s="5" t="s">
        <v>1469</v>
      </c>
    </row>
    <row r="2" customFormat="false" ht="15" hidden="false" customHeight="false" outlineLevel="0" collapsed="false">
      <c r="A2" s="6" t="s">
        <v>51</v>
      </c>
      <c r="B2" s="6" t="s">
        <v>1470</v>
      </c>
      <c r="C2" s="8" t="n">
        <v>7840564</v>
      </c>
      <c r="D2" s="8" t="n">
        <v>1724924</v>
      </c>
      <c r="E2" s="8" t="n">
        <v>6115640</v>
      </c>
      <c r="F2" s="7" t="n">
        <v>8.5</v>
      </c>
      <c r="G2" s="7" t="n">
        <v>666.4</v>
      </c>
      <c r="H2" s="7" t="n">
        <v>1.586</v>
      </c>
      <c r="I2" s="7" t="n">
        <v>0.71</v>
      </c>
      <c r="J2" s="7" t="n">
        <v>4342.1</v>
      </c>
    </row>
    <row r="3" customFormat="false" ht="15" hidden="false" customHeight="false" outlineLevel="0" collapsed="false">
      <c r="A3" s="6" t="s">
        <v>51</v>
      </c>
      <c r="B3" s="6" t="s">
        <v>1471</v>
      </c>
      <c r="C3" s="8" t="n">
        <v>7871617</v>
      </c>
      <c r="D3" s="8" t="n">
        <v>1731756</v>
      </c>
      <c r="E3" s="8" t="n">
        <v>6139861</v>
      </c>
      <c r="F3" s="7" t="n">
        <v>8.5</v>
      </c>
      <c r="G3" s="7" t="n">
        <v>669.1</v>
      </c>
      <c r="H3" s="7" t="n">
        <v>1.584</v>
      </c>
      <c r="I3" s="7" t="n">
        <v>0.71</v>
      </c>
      <c r="J3" s="7" t="n">
        <v>4359.3</v>
      </c>
    </row>
    <row r="4" customFormat="false" ht="15" hidden="false" customHeight="false" outlineLevel="0" collapsed="false">
      <c r="A4" s="6" t="s">
        <v>51</v>
      </c>
      <c r="B4" s="6" t="s">
        <v>1472</v>
      </c>
      <c r="C4" s="8" t="n">
        <v>7944723</v>
      </c>
      <c r="D4" s="8" t="n">
        <v>1747839</v>
      </c>
      <c r="E4" s="8" t="n">
        <v>6196884</v>
      </c>
      <c r="F4" s="7" t="n">
        <v>8.5</v>
      </c>
      <c r="G4" s="7" t="n">
        <v>675.3</v>
      </c>
      <c r="H4" s="7" t="n">
        <v>1.569</v>
      </c>
      <c r="I4" s="7" t="n">
        <v>0.71</v>
      </c>
      <c r="J4" s="7" t="n">
        <v>4399.8</v>
      </c>
    </row>
    <row r="5" customFormat="false" ht="15" hidden="false" customHeight="false" outlineLevel="0" collapsed="false">
      <c r="A5" s="6" t="s">
        <v>51</v>
      </c>
      <c r="B5" s="6" t="s">
        <v>1473</v>
      </c>
      <c r="C5" s="8" t="n">
        <v>8428405</v>
      </c>
      <c r="D5" s="8" t="n">
        <v>1854249</v>
      </c>
      <c r="E5" s="8" t="n">
        <v>6574156</v>
      </c>
      <c r="F5" s="7" t="n">
        <v>8.5</v>
      </c>
      <c r="G5" s="7" t="n">
        <v>716.4</v>
      </c>
      <c r="H5" s="7" t="n">
        <v>1.579</v>
      </c>
      <c r="I5" s="7" t="n">
        <v>0.71</v>
      </c>
      <c r="J5" s="7" t="n">
        <v>4667.7</v>
      </c>
    </row>
    <row r="6" customFormat="false" ht="15" hidden="false" customHeight="false" outlineLevel="0" collapsed="false">
      <c r="A6" s="6" t="s">
        <v>51</v>
      </c>
      <c r="B6" s="6" t="s">
        <v>1474</v>
      </c>
      <c r="C6" s="8" t="n">
        <v>8272103</v>
      </c>
      <c r="D6" s="8" t="n">
        <v>1819863</v>
      </c>
      <c r="E6" s="8" t="n">
        <v>6452240</v>
      </c>
      <c r="F6" s="7" t="n">
        <v>8.5</v>
      </c>
      <c r="G6" s="7" t="n">
        <v>703.1</v>
      </c>
      <c r="H6" s="7" t="n">
        <v>1.566</v>
      </c>
      <c r="I6" s="7" t="n">
        <v>0.71</v>
      </c>
      <c r="J6" s="7" t="n">
        <v>4581.1</v>
      </c>
    </row>
    <row r="7" customFormat="false" ht="15" hidden="false" customHeight="false" outlineLevel="0" collapsed="false">
      <c r="A7" s="6" t="s">
        <v>51</v>
      </c>
      <c r="B7" s="6" t="s">
        <v>1475</v>
      </c>
      <c r="C7" s="8" t="n">
        <v>8279347</v>
      </c>
      <c r="D7" s="8" t="n">
        <v>1821456</v>
      </c>
      <c r="E7" s="8" t="n">
        <v>6457891</v>
      </c>
      <c r="F7" s="7" t="n">
        <v>8.5</v>
      </c>
      <c r="G7" s="7" t="n">
        <v>703.7</v>
      </c>
      <c r="H7" s="7" t="n">
        <v>1.577</v>
      </c>
      <c r="I7" s="7" t="n">
        <v>0.71</v>
      </c>
      <c r="J7" s="7" t="n">
        <v>4585.1</v>
      </c>
    </row>
    <row r="8" customFormat="false" ht="15" hidden="false" customHeight="false" outlineLevel="0" collapsed="false">
      <c r="A8" s="6" t="s">
        <v>51</v>
      </c>
      <c r="B8" s="6" t="s">
        <v>1476</v>
      </c>
      <c r="C8" s="8" t="n">
        <v>7859695</v>
      </c>
      <c r="D8" s="8" t="n">
        <v>1729133</v>
      </c>
      <c r="E8" s="8" t="n">
        <v>6130562</v>
      </c>
      <c r="F8" s="7" t="n">
        <v>8.5</v>
      </c>
      <c r="G8" s="7" t="n">
        <v>668.1</v>
      </c>
      <c r="H8" s="7" t="n">
        <v>1.591</v>
      </c>
      <c r="I8" s="7" t="n">
        <v>0.71</v>
      </c>
      <c r="J8" s="7" t="n">
        <v>4352.7</v>
      </c>
    </row>
    <row r="9" customFormat="false" ht="15" hidden="false" customHeight="false" outlineLevel="0" collapsed="false">
      <c r="A9" s="6" t="s">
        <v>51</v>
      </c>
      <c r="B9" s="6" t="s">
        <v>1477</v>
      </c>
      <c r="C9" s="8" t="n">
        <v>7845518</v>
      </c>
      <c r="D9" s="8" t="n">
        <v>1726014</v>
      </c>
      <c r="E9" s="8" t="n">
        <v>6119504</v>
      </c>
      <c r="F9" s="7" t="n">
        <v>8.5</v>
      </c>
      <c r="G9" s="7" t="n">
        <v>666.9</v>
      </c>
      <c r="H9" s="7" t="n">
        <v>1.576</v>
      </c>
      <c r="I9" s="7" t="n">
        <v>0.71</v>
      </c>
      <c r="J9" s="7" t="n">
        <v>4344.8</v>
      </c>
    </row>
    <row r="10" customFormat="false" ht="15" hidden="false" customHeight="false" outlineLevel="0" collapsed="false">
      <c r="A10" s="6" t="s">
        <v>51</v>
      </c>
      <c r="B10" s="6" t="s">
        <v>1478</v>
      </c>
      <c r="C10" s="8" t="n">
        <v>7937551</v>
      </c>
      <c r="D10" s="8" t="n">
        <v>1746261</v>
      </c>
      <c r="E10" s="8" t="n">
        <v>6191290</v>
      </c>
      <c r="F10" s="7" t="n">
        <v>8.5</v>
      </c>
      <c r="G10" s="7" t="n">
        <v>674.7</v>
      </c>
      <c r="H10" s="7" t="n">
        <v>1.591</v>
      </c>
      <c r="I10" s="7" t="n">
        <v>0.71</v>
      </c>
      <c r="J10" s="7" t="n">
        <v>4395.8</v>
      </c>
    </row>
    <row r="11" customFormat="false" ht="15" hidden="false" customHeight="false" outlineLevel="0" collapsed="false">
      <c r="A11" s="6" t="s">
        <v>59</v>
      </c>
      <c r="B11" s="6" t="s">
        <v>1470</v>
      </c>
      <c r="C11" s="8" t="n">
        <v>6299209</v>
      </c>
      <c r="D11" s="8" t="n">
        <v>881889</v>
      </c>
      <c r="E11" s="8" t="n">
        <v>5417319</v>
      </c>
      <c r="F11" s="7" t="n">
        <v>8.5</v>
      </c>
      <c r="G11" s="7" t="n">
        <v>535.4</v>
      </c>
      <c r="H11" s="7" t="n">
        <v>1.73</v>
      </c>
      <c r="I11" s="7" t="n">
        <v>0.71</v>
      </c>
      <c r="J11" s="7" t="n">
        <v>3846.3</v>
      </c>
    </row>
    <row r="12" customFormat="false" ht="15" hidden="false" customHeight="false" outlineLevel="0" collapsed="false">
      <c r="A12" s="6" t="s">
        <v>59</v>
      </c>
      <c r="B12" s="6" t="s">
        <v>1471</v>
      </c>
      <c r="C12" s="8" t="n">
        <v>6417244</v>
      </c>
      <c r="D12" s="8" t="n">
        <v>898414</v>
      </c>
      <c r="E12" s="8" t="n">
        <v>5518830</v>
      </c>
      <c r="F12" s="7" t="n">
        <v>8.5</v>
      </c>
      <c r="G12" s="7" t="n">
        <v>545.5</v>
      </c>
      <c r="H12" s="7" t="n">
        <v>1.761</v>
      </c>
      <c r="I12" s="7" t="n">
        <v>0.71</v>
      </c>
      <c r="J12" s="7" t="n">
        <v>3918.4</v>
      </c>
    </row>
    <row r="13" customFormat="false" ht="15" hidden="false" customHeight="false" outlineLevel="0" collapsed="false">
      <c r="A13" s="6" t="s">
        <v>59</v>
      </c>
      <c r="B13" s="6" t="s">
        <v>1472</v>
      </c>
      <c r="C13" s="8" t="n">
        <v>6420252</v>
      </c>
      <c r="D13" s="8" t="n">
        <v>898835</v>
      </c>
      <c r="E13" s="8" t="n">
        <v>5521417</v>
      </c>
      <c r="F13" s="7" t="n">
        <v>8.5</v>
      </c>
      <c r="G13" s="7" t="n">
        <v>545.7</v>
      </c>
      <c r="H13" s="7" t="n">
        <v>1.732</v>
      </c>
      <c r="I13" s="7" t="n">
        <v>0.71</v>
      </c>
      <c r="J13" s="7" t="n">
        <v>3920.2</v>
      </c>
    </row>
    <row r="14" customFormat="false" ht="15" hidden="false" customHeight="false" outlineLevel="0" collapsed="false">
      <c r="A14" s="6" t="s">
        <v>59</v>
      </c>
      <c r="B14" s="6" t="s">
        <v>1473</v>
      </c>
      <c r="C14" s="8" t="n">
        <v>6854332</v>
      </c>
      <c r="D14" s="8" t="n">
        <v>959606</v>
      </c>
      <c r="E14" s="8" t="n">
        <v>5894726</v>
      </c>
      <c r="F14" s="7" t="n">
        <v>8.5</v>
      </c>
      <c r="G14" s="7" t="n">
        <v>582.6</v>
      </c>
      <c r="H14" s="7" t="n">
        <v>1.745</v>
      </c>
      <c r="I14" s="7" t="n">
        <v>0.71</v>
      </c>
      <c r="J14" s="7" t="n">
        <v>4185.3</v>
      </c>
    </row>
    <row r="15" customFormat="false" ht="15" hidden="false" customHeight="false" outlineLevel="0" collapsed="false">
      <c r="A15" s="6" t="s">
        <v>59</v>
      </c>
      <c r="B15" s="6" t="s">
        <v>1474</v>
      </c>
      <c r="C15" s="8" t="n">
        <v>6474917</v>
      </c>
      <c r="D15" s="8" t="n">
        <v>906488</v>
      </c>
      <c r="E15" s="8" t="n">
        <v>5568428</v>
      </c>
      <c r="F15" s="7" t="n">
        <v>8.5</v>
      </c>
      <c r="G15" s="7" t="n">
        <v>550.4</v>
      </c>
      <c r="H15" s="7" t="n">
        <v>1.737</v>
      </c>
      <c r="I15" s="7" t="n">
        <v>0.71</v>
      </c>
      <c r="J15" s="7" t="n">
        <v>3953.6</v>
      </c>
    </row>
    <row r="16" customFormat="false" ht="15" hidden="false" customHeight="false" outlineLevel="0" collapsed="false">
      <c r="A16" s="6" t="s">
        <v>59</v>
      </c>
      <c r="B16" s="6" t="s">
        <v>1475</v>
      </c>
      <c r="C16" s="8" t="n">
        <v>6549779</v>
      </c>
      <c r="D16" s="8" t="n">
        <v>916969</v>
      </c>
      <c r="E16" s="8" t="n">
        <v>5632810</v>
      </c>
      <c r="F16" s="7" t="n">
        <v>8.5</v>
      </c>
      <c r="G16" s="7" t="n">
        <v>556.7</v>
      </c>
      <c r="H16" s="7" t="n">
        <v>1.773</v>
      </c>
      <c r="I16" s="7" t="n">
        <v>0.71</v>
      </c>
      <c r="J16" s="7" t="n">
        <v>3999.3</v>
      </c>
    </row>
    <row r="17" customFormat="false" ht="15" hidden="false" customHeight="false" outlineLevel="0" collapsed="false">
      <c r="A17" s="6" t="s">
        <v>59</v>
      </c>
      <c r="B17" s="6" t="s">
        <v>1476</v>
      </c>
      <c r="C17" s="8" t="n">
        <v>6395861</v>
      </c>
      <c r="D17" s="8" t="n">
        <v>895421</v>
      </c>
      <c r="E17" s="8" t="n">
        <v>5500440</v>
      </c>
      <c r="F17" s="7" t="n">
        <v>8.5</v>
      </c>
      <c r="G17" s="7" t="n">
        <v>543.6</v>
      </c>
      <c r="H17" s="7" t="n">
        <v>1.756</v>
      </c>
      <c r="I17" s="7" t="n">
        <v>0.71</v>
      </c>
      <c r="J17" s="7" t="n">
        <v>3905.3</v>
      </c>
    </row>
    <row r="18" customFormat="false" ht="15" hidden="false" customHeight="false" outlineLevel="0" collapsed="false">
      <c r="A18" s="6" t="s">
        <v>59</v>
      </c>
      <c r="B18" s="6" t="s">
        <v>1477</v>
      </c>
      <c r="C18" s="8" t="n">
        <v>6443298</v>
      </c>
      <c r="D18" s="8" t="n">
        <v>902062</v>
      </c>
      <c r="E18" s="8" t="n">
        <v>5541237</v>
      </c>
      <c r="F18" s="7" t="n">
        <v>8.5</v>
      </c>
      <c r="G18" s="7" t="n">
        <v>547.7</v>
      </c>
      <c r="H18" s="7" t="n">
        <v>1.765</v>
      </c>
      <c r="I18" s="7" t="n">
        <v>0.71</v>
      </c>
      <c r="J18" s="7" t="n">
        <v>3934.3</v>
      </c>
    </row>
    <row r="19" customFormat="false" ht="15" hidden="false" customHeight="false" outlineLevel="0" collapsed="false">
      <c r="A19" s="6" t="s">
        <v>59</v>
      </c>
      <c r="B19" s="6" t="s">
        <v>1478</v>
      </c>
      <c r="C19" s="8" t="n">
        <v>6309317</v>
      </c>
      <c r="D19" s="8" t="n">
        <v>883304</v>
      </c>
      <c r="E19" s="8" t="n">
        <v>5426012</v>
      </c>
      <c r="F19" s="7" t="n">
        <v>8.5</v>
      </c>
      <c r="G19" s="7" t="n">
        <v>536.3</v>
      </c>
      <c r="H19" s="7" t="n">
        <v>1.774</v>
      </c>
      <c r="I19" s="7" t="n">
        <v>0.71</v>
      </c>
      <c r="J19" s="7" t="n">
        <v>3852.5</v>
      </c>
    </row>
    <row r="20" customFormat="false" ht="15" hidden="false" customHeight="false" outlineLevel="0" collapsed="false">
      <c r="A20" s="6" t="s">
        <v>63</v>
      </c>
      <c r="B20" s="6" t="s">
        <v>1470</v>
      </c>
      <c r="C20" s="8" t="n">
        <v>6303174</v>
      </c>
      <c r="D20" s="8" t="n">
        <v>1953984</v>
      </c>
      <c r="E20" s="8" t="n">
        <v>4349190</v>
      </c>
      <c r="F20" s="7" t="n">
        <v>7.9</v>
      </c>
      <c r="G20" s="7" t="n">
        <v>498</v>
      </c>
      <c r="H20" s="7" t="n">
        <v>1.648</v>
      </c>
      <c r="I20" s="7" t="n">
        <v>0.71</v>
      </c>
      <c r="J20" s="7" t="n">
        <v>3087.9</v>
      </c>
    </row>
    <row r="21" customFormat="false" ht="15" hidden="false" customHeight="false" outlineLevel="0" collapsed="false">
      <c r="A21" s="6" t="s">
        <v>63</v>
      </c>
      <c r="B21" s="6" t="s">
        <v>1471</v>
      </c>
      <c r="C21" s="8" t="n">
        <v>6482324</v>
      </c>
      <c r="D21" s="8" t="n">
        <v>2009520</v>
      </c>
      <c r="E21" s="8" t="n">
        <v>4472804</v>
      </c>
      <c r="F21" s="7" t="n">
        <v>7.9</v>
      </c>
      <c r="G21" s="7" t="n">
        <v>512.1</v>
      </c>
      <c r="H21" s="7" t="n">
        <v>1.625</v>
      </c>
      <c r="I21" s="7" t="n">
        <v>0.71</v>
      </c>
      <c r="J21" s="7" t="n">
        <v>3175.7</v>
      </c>
    </row>
    <row r="22" customFormat="false" ht="15" hidden="false" customHeight="false" outlineLevel="0" collapsed="false">
      <c r="A22" s="6" t="s">
        <v>63</v>
      </c>
      <c r="B22" s="6" t="s">
        <v>1472</v>
      </c>
      <c r="C22" s="8" t="n">
        <v>6523834</v>
      </c>
      <c r="D22" s="8" t="n">
        <v>2022388</v>
      </c>
      <c r="E22" s="8" t="n">
        <v>4501445</v>
      </c>
      <c r="F22" s="7" t="n">
        <v>7.9</v>
      </c>
      <c r="G22" s="7" t="n">
        <v>515.4</v>
      </c>
      <c r="H22" s="7" t="n">
        <v>1.651</v>
      </c>
      <c r="I22" s="7" t="n">
        <v>0.71</v>
      </c>
      <c r="J22" s="7" t="n">
        <v>3196</v>
      </c>
    </row>
    <row r="23" customFormat="false" ht="15" hidden="false" customHeight="false" outlineLevel="0" collapsed="false">
      <c r="A23" s="6" t="s">
        <v>63</v>
      </c>
      <c r="B23" s="6" t="s">
        <v>1473</v>
      </c>
      <c r="C23" s="8" t="n">
        <v>6708156</v>
      </c>
      <c r="D23" s="8" t="n">
        <v>2079528</v>
      </c>
      <c r="E23" s="8" t="n">
        <v>4628628</v>
      </c>
      <c r="F23" s="7" t="n">
        <v>7.9</v>
      </c>
      <c r="G23" s="7" t="n">
        <v>529.9</v>
      </c>
      <c r="H23" s="7" t="n">
        <v>1.628</v>
      </c>
      <c r="I23" s="7" t="n">
        <v>0.71</v>
      </c>
      <c r="J23" s="7" t="n">
        <v>3286.3</v>
      </c>
    </row>
    <row r="24" customFormat="false" ht="15" hidden="false" customHeight="false" outlineLevel="0" collapsed="false">
      <c r="A24" s="6" t="s">
        <v>63</v>
      </c>
      <c r="B24" s="6" t="s">
        <v>1474</v>
      </c>
      <c r="C24" s="8" t="n">
        <v>6721322</v>
      </c>
      <c r="D24" s="8" t="n">
        <v>2083610</v>
      </c>
      <c r="E24" s="8" t="n">
        <v>4637712</v>
      </c>
      <c r="F24" s="7" t="n">
        <v>7.9</v>
      </c>
      <c r="G24" s="7" t="n">
        <v>531</v>
      </c>
      <c r="H24" s="7" t="n">
        <v>1.63</v>
      </c>
      <c r="I24" s="7" t="n">
        <v>0.71</v>
      </c>
      <c r="J24" s="7" t="n">
        <v>3292.8</v>
      </c>
    </row>
    <row r="25" customFormat="false" ht="15" hidden="false" customHeight="false" outlineLevel="0" collapsed="false">
      <c r="A25" s="6" t="s">
        <v>63</v>
      </c>
      <c r="B25" s="6" t="s">
        <v>1475</v>
      </c>
      <c r="C25" s="8" t="n">
        <v>6979248</v>
      </c>
      <c r="D25" s="8" t="n">
        <v>2163567</v>
      </c>
      <c r="E25" s="8" t="n">
        <v>4815681</v>
      </c>
      <c r="F25" s="7" t="n">
        <v>7.9</v>
      </c>
      <c r="G25" s="7" t="n">
        <v>551.4</v>
      </c>
      <c r="H25" s="7" t="n">
        <v>1.619</v>
      </c>
      <c r="I25" s="7" t="n">
        <v>0.71</v>
      </c>
      <c r="J25" s="7" t="n">
        <v>3419.1</v>
      </c>
    </row>
    <row r="26" customFormat="false" ht="15" hidden="false" customHeight="false" outlineLevel="0" collapsed="false">
      <c r="A26" s="6" t="s">
        <v>63</v>
      </c>
      <c r="B26" s="6" t="s">
        <v>1476</v>
      </c>
      <c r="C26" s="8" t="n">
        <v>6269913</v>
      </c>
      <c r="D26" s="8" t="n">
        <v>1943673</v>
      </c>
      <c r="E26" s="8" t="n">
        <v>4326240</v>
      </c>
      <c r="F26" s="7" t="n">
        <v>7.9</v>
      </c>
      <c r="G26" s="7" t="n">
        <v>495.3</v>
      </c>
      <c r="H26" s="7" t="n">
        <v>1.617</v>
      </c>
      <c r="I26" s="7" t="n">
        <v>0.71</v>
      </c>
      <c r="J26" s="7" t="n">
        <v>3071.6</v>
      </c>
    </row>
    <row r="27" customFormat="false" ht="15" hidden="false" customHeight="false" outlineLevel="0" collapsed="false">
      <c r="A27" s="6" t="s">
        <v>63</v>
      </c>
      <c r="B27" s="6" t="s">
        <v>1477</v>
      </c>
      <c r="C27" s="8" t="n">
        <v>6252369</v>
      </c>
      <c r="D27" s="8" t="n">
        <v>1938234</v>
      </c>
      <c r="E27" s="8" t="n">
        <v>4314135</v>
      </c>
      <c r="F27" s="7" t="n">
        <v>7.9</v>
      </c>
      <c r="G27" s="7" t="n">
        <v>493.9</v>
      </c>
      <c r="H27" s="7" t="n">
        <v>1.638</v>
      </c>
      <c r="I27" s="7" t="n">
        <v>0.71</v>
      </c>
      <c r="J27" s="7" t="n">
        <v>3063</v>
      </c>
    </row>
    <row r="28" customFormat="false" ht="15" hidden="false" customHeight="false" outlineLevel="0" collapsed="false">
      <c r="A28" s="6" t="s">
        <v>63</v>
      </c>
      <c r="B28" s="6" t="s">
        <v>1478</v>
      </c>
      <c r="C28" s="8" t="n">
        <v>6302625</v>
      </c>
      <c r="D28" s="8" t="n">
        <v>1953814</v>
      </c>
      <c r="E28" s="8" t="n">
        <v>4348811</v>
      </c>
      <c r="F28" s="7" t="n">
        <v>7.9</v>
      </c>
      <c r="G28" s="7" t="n">
        <v>497.9</v>
      </c>
      <c r="H28" s="7" t="n">
        <v>1.647</v>
      </c>
      <c r="I28" s="7" t="n">
        <v>0.71</v>
      </c>
      <c r="J28" s="7" t="n">
        <v>3087.7</v>
      </c>
    </row>
    <row r="29" customFormat="false" ht="15" hidden="false" customHeight="false" outlineLevel="0" collapsed="false">
      <c r="A29" s="6" t="s">
        <v>69</v>
      </c>
      <c r="B29" s="6" t="s">
        <v>1470</v>
      </c>
      <c r="C29" s="8" t="n">
        <v>7371792</v>
      </c>
      <c r="D29" s="8" t="n">
        <v>5012818</v>
      </c>
      <c r="E29" s="8" t="n">
        <v>2358973</v>
      </c>
      <c r="F29" s="7" t="n">
        <v>7.2</v>
      </c>
      <c r="G29" s="7" t="n">
        <v>530.8</v>
      </c>
      <c r="H29" s="7" t="n">
        <v>1.363</v>
      </c>
      <c r="I29" s="7" t="n">
        <v>0.71</v>
      </c>
      <c r="J29" s="7" t="n">
        <v>1674.9</v>
      </c>
    </row>
    <row r="30" customFormat="false" ht="15" hidden="false" customHeight="false" outlineLevel="0" collapsed="false">
      <c r="A30" s="6" t="s">
        <v>69</v>
      </c>
      <c r="B30" s="6" t="s">
        <v>1471</v>
      </c>
      <c r="C30" s="8" t="n">
        <v>7751611</v>
      </c>
      <c r="D30" s="8" t="n">
        <v>5271096</v>
      </c>
      <c r="E30" s="8" t="n">
        <v>2480516</v>
      </c>
      <c r="F30" s="7" t="n">
        <v>7.2</v>
      </c>
      <c r="G30" s="7" t="n">
        <v>558.1</v>
      </c>
      <c r="H30" s="7" t="n">
        <v>1.365</v>
      </c>
      <c r="I30" s="7" t="n">
        <v>0.71</v>
      </c>
      <c r="J30" s="7" t="n">
        <v>1761.2</v>
      </c>
    </row>
    <row r="31" customFormat="false" ht="15" hidden="false" customHeight="false" outlineLevel="0" collapsed="false">
      <c r="A31" s="6" t="s">
        <v>69</v>
      </c>
      <c r="B31" s="6" t="s">
        <v>1472</v>
      </c>
      <c r="C31" s="8" t="n">
        <v>7687933</v>
      </c>
      <c r="D31" s="8" t="n">
        <v>5227794</v>
      </c>
      <c r="E31" s="8" t="n">
        <v>2460139</v>
      </c>
      <c r="F31" s="7" t="n">
        <v>7.2</v>
      </c>
      <c r="G31" s="7" t="n">
        <v>553.5</v>
      </c>
      <c r="H31" s="7" t="n">
        <v>1.366</v>
      </c>
      <c r="I31" s="7" t="n">
        <v>0.71</v>
      </c>
      <c r="J31" s="7" t="n">
        <v>1746.7</v>
      </c>
    </row>
    <row r="32" customFormat="false" ht="15" hidden="false" customHeight="false" outlineLevel="0" collapsed="false">
      <c r="A32" s="6" t="s">
        <v>69</v>
      </c>
      <c r="B32" s="6" t="s">
        <v>1473</v>
      </c>
      <c r="C32" s="8" t="n">
        <v>7871160</v>
      </c>
      <c r="D32" s="8" t="n">
        <v>5352389</v>
      </c>
      <c r="E32" s="8" t="n">
        <v>2518771</v>
      </c>
      <c r="F32" s="7" t="n">
        <v>7.2</v>
      </c>
      <c r="G32" s="7" t="n">
        <v>566.7</v>
      </c>
      <c r="H32" s="7" t="n">
        <v>1.336</v>
      </c>
      <c r="I32" s="7" t="n">
        <v>0.71</v>
      </c>
      <c r="J32" s="7" t="n">
        <v>1788.3</v>
      </c>
    </row>
    <row r="33" customFormat="false" ht="15" hidden="false" customHeight="false" outlineLevel="0" collapsed="false">
      <c r="A33" s="6" t="s">
        <v>69</v>
      </c>
      <c r="B33" s="6" t="s">
        <v>1474</v>
      </c>
      <c r="C33" s="8" t="n">
        <v>8198350</v>
      </c>
      <c r="D33" s="8" t="n">
        <v>5574878</v>
      </c>
      <c r="E33" s="8" t="n">
        <v>2623472</v>
      </c>
      <c r="F33" s="7" t="n">
        <v>7.2</v>
      </c>
      <c r="G33" s="7" t="n">
        <v>590.3</v>
      </c>
      <c r="H33" s="7" t="n">
        <v>1.336</v>
      </c>
      <c r="I33" s="7" t="n">
        <v>0.71</v>
      </c>
      <c r="J33" s="7" t="n">
        <v>1862.7</v>
      </c>
    </row>
    <row r="34" customFormat="false" ht="15" hidden="false" customHeight="false" outlineLevel="0" collapsed="false">
      <c r="A34" s="6" t="s">
        <v>69</v>
      </c>
      <c r="B34" s="6" t="s">
        <v>1475</v>
      </c>
      <c r="C34" s="8" t="n">
        <v>7851453</v>
      </c>
      <c r="D34" s="8" t="n">
        <v>5338988</v>
      </c>
      <c r="E34" s="8" t="n">
        <v>2512465</v>
      </c>
      <c r="F34" s="7" t="n">
        <v>7.2</v>
      </c>
      <c r="G34" s="7" t="n">
        <v>565.3</v>
      </c>
      <c r="H34" s="7" t="n">
        <v>1.342</v>
      </c>
      <c r="I34" s="7" t="n">
        <v>0.71</v>
      </c>
      <c r="J34" s="7" t="n">
        <v>1783.9</v>
      </c>
    </row>
    <row r="35" customFormat="false" ht="15" hidden="false" customHeight="false" outlineLevel="0" collapsed="false">
      <c r="A35" s="6" t="s">
        <v>69</v>
      </c>
      <c r="B35" s="6" t="s">
        <v>1476</v>
      </c>
      <c r="C35" s="8" t="n">
        <v>7306631</v>
      </c>
      <c r="D35" s="8" t="n">
        <v>4968509</v>
      </c>
      <c r="E35" s="8" t="n">
        <v>2338122</v>
      </c>
      <c r="F35" s="7" t="n">
        <v>7.2</v>
      </c>
      <c r="G35" s="7" t="n">
        <v>526.1</v>
      </c>
      <c r="H35" s="7" t="n">
        <v>1.331</v>
      </c>
      <c r="I35" s="7" t="n">
        <v>0.71</v>
      </c>
      <c r="J35" s="7" t="n">
        <v>1660.1</v>
      </c>
    </row>
    <row r="36" customFormat="false" ht="15" hidden="false" customHeight="false" outlineLevel="0" collapsed="false">
      <c r="A36" s="6" t="s">
        <v>69</v>
      </c>
      <c r="B36" s="6" t="s">
        <v>1477</v>
      </c>
      <c r="C36" s="8" t="n">
        <v>7510060</v>
      </c>
      <c r="D36" s="8" t="n">
        <v>5106841</v>
      </c>
      <c r="E36" s="8" t="n">
        <v>2403219</v>
      </c>
      <c r="F36" s="7" t="n">
        <v>7.2</v>
      </c>
      <c r="G36" s="7" t="n">
        <v>540.7</v>
      </c>
      <c r="H36" s="7" t="n">
        <v>1.333</v>
      </c>
      <c r="I36" s="7" t="n">
        <v>0.71</v>
      </c>
      <c r="J36" s="7" t="n">
        <v>1706.3</v>
      </c>
    </row>
    <row r="37" customFormat="false" ht="15" hidden="false" customHeight="false" outlineLevel="0" collapsed="false">
      <c r="A37" s="6" t="s">
        <v>69</v>
      </c>
      <c r="B37" s="6" t="s">
        <v>1478</v>
      </c>
      <c r="C37" s="8" t="n">
        <v>7653061</v>
      </c>
      <c r="D37" s="8" t="n">
        <v>5204081</v>
      </c>
      <c r="E37" s="8" t="n">
        <v>2448979</v>
      </c>
      <c r="F37" s="7" t="n">
        <v>7.2</v>
      </c>
      <c r="G37" s="7" t="n">
        <v>551</v>
      </c>
      <c r="H37" s="7" t="n">
        <v>1.339</v>
      </c>
      <c r="I37" s="7" t="n">
        <v>0.71</v>
      </c>
      <c r="J37" s="7" t="n">
        <v>1738.8</v>
      </c>
    </row>
    <row r="38" customFormat="false" ht="15" hidden="false" customHeight="false" outlineLevel="0" collapsed="false">
      <c r="A38" s="6" t="s">
        <v>75</v>
      </c>
      <c r="B38" s="6" t="s">
        <v>1470</v>
      </c>
      <c r="C38" s="8" t="n">
        <v>9395094</v>
      </c>
      <c r="D38" s="8" t="n">
        <v>1785068</v>
      </c>
      <c r="E38" s="8" t="n">
        <v>7610027</v>
      </c>
      <c r="F38" s="7" t="n">
        <v>8.15</v>
      </c>
      <c r="G38" s="7" t="n">
        <v>765.7</v>
      </c>
      <c r="H38" s="7" t="n">
        <v>1.683</v>
      </c>
      <c r="I38" s="7" t="n">
        <v>0.71</v>
      </c>
      <c r="J38" s="7" t="n">
        <v>5403.1</v>
      </c>
    </row>
    <row r="39" customFormat="false" ht="15" hidden="false" customHeight="false" outlineLevel="0" collapsed="false">
      <c r="A39" s="6" t="s">
        <v>75</v>
      </c>
      <c r="B39" s="6" t="s">
        <v>1471</v>
      </c>
      <c r="C39" s="8" t="n">
        <v>8886599</v>
      </c>
      <c r="D39" s="8" t="n">
        <v>1688454</v>
      </c>
      <c r="E39" s="8" t="n">
        <v>7198145</v>
      </c>
      <c r="F39" s="7" t="n">
        <v>8.15</v>
      </c>
      <c r="G39" s="7" t="n">
        <v>724.3</v>
      </c>
      <c r="H39" s="7" t="n">
        <v>1.674</v>
      </c>
      <c r="I39" s="7" t="n">
        <v>0.71</v>
      </c>
      <c r="J39" s="7" t="n">
        <v>5110.7</v>
      </c>
    </row>
    <row r="40" customFormat="false" ht="15" hidden="false" customHeight="false" outlineLevel="0" collapsed="false">
      <c r="A40" s="6" t="s">
        <v>75</v>
      </c>
      <c r="B40" s="6" t="s">
        <v>1472</v>
      </c>
      <c r="C40" s="8" t="n">
        <v>9014839</v>
      </c>
      <c r="D40" s="8" t="n">
        <v>1712819</v>
      </c>
      <c r="E40" s="8" t="n">
        <v>7302019</v>
      </c>
      <c r="F40" s="7" t="n">
        <v>8.15</v>
      </c>
      <c r="G40" s="7" t="n">
        <v>734.7</v>
      </c>
      <c r="H40" s="7" t="n">
        <v>1.667</v>
      </c>
      <c r="I40" s="7" t="n">
        <v>0.71</v>
      </c>
      <c r="J40" s="7" t="n">
        <v>5184.4</v>
      </c>
    </row>
    <row r="41" customFormat="false" ht="15" hidden="false" customHeight="false" outlineLevel="0" collapsed="false">
      <c r="A41" s="6" t="s">
        <v>75</v>
      </c>
      <c r="B41" s="6" t="s">
        <v>1473</v>
      </c>
      <c r="C41" s="8" t="n">
        <v>9727015</v>
      </c>
      <c r="D41" s="8" t="n">
        <v>1848133</v>
      </c>
      <c r="E41" s="8" t="n">
        <v>7878882</v>
      </c>
      <c r="F41" s="7" t="n">
        <v>8.15</v>
      </c>
      <c r="G41" s="7" t="n">
        <v>792.8</v>
      </c>
      <c r="H41" s="7" t="n">
        <v>1.697</v>
      </c>
      <c r="I41" s="7" t="n">
        <v>0.71</v>
      </c>
      <c r="J41" s="7" t="n">
        <v>5594</v>
      </c>
    </row>
    <row r="42" customFormat="false" ht="15" hidden="false" customHeight="false" outlineLevel="0" collapsed="false">
      <c r="A42" s="6" t="s">
        <v>75</v>
      </c>
      <c r="B42" s="6" t="s">
        <v>1474</v>
      </c>
      <c r="C42" s="8" t="n">
        <v>9674948</v>
      </c>
      <c r="D42" s="8" t="n">
        <v>1838240</v>
      </c>
      <c r="E42" s="8" t="n">
        <v>7836708</v>
      </c>
      <c r="F42" s="7" t="n">
        <v>8.15</v>
      </c>
      <c r="G42" s="7" t="n">
        <v>788.5</v>
      </c>
      <c r="H42" s="7" t="n">
        <v>1.706</v>
      </c>
      <c r="I42" s="7" t="n">
        <v>0.71</v>
      </c>
      <c r="J42" s="7" t="n">
        <v>5564.1</v>
      </c>
    </row>
    <row r="43" customFormat="false" ht="15" hidden="false" customHeight="false" outlineLevel="0" collapsed="false">
      <c r="A43" s="6" t="s">
        <v>75</v>
      </c>
      <c r="B43" s="6" t="s">
        <v>1475</v>
      </c>
      <c r="C43" s="8" t="n">
        <v>9525345</v>
      </c>
      <c r="D43" s="8" t="n">
        <v>1809816</v>
      </c>
      <c r="E43" s="8" t="n">
        <v>7715530</v>
      </c>
      <c r="F43" s="7" t="n">
        <v>8.15</v>
      </c>
      <c r="G43" s="7" t="n">
        <v>776.3</v>
      </c>
      <c r="H43" s="7" t="n">
        <v>1.663</v>
      </c>
      <c r="I43" s="7" t="n">
        <v>0.71</v>
      </c>
      <c r="J43" s="7" t="n">
        <v>5478</v>
      </c>
    </row>
    <row r="44" customFormat="false" ht="15" hidden="false" customHeight="false" outlineLevel="0" collapsed="false">
      <c r="A44" s="6" t="s">
        <v>75</v>
      </c>
      <c r="B44" s="6" t="s">
        <v>1476</v>
      </c>
      <c r="C44" s="8" t="n">
        <v>9202290</v>
      </c>
      <c r="D44" s="8" t="n">
        <v>1748435</v>
      </c>
      <c r="E44" s="8" t="n">
        <v>7453855</v>
      </c>
      <c r="F44" s="7" t="n">
        <v>8.15</v>
      </c>
      <c r="G44" s="7" t="n">
        <v>750</v>
      </c>
      <c r="H44" s="7" t="n">
        <v>1.675</v>
      </c>
      <c r="I44" s="7" t="n">
        <v>0.71</v>
      </c>
      <c r="J44" s="7" t="n">
        <v>5292.2</v>
      </c>
    </row>
    <row r="45" customFormat="false" ht="15" hidden="false" customHeight="false" outlineLevel="0" collapsed="false">
      <c r="A45" s="6" t="s">
        <v>75</v>
      </c>
      <c r="B45" s="6" t="s">
        <v>1477</v>
      </c>
      <c r="C45" s="8" t="n">
        <v>8906726</v>
      </c>
      <c r="D45" s="8" t="n">
        <v>1692278</v>
      </c>
      <c r="E45" s="8" t="n">
        <v>7214448</v>
      </c>
      <c r="F45" s="7" t="n">
        <v>8.15</v>
      </c>
      <c r="G45" s="7" t="n">
        <v>725.9</v>
      </c>
      <c r="H45" s="7" t="n">
        <v>1.682</v>
      </c>
      <c r="I45" s="7" t="n">
        <v>0.71</v>
      </c>
      <c r="J45" s="7" t="n">
        <v>5122.3</v>
      </c>
    </row>
    <row r="46" customFormat="false" ht="15" hidden="false" customHeight="false" outlineLevel="0" collapsed="false">
      <c r="A46" s="6" t="s">
        <v>75</v>
      </c>
      <c r="B46" s="6" t="s">
        <v>1478</v>
      </c>
      <c r="C46" s="8" t="n">
        <v>9222175</v>
      </c>
      <c r="D46" s="8" t="n">
        <v>1752213</v>
      </c>
      <c r="E46" s="8" t="n">
        <v>7469962</v>
      </c>
      <c r="F46" s="7" t="n">
        <v>8.15</v>
      </c>
      <c r="G46" s="7" t="n">
        <v>751.6</v>
      </c>
      <c r="H46" s="7" t="n">
        <v>1.676</v>
      </c>
      <c r="I46" s="7" t="n">
        <v>0.71</v>
      </c>
      <c r="J46" s="7" t="n">
        <v>5303.7</v>
      </c>
    </row>
    <row r="48" customFormat="false" ht="15" hidden="false" customHeight="false" outlineLevel="0" collapsed="false">
      <c r="A48" s="9" t="s">
        <v>1479</v>
      </c>
    </row>
    <row r="49" customFormat="false" ht="15" hidden="false" customHeight="false" outlineLevel="0" collapsed="false">
      <c r="A49" s="9" t="s">
        <v>1480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14"/>
    <col collapsed="false" customWidth="true" hidden="false" outlineLevel="0" max="4" min="4" style="0" width="24"/>
    <col collapsed="false" customWidth="true" hidden="false" outlineLevel="0" max="5" min="5" style="0" width="15"/>
    <col collapsed="false" customWidth="true" hidden="false" outlineLevel="0" max="6" min="6" style="0" width="18"/>
    <col collapsed="false" customWidth="true" hidden="false" outlineLevel="0" max="7" min="7" style="0" width="26"/>
    <col collapsed="false" customWidth="true" hidden="false" outlineLevel="0" max="8" min="8" style="0" width="20"/>
    <col collapsed="false" customWidth="true" hidden="false" outlineLevel="0" max="9" min="9" style="0" width="13"/>
    <col collapsed="false" customWidth="true" hidden="false" outlineLevel="0" max="10" min="10" style="0" width="17"/>
  </cols>
  <sheetData>
    <row r="1" customFormat="false" ht="30" hidden="false" customHeight="true" outlineLevel="0" collapsed="false">
      <c r="A1" s="5" t="s">
        <v>32</v>
      </c>
      <c r="B1" s="5" t="s">
        <v>1463</v>
      </c>
      <c r="C1" s="5" t="s">
        <v>1481</v>
      </c>
      <c r="D1" s="5" t="s">
        <v>1482</v>
      </c>
      <c r="E1" s="5" t="s">
        <v>1483</v>
      </c>
      <c r="F1" s="5" t="s">
        <v>1484</v>
      </c>
      <c r="G1" s="5" t="s">
        <v>1485</v>
      </c>
      <c r="H1" s="5" t="s">
        <v>1486</v>
      </c>
      <c r="I1" s="5" t="s">
        <v>1487</v>
      </c>
      <c r="J1" s="5" t="s">
        <v>1488</v>
      </c>
    </row>
    <row r="2" customFormat="false" ht="15" hidden="false" customHeight="false" outlineLevel="0" collapsed="false">
      <c r="A2" s="6" t="s">
        <v>51</v>
      </c>
      <c r="B2" s="6" t="s">
        <v>1470</v>
      </c>
      <c r="C2" s="8" t="n">
        <v>14141645</v>
      </c>
      <c r="D2" s="7" t="n">
        <v>1.803</v>
      </c>
      <c r="E2" s="8" t="n">
        <v>2545496</v>
      </c>
      <c r="F2" s="8" t="n">
        <v>11596149</v>
      </c>
      <c r="G2" s="6" t="s">
        <v>1489</v>
      </c>
      <c r="H2" s="6" t="s">
        <v>1490</v>
      </c>
      <c r="I2" s="6" t="n">
        <v>62</v>
      </c>
      <c r="J2" s="7" t="n">
        <v>327.4</v>
      </c>
    </row>
    <row r="3" customFormat="false" ht="15" hidden="false" customHeight="false" outlineLevel="0" collapsed="false">
      <c r="A3" s="6" t="s">
        <v>51</v>
      </c>
      <c r="B3" s="6" t="s">
        <v>1471</v>
      </c>
      <c r="C3" s="8" t="n">
        <v>14357052</v>
      </c>
      <c r="D3" s="7" t="n">
        <v>1.831</v>
      </c>
      <c r="E3" s="8" t="n">
        <v>2584269</v>
      </c>
      <c r="F3" s="8" t="n">
        <v>11772782</v>
      </c>
      <c r="G3" s="6" t="s">
        <v>1489</v>
      </c>
      <c r="H3" s="6" t="s">
        <v>1490</v>
      </c>
      <c r="I3" s="6" t="n">
        <v>62</v>
      </c>
      <c r="J3" s="7" t="n">
        <v>332.3</v>
      </c>
    </row>
    <row r="4" customFormat="false" ht="15" hidden="false" customHeight="false" outlineLevel="0" collapsed="false">
      <c r="A4" s="6" t="s">
        <v>51</v>
      </c>
      <c r="B4" s="6" t="s">
        <v>1472</v>
      </c>
      <c r="C4" s="8" t="n">
        <v>13804857</v>
      </c>
      <c r="D4" s="7" t="n">
        <v>1.76</v>
      </c>
      <c r="E4" s="8" t="n">
        <v>2484874</v>
      </c>
      <c r="F4" s="8" t="n">
        <v>11319983</v>
      </c>
      <c r="G4" s="6" t="s">
        <v>1489</v>
      </c>
      <c r="H4" s="6" t="s">
        <v>1490</v>
      </c>
      <c r="I4" s="6" t="n">
        <v>62</v>
      </c>
      <c r="J4" s="7" t="n">
        <v>319.6</v>
      </c>
    </row>
    <row r="5" customFormat="false" ht="15" hidden="false" customHeight="false" outlineLevel="0" collapsed="false">
      <c r="A5" s="6" t="s">
        <v>51</v>
      </c>
      <c r="B5" s="6" t="s">
        <v>1473</v>
      </c>
      <c r="C5" s="8" t="n">
        <v>15678052</v>
      </c>
      <c r="D5" s="7" t="n">
        <v>1.801</v>
      </c>
      <c r="E5" s="8" t="n">
        <v>2822049</v>
      </c>
      <c r="F5" s="8" t="n">
        <v>12856003</v>
      </c>
      <c r="G5" s="6" t="s">
        <v>1489</v>
      </c>
      <c r="H5" s="6" t="s">
        <v>1490</v>
      </c>
      <c r="I5" s="6" t="n">
        <v>62</v>
      </c>
      <c r="J5" s="7" t="n">
        <v>362.9</v>
      </c>
    </row>
    <row r="6" customFormat="false" ht="15" hidden="false" customHeight="false" outlineLevel="0" collapsed="false">
      <c r="A6" s="6" t="s">
        <v>51</v>
      </c>
      <c r="B6" s="6" t="s">
        <v>1474</v>
      </c>
      <c r="C6" s="8" t="n">
        <v>15717215</v>
      </c>
      <c r="D6" s="7" t="n">
        <v>1.805</v>
      </c>
      <c r="E6" s="8" t="n">
        <v>2829099</v>
      </c>
      <c r="F6" s="8" t="n">
        <v>12888116</v>
      </c>
      <c r="G6" s="6" t="s">
        <v>1489</v>
      </c>
      <c r="H6" s="6" t="s">
        <v>1490</v>
      </c>
      <c r="I6" s="6" t="n">
        <v>62</v>
      </c>
      <c r="J6" s="7" t="n">
        <v>363.8</v>
      </c>
    </row>
    <row r="7" customFormat="false" ht="15" hidden="false" customHeight="false" outlineLevel="0" collapsed="false">
      <c r="A7" s="6" t="s">
        <v>51</v>
      </c>
      <c r="B7" s="6" t="s">
        <v>1475</v>
      </c>
      <c r="C7" s="8" t="n">
        <v>15577839</v>
      </c>
      <c r="D7" s="7" t="n">
        <v>1.789</v>
      </c>
      <c r="E7" s="8" t="n">
        <v>2804011</v>
      </c>
      <c r="F7" s="8" t="n">
        <v>12773828</v>
      </c>
      <c r="G7" s="6" t="s">
        <v>1489</v>
      </c>
      <c r="H7" s="6" t="s">
        <v>1490</v>
      </c>
      <c r="I7" s="6" t="n">
        <v>62</v>
      </c>
      <c r="J7" s="7" t="n">
        <v>360.6</v>
      </c>
    </row>
    <row r="8" customFormat="false" ht="15" hidden="false" customHeight="false" outlineLevel="0" collapsed="false">
      <c r="A8" s="6" t="s">
        <v>51</v>
      </c>
      <c r="B8" s="6" t="s">
        <v>1476</v>
      </c>
      <c r="C8" s="8" t="n">
        <v>14226683</v>
      </c>
      <c r="D8" s="7" t="n">
        <v>1.814</v>
      </c>
      <c r="E8" s="8" t="n">
        <v>2560803</v>
      </c>
      <c r="F8" s="8" t="n">
        <v>11665880</v>
      </c>
      <c r="G8" s="6" t="s">
        <v>1489</v>
      </c>
      <c r="H8" s="6" t="s">
        <v>1490</v>
      </c>
      <c r="I8" s="6" t="n">
        <v>62</v>
      </c>
      <c r="J8" s="7" t="n">
        <v>329.3</v>
      </c>
    </row>
    <row r="9" customFormat="false" ht="15" hidden="false" customHeight="false" outlineLevel="0" collapsed="false">
      <c r="A9" s="6" t="s">
        <v>51</v>
      </c>
      <c r="B9" s="6" t="s">
        <v>1477</v>
      </c>
      <c r="C9" s="8" t="n">
        <v>14010984</v>
      </c>
      <c r="D9" s="7" t="n">
        <v>1.786</v>
      </c>
      <c r="E9" s="8" t="n">
        <v>2521977</v>
      </c>
      <c r="F9" s="8" t="n">
        <v>11489007</v>
      </c>
      <c r="G9" s="6" t="s">
        <v>1489</v>
      </c>
      <c r="H9" s="6" t="s">
        <v>1490</v>
      </c>
      <c r="I9" s="6" t="n">
        <v>62</v>
      </c>
      <c r="J9" s="7" t="n">
        <v>324.3</v>
      </c>
    </row>
    <row r="10" customFormat="false" ht="15" hidden="false" customHeight="false" outlineLevel="0" collapsed="false">
      <c r="A10" s="6" t="s">
        <v>51</v>
      </c>
      <c r="B10" s="6" t="s">
        <v>1478</v>
      </c>
      <c r="C10" s="8" t="n">
        <v>14319775</v>
      </c>
      <c r="D10" s="7" t="n">
        <v>1.826</v>
      </c>
      <c r="E10" s="8" t="n">
        <v>2577559</v>
      </c>
      <c r="F10" s="8" t="n">
        <v>11742215</v>
      </c>
      <c r="G10" s="6" t="s">
        <v>1489</v>
      </c>
      <c r="H10" s="6" t="s">
        <v>1490</v>
      </c>
      <c r="I10" s="6" t="n">
        <v>62</v>
      </c>
      <c r="J10" s="7" t="n">
        <v>331.5</v>
      </c>
    </row>
    <row r="11" customFormat="false" ht="15" hidden="false" customHeight="false" outlineLevel="0" collapsed="false">
      <c r="A11" s="6" t="s">
        <v>59</v>
      </c>
      <c r="B11" s="6" t="s">
        <v>1470</v>
      </c>
      <c r="C11" s="8" t="n">
        <v>13593610</v>
      </c>
      <c r="D11" s="7" t="n">
        <v>2.162</v>
      </c>
      <c r="E11" s="8" t="n">
        <v>1631233</v>
      </c>
      <c r="F11" s="8" t="n">
        <v>11962377</v>
      </c>
      <c r="G11" s="6" t="s">
        <v>1489</v>
      </c>
      <c r="H11" s="6" t="s">
        <v>1490</v>
      </c>
      <c r="I11" s="6" t="n">
        <v>62</v>
      </c>
      <c r="J11" s="7" t="n">
        <v>314.7</v>
      </c>
    </row>
    <row r="12" customFormat="false" ht="15" hidden="false" customHeight="false" outlineLevel="0" collapsed="false">
      <c r="A12" s="6" t="s">
        <v>59</v>
      </c>
      <c r="B12" s="6" t="s">
        <v>1471</v>
      </c>
      <c r="C12" s="8" t="n">
        <v>13568520</v>
      </c>
      <c r="D12" s="7" t="n">
        <v>2.158</v>
      </c>
      <c r="E12" s="8" t="n">
        <v>1628222</v>
      </c>
      <c r="F12" s="8" t="n">
        <v>11940297</v>
      </c>
      <c r="G12" s="6" t="s">
        <v>1489</v>
      </c>
      <c r="H12" s="6" t="s">
        <v>1490</v>
      </c>
      <c r="I12" s="6" t="n">
        <v>62</v>
      </c>
      <c r="J12" s="7" t="n">
        <v>314.1</v>
      </c>
    </row>
    <row r="13" customFormat="false" ht="15" hidden="false" customHeight="false" outlineLevel="0" collapsed="false">
      <c r="A13" s="6" t="s">
        <v>59</v>
      </c>
      <c r="B13" s="6" t="s">
        <v>1472</v>
      </c>
      <c r="C13" s="8" t="n">
        <v>13227385</v>
      </c>
      <c r="D13" s="7" t="n">
        <v>2.104</v>
      </c>
      <c r="E13" s="8" t="n">
        <v>1587286</v>
      </c>
      <c r="F13" s="8" t="n">
        <v>11640099</v>
      </c>
      <c r="G13" s="6" t="s">
        <v>1489</v>
      </c>
      <c r="H13" s="6" t="s">
        <v>1490</v>
      </c>
      <c r="I13" s="6" t="n">
        <v>62</v>
      </c>
      <c r="J13" s="7" t="n">
        <v>306.2</v>
      </c>
    </row>
    <row r="14" customFormat="false" ht="15" hidden="false" customHeight="false" outlineLevel="0" collapsed="false">
      <c r="A14" s="6" t="s">
        <v>59</v>
      </c>
      <c r="B14" s="6" t="s">
        <v>1473</v>
      </c>
      <c r="C14" s="8" t="n">
        <v>14919393</v>
      </c>
      <c r="D14" s="7" t="n">
        <v>2.138</v>
      </c>
      <c r="E14" s="8" t="n">
        <v>1790327</v>
      </c>
      <c r="F14" s="8" t="n">
        <v>13129066</v>
      </c>
      <c r="G14" s="6" t="s">
        <v>1489</v>
      </c>
      <c r="H14" s="6" t="s">
        <v>1490</v>
      </c>
      <c r="I14" s="6" t="n">
        <v>62</v>
      </c>
      <c r="J14" s="7" t="n">
        <v>345.4</v>
      </c>
    </row>
    <row r="15" customFormat="false" ht="15" hidden="false" customHeight="false" outlineLevel="0" collapsed="false">
      <c r="A15" s="6" t="s">
        <v>59</v>
      </c>
      <c r="B15" s="6" t="s">
        <v>1474</v>
      </c>
      <c r="C15" s="8" t="n">
        <v>14920124</v>
      </c>
      <c r="D15" s="7" t="n">
        <v>2.138</v>
      </c>
      <c r="E15" s="8" t="n">
        <v>1790415</v>
      </c>
      <c r="F15" s="8" t="n">
        <v>13129709</v>
      </c>
      <c r="G15" s="6" t="s">
        <v>1489</v>
      </c>
      <c r="H15" s="6" t="s">
        <v>1490</v>
      </c>
      <c r="I15" s="6" t="n">
        <v>62</v>
      </c>
      <c r="J15" s="7" t="n">
        <v>345.4</v>
      </c>
    </row>
    <row r="16" customFormat="false" ht="15" hidden="false" customHeight="false" outlineLevel="0" collapsed="false">
      <c r="A16" s="6" t="s">
        <v>59</v>
      </c>
      <c r="B16" s="6" t="s">
        <v>1475</v>
      </c>
      <c r="C16" s="8" t="n">
        <v>14850681</v>
      </c>
      <c r="D16" s="7" t="n">
        <v>2.128</v>
      </c>
      <c r="E16" s="8" t="n">
        <v>1782082</v>
      </c>
      <c r="F16" s="8" t="n">
        <v>13068599</v>
      </c>
      <c r="G16" s="6" t="s">
        <v>1489</v>
      </c>
      <c r="H16" s="6" t="s">
        <v>1490</v>
      </c>
      <c r="I16" s="6" t="n">
        <v>62</v>
      </c>
      <c r="J16" s="7" t="n">
        <v>343.8</v>
      </c>
    </row>
    <row r="17" customFormat="false" ht="15" hidden="false" customHeight="false" outlineLevel="0" collapsed="false">
      <c r="A17" s="6" t="s">
        <v>59</v>
      </c>
      <c r="B17" s="6" t="s">
        <v>1476</v>
      </c>
      <c r="C17" s="8" t="n">
        <v>13148439</v>
      </c>
      <c r="D17" s="7" t="n">
        <v>2.091</v>
      </c>
      <c r="E17" s="8" t="n">
        <v>1577813</v>
      </c>
      <c r="F17" s="8" t="n">
        <v>11570626</v>
      </c>
      <c r="G17" s="6" t="s">
        <v>1489</v>
      </c>
      <c r="H17" s="6" t="s">
        <v>1490</v>
      </c>
      <c r="I17" s="6" t="n">
        <v>62</v>
      </c>
      <c r="J17" s="7" t="n">
        <v>304.4</v>
      </c>
    </row>
    <row r="18" customFormat="false" ht="15" hidden="false" customHeight="false" outlineLevel="0" collapsed="false">
      <c r="A18" s="6" t="s">
        <v>59</v>
      </c>
      <c r="B18" s="6" t="s">
        <v>1477</v>
      </c>
      <c r="C18" s="8" t="n">
        <v>13432086</v>
      </c>
      <c r="D18" s="7" t="n">
        <v>2.136</v>
      </c>
      <c r="E18" s="8" t="n">
        <v>1611850</v>
      </c>
      <c r="F18" s="8" t="n">
        <v>11820236</v>
      </c>
      <c r="G18" s="6" t="s">
        <v>1489</v>
      </c>
      <c r="H18" s="6" t="s">
        <v>1490</v>
      </c>
      <c r="I18" s="6" t="n">
        <v>62</v>
      </c>
      <c r="J18" s="7" t="n">
        <v>310.9</v>
      </c>
    </row>
    <row r="19" customFormat="false" ht="15" hidden="false" customHeight="false" outlineLevel="0" collapsed="false">
      <c r="A19" s="6" t="s">
        <v>59</v>
      </c>
      <c r="B19" s="6" t="s">
        <v>1478</v>
      </c>
      <c r="C19" s="8" t="n">
        <v>12829808</v>
      </c>
      <c r="D19" s="7" t="n">
        <v>2.041</v>
      </c>
      <c r="E19" s="8" t="n">
        <v>1539577</v>
      </c>
      <c r="F19" s="8" t="n">
        <v>11290231</v>
      </c>
      <c r="G19" s="6" t="s">
        <v>1489</v>
      </c>
      <c r="H19" s="6" t="s">
        <v>1490</v>
      </c>
      <c r="I19" s="6" t="n">
        <v>62</v>
      </c>
      <c r="J19" s="7" t="n">
        <v>297</v>
      </c>
    </row>
    <row r="20" customFormat="false" ht="15" hidden="false" customHeight="false" outlineLevel="0" collapsed="false">
      <c r="A20" s="6" t="s">
        <v>63</v>
      </c>
      <c r="B20" s="6" t="s">
        <v>1470</v>
      </c>
      <c r="C20" s="8" t="n">
        <v>15577269</v>
      </c>
      <c r="D20" s="7" t="n">
        <v>2.421</v>
      </c>
      <c r="E20" s="8" t="n">
        <v>1401954</v>
      </c>
      <c r="F20" s="8" t="n">
        <v>14175315</v>
      </c>
      <c r="G20" s="6" t="s">
        <v>1489</v>
      </c>
      <c r="H20" s="6" t="s">
        <v>1491</v>
      </c>
      <c r="I20" s="6" t="n">
        <v>84</v>
      </c>
      <c r="J20" s="7" t="n">
        <v>360.6</v>
      </c>
    </row>
    <row r="21" customFormat="false" ht="15" hidden="false" customHeight="false" outlineLevel="0" collapsed="false">
      <c r="A21" s="6" t="s">
        <v>63</v>
      </c>
      <c r="B21" s="6" t="s">
        <v>1471</v>
      </c>
      <c r="C21" s="8" t="n">
        <v>15486438</v>
      </c>
      <c r="D21" s="7" t="n">
        <v>2.407</v>
      </c>
      <c r="E21" s="8" t="n">
        <v>1393779</v>
      </c>
      <c r="F21" s="8" t="n">
        <v>14092658</v>
      </c>
      <c r="G21" s="6" t="s">
        <v>1489</v>
      </c>
      <c r="H21" s="6" t="s">
        <v>1491</v>
      </c>
      <c r="I21" s="6" t="n">
        <v>84</v>
      </c>
      <c r="J21" s="7" t="n">
        <v>358.5</v>
      </c>
    </row>
    <row r="22" customFormat="false" ht="15" hidden="false" customHeight="false" outlineLevel="0" collapsed="false">
      <c r="A22" s="6" t="s">
        <v>63</v>
      </c>
      <c r="B22" s="6" t="s">
        <v>1472</v>
      </c>
      <c r="C22" s="8" t="n">
        <v>16025352</v>
      </c>
      <c r="D22" s="7" t="n">
        <v>2.491</v>
      </c>
      <c r="E22" s="8" t="n">
        <v>1442282</v>
      </c>
      <c r="F22" s="8" t="n">
        <v>14583070</v>
      </c>
      <c r="G22" s="6" t="s">
        <v>1489</v>
      </c>
      <c r="H22" s="6" t="s">
        <v>1491</v>
      </c>
      <c r="I22" s="6" t="n">
        <v>84</v>
      </c>
      <c r="J22" s="7" t="n">
        <v>371</v>
      </c>
    </row>
    <row r="23" customFormat="false" ht="15" hidden="false" customHeight="false" outlineLevel="0" collapsed="false">
      <c r="A23" s="6" t="s">
        <v>63</v>
      </c>
      <c r="B23" s="6" t="s">
        <v>1473</v>
      </c>
      <c r="C23" s="8" t="n">
        <v>17585928</v>
      </c>
      <c r="D23" s="7" t="n">
        <v>2.463</v>
      </c>
      <c r="E23" s="8" t="n">
        <v>1582734</v>
      </c>
      <c r="F23" s="8" t="n">
        <v>16003195</v>
      </c>
      <c r="G23" s="6" t="s">
        <v>1489</v>
      </c>
      <c r="H23" s="6" t="s">
        <v>1491</v>
      </c>
      <c r="I23" s="6" t="n">
        <v>84</v>
      </c>
      <c r="J23" s="7" t="n">
        <v>407.1</v>
      </c>
    </row>
    <row r="24" customFormat="false" ht="15" hidden="false" customHeight="false" outlineLevel="0" collapsed="false">
      <c r="A24" s="6" t="s">
        <v>63</v>
      </c>
      <c r="B24" s="6" t="s">
        <v>1474</v>
      </c>
      <c r="C24" s="8" t="n">
        <v>17914714</v>
      </c>
      <c r="D24" s="7" t="n">
        <v>2.509</v>
      </c>
      <c r="E24" s="8" t="n">
        <v>1612324</v>
      </c>
      <c r="F24" s="8" t="n">
        <v>16302390</v>
      </c>
      <c r="G24" s="6" t="s">
        <v>1489</v>
      </c>
      <c r="H24" s="6" t="s">
        <v>1491</v>
      </c>
      <c r="I24" s="6" t="n">
        <v>84</v>
      </c>
      <c r="J24" s="7" t="n">
        <v>414.7</v>
      </c>
    </row>
    <row r="25" customFormat="false" ht="15" hidden="false" customHeight="false" outlineLevel="0" collapsed="false">
      <c r="A25" s="6" t="s">
        <v>63</v>
      </c>
      <c r="B25" s="6" t="s">
        <v>1475</v>
      </c>
      <c r="C25" s="8" t="n">
        <v>17211010</v>
      </c>
      <c r="D25" s="7" t="n">
        <v>2.41</v>
      </c>
      <c r="E25" s="8" t="n">
        <v>1548991</v>
      </c>
      <c r="F25" s="8" t="n">
        <v>15662019</v>
      </c>
      <c r="G25" s="6" t="s">
        <v>1489</v>
      </c>
      <c r="H25" s="6" t="s">
        <v>1491</v>
      </c>
      <c r="I25" s="6" t="n">
        <v>84</v>
      </c>
      <c r="J25" s="7" t="n">
        <v>398.4</v>
      </c>
    </row>
    <row r="26" customFormat="false" ht="15" hidden="false" customHeight="false" outlineLevel="0" collapsed="false">
      <c r="A26" s="6" t="s">
        <v>63</v>
      </c>
      <c r="B26" s="6" t="s">
        <v>1476</v>
      </c>
      <c r="C26" s="8" t="n">
        <v>15921564</v>
      </c>
      <c r="D26" s="7" t="n">
        <v>2.475</v>
      </c>
      <c r="E26" s="8" t="n">
        <v>1432941</v>
      </c>
      <c r="F26" s="8" t="n">
        <v>14488623</v>
      </c>
      <c r="G26" s="6" t="s">
        <v>1489</v>
      </c>
      <c r="H26" s="6" t="s">
        <v>1491</v>
      </c>
      <c r="I26" s="6" t="n">
        <v>84</v>
      </c>
      <c r="J26" s="7" t="n">
        <v>368.6</v>
      </c>
    </row>
    <row r="27" customFormat="false" ht="15" hidden="false" customHeight="false" outlineLevel="0" collapsed="false">
      <c r="A27" s="6" t="s">
        <v>63</v>
      </c>
      <c r="B27" s="6" t="s">
        <v>1477</v>
      </c>
      <c r="C27" s="8" t="n">
        <v>15985088</v>
      </c>
      <c r="D27" s="7" t="n">
        <v>2.485</v>
      </c>
      <c r="E27" s="8" t="n">
        <v>1438658</v>
      </c>
      <c r="F27" s="8" t="n">
        <v>14546430</v>
      </c>
      <c r="G27" s="6" t="s">
        <v>1489</v>
      </c>
      <c r="H27" s="6" t="s">
        <v>1491</v>
      </c>
      <c r="I27" s="6" t="n">
        <v>84</v>
      </c>
      <c r="J27" s="7" t="n">
        <v>370</v>
      </c>
    </row>
    <row r="28" customFormat="false" ht="15" hidden="false" customHeight="false" outlineLevel="0" collapsed="false">
      <c r="A28" s="6" t="s">
        <v>63</v>
      </c>
      <c r="B28" s="6" t="s">
        <v>1478</v>
      </c>
      <c r="C28" s="8" t="n">
        <v>15565259</v>
      </c>
      <c r="D28" s="7" t="n">
        <v>2.419</v>
      </c>
      <c r="E28" s="8" t="n">
        <v>1400873</v>
      </c>
      <c r="F28" s="8" t="n">
        <v>14164386</v>
      </c>
      <c r="G28" s="6" t="s">
        <v>1489</v>
      </c>
      <c r="H28" s="6" t="s">
        <v>1491</v>
      </c>
      <c r="I28" s="6" t="n">
        <v>84</v>
      </c>
      <c r="J28" s="7" t="n">
        <v>360.3</v>
      </c>
    </row>
    <row r="29" customFormat="false" ht="15" hidden="false" customHeight="false" outlineLevel="0" collapsed="false">
      <c r="A29" s="6" t="s">
        <v>69</v>
      </c>
      <c r="B29" s="6" t="s">
        <v>1470</v>
      </c>
      <c r="C29" s="8" t="n">
        <v>7239674</v>
      </c>
      <c r="D29" s="7" t="n">
        <v>0.961</v>
      </c>
      <c r="E29" s="8" t="n">
        <v>3330250</v>
      </c>
      <c r="F29" s="8" t="n">
        <v>3909424</v>
      </c>
      <c r="G29" s="6" t="s">
        <v>1489</v>
      </c>
      <c r="H29" s="6" t="s">
        <v>1490</v>
      </c>
      <c r="I29" s="6" t="n">
        <v>68</v>
      </c>
      <c r="J29" s="7" t="n">
        <v>167.6</v>
      </c>
    </row>
    <row r="30" customFormat="false" ht="15" hidden="false" customHeight="false" outlineLevel="0" collapsed="false">
      <c r="A30" s="6" t="s">
        <v>69</v>
      </c>
      <c r="B30" s="6" t="s">
        <v>1471</v>
      </c>
      <c r="C30" s="8" t="n">
        <v>6969423</v>
      </c>
      <c r="D30" s="7" t="n">
        <v>0.925</v>
      </c>
      <c r="E30" s="8" t="n">
        <v>3205935</v>
      </c>
      <c r="F30" s="8" t="n">
        <v>3763489</v>
      </c>
      <c r="G30" s="6" t="s">
        <v>1489</v>
      </c>
      <c r="H30" s="6" t="s">
        <v>1490</v>
      </c>
      <c r="I30" s="6" t="n">
        <v>68</v>
      </c>
      <c r="J30" s="7" t="n">
        <v>161.3</v>
      </c>
    </row>
    <row r="31" customFormat="false" ht="15" hidden="false" customHeight="false" outlineLevel="0" collapsed="false">
      <c r="A31" s="6" t="s">
        <v>69</v>
      </c>
      <c r="B31" s="6" t="s">
        <v>1472</v>
      </c>
      <c r="C31" s="8" t="n">
        <v>7332414</v>
      </c>
      <c r="D31" s="7" t="n">
        <v>0.973</v>
      </c>
      <c r="E31" s="8" t="n">
        <v>3372910</v>
      </c>
      <c r="F31" s="8" t="n">
        <v>3959503</v>
      </c>
      <c r="G31" s="6" t="s">
        <v>1489</v>
      </c>
      <c r="H31" s="6" t="s">
        <v>1490</v>
      </c>
      <c r="I31" s="6" t="n">
        <v>68</v>
      </c>
      <c r="J31" s="7" t="n">
        <v>169.7</v>
      </c>
    </row>
    <row r="32" customFormat="false" ht="15" hidden="false" customHeight="false" outlineLevel="0" collapsed="false">
      <c r="A32" s="6" t="s">
        <v>69</v>
      </c>
      <c r="B32" s="6" t="s">
        <v>1473</v>
      </c>
      <c r="C32" s="8" t="n">
        <v>8103232</v>
      </c>
      <c r="D32" s="7" t="n">
        <v>0.969</v>
      </c>
      <c r="E32" s="8" t="n">
        <v>3727487</v>
      </c>
      <c r="F32" s="8" t="n">
        <v>4375745</v>
      </c>
      <c r="G32" s="6" t="s">
        <v>1489</v>
      </c>
      <c r="H32" s="6" t="s">
        <v>1490</v>
      </c>
      <c r="I32" s="6" t="n">
        <v>68</v>
      </c>
      <c r="J32" s="7" t="n">
        <v>187.6</v>
      </c>
    </row>
    <row r="33" customFormat="false" ht="15" hidden="false" customHeight="false" outlineLevel="0" collapsed="false">
      <c r="A33" s="6" t="s">
        <v>69</v>
      </c>
      <c r="B33" s="6" t="s">
        <v>1474</v>
      </c>
      <c r="C33" s="8" t="n">
        <v>7862731</v>
      </c>
      <c r="D33" s="7" t="n">
        <v>0.94</v>
      </c>
      <c r="E33" s="8" t="n">
        <v>3616856</v>
      </c>
      <c r="F33" s="8" t="n">
        <v>4245875</v>
      </c>
      <c r="G33" s="6" t="s">
        <v>1489</v>
      </c>
      <c r="H33" s="6" t="s">
        <v>1490</v>
      </c>
      <c r="I33" s="6" t="n">
        <v>68</v>
      </c>
      <c r="J33" s="7" t="n">
        <v>182</v>
      </c>
    </row>
    <row r="34" customFormat="false" ht="15" hidden="false" customHeight="false" outlineLevel="0" collapsed="false">
      <c r="A34" s="6" t="s">
        <v>69</v>
      </c>
      <c r="B34" s="6" t="s">
        <v>1475</v>
      </c>
      <c r="C34" s="8" t="n">
        <v>7755318</v>
      </c>
      <c r="D34" s="7" t="n">
        <v>0.928</v>
      </c>
      <c r="E34" s="8" t="n">
        <v>3567446</v>
      </c>
      <c r="F34" s="8" t="n">
        <v>4187872</v>
      </c>
      <c r="G34" s="6" t="s">
        <v>1489</v>
      </c>
      <c r="H34" s="6" t="s">
        <v>1490</v>
      </c>
      <c r="I34" s="6" t="n">
        <v>68</v>
      </c>
      <c r="J34" s="7" t="n">
        <v>179.5</v>
      </c>
    </row>
    <row r="35" customFormat="false" ht="15" hidden="false" customHeight="false" outlineLevel="0" collapsed="false">
      <c r="A35" s="6" t="s">
        <v>69</v>
      </c>
      <c r="B35" s="6" t="s">
        <v>1476</v>
      </c>
      <c r="C35" s="8" t="n">
        <v>7143436</v>
      </c>
      <c r="D35" s="7" t="n">
        <v>0.948</v>
      </c>
      <c r="E35" s="8" t="n">
        <v>3285981</v>
      </c>
      <c r="F35" s="8" t="n">
        <v>3857455</v>
      </c>
      <c r="G35" s="6" t="s">
        <v>1489</v>
      </c>
      <c r="H35" s="6" t="s">
        <v>1490</v>
      </c>
      <c r="I35" s="6" t="n">
        <v>68</v>
      </c>
      <c r="J35" s="7" t="n">
        <v>165.4</v>
      </c>
    </row>
    <row r="36" customFormat="false" ht="15" hidden="false" customHeight="false" outlineLevel="0" collapsed="false">
      <c r="A36" s="6" t="s">
        <v>69</v>
      </c>
      <c r="B36" s="6" t="s">
        <v>1477</v>
      </c>
      <c r="C36" s="8" t="n">
        <v>7106854</v>
      </c>
      <c r="D36" s="7" t="n">
        <v>0.944</v>
      </c>
      <c r="E36" s="8" t="n">
        <v>3269153</v>
      </c>
      <c r="F36" s="8" t="n">
        <v>3837701</v>
      </c>
      <c r="G36" s="6" t="s">
        <v>1489</v>
      </c>
      <c r="H36" s="6" t="s">
        <v>1490</v>
      </c>
      <c r="I36" s="6" t="n">
        <v>68</v>
      </c>
      <c r="J36" s="7" t="n">
        <v>164.5</v>
      </c>
    </row>
    <row r="37" customFormat="false" ht="15" hidden="false" customHeight="false" outlineLevel="0" collapsed="false">
      <c r="A37" s="6" t="s">
        <v>69</v>
      </c>
      <c r="B37" s="6" t="s">
        <v>1478</v>
      </c>
      <c r="C37" s="8" t="n">
        <v>7141687</v>
      </c>
      <c r="D37" s="7" t="n">
        <v>0.948</v>
      </c>
      <c r="E37" s="8" t="n">
        <v>3285176</v>
      </c>
      <c r="F37" s="8" t="n">
        <v>3856511</v>
      </c>
      <c r="G37" s="6" t="s">
        <v>1489</v>
      </c>
      <c r="H37" s="6" t="s">
        <v>1490</v>
      </c>
      <c r="I37" s="6" t="n">
        <v>68</v>
      </c>
      <c r="J37" s="7" t="n">
        <v>165.3</v>
      </c>
    </row>
    <row r="38" customFormat="false" ht="15" hidden="false" customHeight="false" outlineLevel="0" collapsed="false">
      <c r="A38" s="6" t="s">
        <v>75</v>
      </c>
      <c r="B38" s="6" t="s">
        <v>1470</v>
      </c>
      <c r="C38" s="8" t="n">
        <v>18224522</v>
      </c>
      <c r="D38" s="7" t="n">
        <v>1.989</v>
      </c>
      <c r="E38" s="8" t="n">
        <v>3827150</v>
      </c>
      <c r="F38" s="8" t="n">
        <v>14397372</v>
      </c>
      <c r="G38" s="6" t="s">
        <v>1489</v>
      </c>
      <c r="H38" s="6" t="s">
        <v>1491</v>
      </c>
      <c r="I38" s="6" t="n">
        <v>81</v>
      </c>
      <c r="J38" s="7" t="n">
        <v>421.9</v>
      </c>
    </row>
    <row r="39" customFormat="false" ht="15" hidden="false" customHeight="false" outlineLevel="0" collapsed="false">
      <c r="A39" s="6" t="s">
        <v>75</v>
      </c>
      <c r="B39" s="6" t="s">
        <v>1471</v>
      </c>
      <c r="C39" s="8" t="n">
        <v>17862458</v>
      </c>
      <c r="D39" s="7" t="n">
        <v>1.95</v>
      </c>
      <c r="E39" s="8" t="n">
        <v>3751116</v>
      </c>
      <c r="F39" s="8" t="n">
        <v>14111342</v>
      </c>
      <c r="G39" s="6" t="s">
        <v>1489</v>
      </c>
      <c r="H39" s="6" t="s">
        <v>1491</v>
      </c>
      <c r="I39" s="6" t="n">
        <v>81</v>
      </c>
      <c r="J39" s="7" t="n">
        <v>413.5</v>
      </c>
    </row>
    <row r="40" customFormat="false" ht="15" hidden="false" customHeight="false" outlineLevel="0" collapsed="false">
      <c r="A40" s="6" t="s">
        <v>75</v>
      </c>
      <c r="B40" s="6" t="s">
        <v>1472</v>
      </c>
      <c r="C40" s="8" t="n">
        <v>18310824</v>
      </c>
      <c r="D40" s="7" t="n">
        <v>1.999</v>
      </c>
      <c r="E40" s="8" t="n">
        <v>3845273</v>
      </c>
      <c r="F40" s="8" t="n">
        <v>14465551</v>
      </c>
      <c r="G40" s="6" t="s">
        <v>1489</v>
      </c>
      <c r="H40" s="6" t="s">
        <v>1491</v>
      </c>
      <c r="I40" s="6" t="n">
        <v>81</v>
      </c>
      <c r="J40" s="7" t="n">
        <v>423.9</v>
      </c>
    </row>
    <row r="41" customFormat="false" ht="15" hidden="false" customHeight="false" outlineLevel="0" collapsed="false">
      <c r="A41" s="6" t="s">
        <v>75</v>
      </c>
      <c r="B41" s="6" t="s">
        <v>1473</v>
      </c>
      <c r="C41" s="8" t="n">
        <v>20217899</v>
      </c>
      <c r="D41" s="7" t="n">
        <v>1.988</v>
      </c>
      <c r="E41" s="8" t="n">
        <v>4245759</v>
      </c>
      <c r="F41" s="8" t="n">
        <v>15972140</v>
      </c>
      <c r="G41" s="6" t="s">
        <v>1489</v>
      </c>
      <c r="H41" s="6" t="s">
        <v>1491</v>
      </c>
      <c r="I41" s="6" t="n">
        <v>81</v>
      </c>
      <c r="J41" s="7" t="n">
        <v>468</v>
      </c>
    </row>
    <row r="42" customFormat="false" ht="15" hidden="false" customHeight="false" outlineLevel="0" collapsed="false">
      <c r="A42" s="6" t="s">
        <v>75</v>
      </c>
      <c r="B42" s="6" t="s">
        <v>1474</v>
      </c>
      <c r="C42" s="8" t="n">
        <v>19341900</v>
      </c>
      <c r="D42" s="7" t="n">
        <v>1.902</v>
      </c>
      <c r="E42" s="8" t="n">
        <v>4061799</v>
      </c>
      <c r="F42" s="8" t="n">
        <v>15280101</v>
      </c>
      <c r="G42" s="6" t="s">
        <v>1489</v>
      </c>
      <c r="H42" s="6" t="s">
        <v>1491</v>
      </c>
      <c r="I42" s="6" t="n">
        <v>81</v>
      </c>
      <c r="J42" s="7" t="n">
        <v>447.7</v>
      </c>
    </row>
    <row r="43" customFormat="false" ht="15" hidden="false" customHeight="false" outlineLevel="0" collapsed="false">
      <c r="A43" s="6" t="s">
        <v>75</v>
      </c>
      <c r="B43" s="6" t="s">
        <v>1475</v>
      </c>
      <c r="C43" s="8" t="n">
        <v>19823415</v>
      </c>
      <c r="D43" s="7" t="n">
        <v>1.949</v>
      </c>
      <c r="E43" s="8" t="n">
        <v>4162917</v>
      </c>
      <c r="F43" s="8" t="n">
        <v>15660498</v>
      </c>
      <c r="G43" s="6" t="s">
        <v>1489</v>
      </c>
      <c r="H43" s="6" t="s">
        <v>1491</v>
      </c>
      <c r="I43" s="6" t="n">
        <v>81</v>
      </c>
      <c r="J43" s="7" t="n">
        <v>458.9</v>
      </c>
    </row>
    <row r="44" customFormat="false" ht="15" hidden="false" customHeight="false" outlineLevel="0" collapsed="false">
      <c r="A44" s="6" t="s">
        <v>75</v>
      </c>
      <c r="B44" s="6" t="s">
        <v>1476</v>
      </c>
      <c r="C44" s="8" t="n">
        <v>17632784</v>
      </c>
      <c r="D44" s="7" t="n">
        <v>1.925</v>
      </c>
      <c r="E44" s="8" t="n">
        <v>3702885</v>
      </c>
      <c r="F44" s="8" t="n">
        <v>13929899</v>
      </c>
      <c r="G44" s="6" t="s">
        <v>1489</v>
      </c>
      <c r="H44" s="6" t="s">
        <v>1491</v>
      </c>
      <c r="I44" s="6" t="n">
        <v>81</v>
      </c>
      <c r="J44" s="7" t="n">
        <v>408.2</v>
      </c>
    </row>
    <row r="45" customFormat="false" ht="15" hidden="false" customHeight="false" outlineLevel="0" collapsed="false">
      <c r="A45" s="6" t="s">
        <v>75</v>
      </c>
      <c r="B45" s="6" t="s">
        <v>1477</v>
      </c>
      <c r="C45" s="8" t="n">
        <v>17517747</v>
      </c>
      <c r="D45" s="7" t="n">
        <v>1.912</v>
      </c>
      <c r="E45" s="8" t="n">
        <v>3678727</v>
      </c>
      <c r="F45" s="8" t="n">
        <v>13839020</v>
      </c>
      <c r="G45" s="6" t="s">
        <v>1489</v>
      </c>
      <c r="H45" s="6" t="s">
        <v>1491</v>
      </c>
      <c r="I45" s="6" t="n">
        <v>81</v>
      </c>
      <c r="J45" s="7" t="n">
        <v>405.5</v>
      </c>
    </row>
    <row r="46" customFormat="false" ht="15" hidden="false" customHeight="false" outlineLevel="0" collapsed="false">
      <c r="A46" s="6" t="s">
        <v>75</v>
      </c>
      <c r="B46" s="6" t="s">
        <v>1478</v>
      </c>
      <c r="C46" s="8" t="n">
        <v>17620331</v>
      </c>
      <c r="D46" s="7" t="n">
        <v>1.923</v>
      </c>
      <c r="E46" s="8" t="n">
        <v>3700270</v>
      </c>
      <c r="F46" s="8" t="n">
        <v>13920062</v>
      </c>
      <c r="G46" s="6" t="s">
        <v>1489</v>
      </c>
      <c r="H46" s="6" t="s">
        <v>1491</v>
      </c>
      <c r="I46" s="6" t="n">
        <v>81</v>
      </c>
      <c r="J46" s="7" t="n">
        <v>407.9</v>
      </c>
    </row>
    <row r="48" customFormat="false" ht="15" hidden="false" customHeight="false" outlineLevel="0" collapsed="false">
      <c r="A48" s="9" t="s">
        <v>1492</v>
      </c>
    </row>
    <row r="49" customFormat="false" ht="15" hidden="false" customHeight="false" outlineLevel="0" collapsed="false">
      <c r="A49" s="9" t="s">
        <v>1493</v>
      </c>
    </row>
    <row r="50" customFormat="false" ht="15" hidden="false" customHeight="false" outlineLevel="0" collapsed="false">
      <c r="A50" s="9" t="s">
        <v>1494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13"/>
    <col collapsed="false" customWidth="true" hidden="false" outlineLevel="0" max="4" min="4" style="0" width="20"/>
    <col collapsed="false" customWidth="true" hidden="false" outlineLevel="0" max="5" min="5" style="0" width="18"/>
    <col collapsed="false" customWidth="true" hidden="false" outlineLevel="0" max="6" min="6" style="0" width="13"/>
    <col collapsed="false" customWidth="true" hidden="false" outlineLevel="0" max="7" min="7" style="0" width="12"/>
    <col collapsed="false" customWidth="true" hidden="false" outlineLevel="0" max="8" min="8" style="0" width="19"/>
    <col collapsed="false" customWidth="true" hidden="false" outlineLevel="0" max="9" min="9" style="0" width="15"/>
    <col collapsed="false" customWidth="true" hidden="false" outlineLevel="0" max="10" min="10" style="0" width="50"/>
  </cols>
  <sheetData>
    <row r="1" customFormat="false" ht="30" hidden="false" customHeight="true" outlineLevel="0" collapsed="false">
      <c r="A1" s="5" t="s">
        <v>32</v>
      </c>
      <c r="B1" s="5" t="s">
        <v>1495</v>
      </c>
      <c r="C1" s="5" t="s">
        <v>1496</v>
      </c>
      <c r="D1" s="5" t="s">
        <v>1497</v>
      </c>
      <c r="E1" s="5" t="s">
        <v>1498</v>
      </c>
      <c r="F1" s="5" t="s">
        <v>135</v>
      </c>
      <c r="G1" s="5" t="s">
        <v>1499</v>
      </c>
      <c r="H1" s="5" t="s">
        <v>1500</v>
      </c>
      <c r="I1" s="5" t="s">
        <v>1501</v>
      </c>
      <c r="J1" s="5" t="s">
        <v>97</v>
      </c>
    </row>
    <row r="2" customFormat="false" ht="15" hidden="false" customHeight="false" outlineLevel="0" collapsed="false">
      <c r="A2" s="6" t="s">
        <v>51</v>
      </c>
      <c r="B2" s="6" t="s">
        <v>1502</v>
      </c>
      <c r="C2" s="6" t="n">
        <v>33</v>
      </c>
      <c r="D2" s="8" t="n">
        <v>12000</v>
      </c>
      <c r="E2" s="8" t="n">
        <v>10744</v>
      </c>
      <c r="F2" s="8" t="n">
        <v>1256</v>
      </c>
      <c r="G2" s="6" t="n">
        <v>2</v>
      </c>
      <c r="H2" s="6" t="s">
        <v>1503</v>
      </c>
      <c r="I2" s="6" t="n">
        <v>0</v>
      </c>
      <c r="J2" s="6" t="s">
        <v>1504</v>
      </c>
    </row>
    <row r="3" customFormat="false" ht="15" hidden="false" customHeight="false" outlineLevel="0" collapsed="false">
      <c r="A3" s="6" t="s">
        <v>59</v>
      </c>
      <c r="B3" s="6" t="s">
        <v>1502</v>
      </c>
      <c r="C3" s="6" t="n">
        <v>33</v>
      </c>
      <c r="D3" s="8" t="n">
        <v>9000</v>
      </c>
      <c r="E3" s="8" t="n">
        <v>8613</v>
      </c>
      <c r="F3" s="6" t="n">
        <v>387</v>
      </c>
      <c r="G3" s="6" t="n">
        <v>2</v>
      </c>
      <c r="H3" s="6" t="s">
        <v>1503</v>
      </c>
      <c r="I3" s="6" t="n">
        <v>0</v>
      </c>
      <c r="J3" s="6" t="s">
        <v>1505</v>
      </c>
    </row>
    <row r="4" customFormat="false" ht="15" hidden="false" customHeight="false" outlineLevel="0" collapsed="false">
      <c r="A4" s="6" t="s">
        <v>63</v>
      </c>
      <c r="B4" s="6" t="s">
        <v>1506</v>
      </c>
      <c r="C4" s="6" t="n">
        <v>33</v>
      </c>
      <c r="D4" s="8" t="n">
        <v>10000</v>
      </c>
      <c r="E4" s="8" t="n">
        <v>8813</v>
      </c>
      <c r="F4" s="8" t="n">
        <v>1187</v>
      </c>
      <c r="G4" s="6" t="n">
        <v>2</v>
      </c>
      <c r="H4" s="6" t="s">
        <v>1503</v>
      </c>
      <c r="I4" s="6" t="n">
        <v>0</v>
      </c>
      <c r="J4" s="6" t="s">
        <v>1507</v>
      </c>
    </row>
    <row r="5" customFormat="false" ht="15" hidden="false" customHeight="false" outlineLevel="0" collapsed="false">
      <c r="A5" s="6" t="s">
        <v>69</v>
      </c>
      <c r="B5" s="6" t="s">
        <v>1508</v>
      </c>
      <c r="C5" s="6" t="n">
        <v>132</v>
      </c>
      <c r="D5" s="8" t="n">
        <v>22000</v>
      </c>
      <c r="E5" s="8" t="n">
        <v>10318</v>
      </c>
      <c r="F5" s="8" t="n">
        <v>11682</v>
      </c>
      <c r="G5" s="6" t="n">
        <v>2</v>
      </c>
      <c r="H5" s="6" t="s">
        <v>1503</v>
      </c>
      <c r="I5" s="6" t="n">
        <v>0</v>
      </c>
      <c r="J5" s="6" t="s">
        <v>1509</v>
      </c>
    </row>
    <row r="6" customFormat="false" ht="15" hidden="false" customHeight="false" outlineLevel="0" collapsed="false">
      <c r="A6" s="6" t="s">
        <v>75</v>
      </c>
      <c r="B6" s="6" t="s">
        <v>1510</v>
      </c>
      <c r="C6" s="6" t="n">
        <v>33</v>
      </c>
      <c r="D6" s="8" t="n">
        <v>13000</v>
      </c>
      <c r="E6" s="8" t="n">
        <v>12550</v>
      </c>
      <c r="F6" s="6" t="n">
        <v>450</v>
      </c>
      <c r="G6" s="6" t="n">
        <v>2</v>
      </c>
      <c r="H6" s="6" t="s">
        <v>1503</v>
      </c>
      <c r="I6" s="6" t="n">
        <v>0</v>
      </c>
      <c r="J6" s="6" t="s">
        <v>1511</v>
      </c>
    </row>
    <row r="7" customFormat="false" ht="15" hidden="false" customHeight="false" outlineLevel="0" collapsed="false">
      <c r="A7" s="6" t="s">
        <v>81</v>
      </c>
      <c r="B7" s="6" t="s">
        <v>1512</v>
      </c>
      <c r="C7" s="6" t="n">
        <v>220</v>
      </c>
      <c r="D7" s="8" t="n">
        <v>30000</v>
      </c>
      <c r="E7" s="6" t="n">
        <v>0</v>
      </c>
      <c r="F7" s="8" t="n">
        <v>30000</v>
      </c>
      <c r="G7" s="6" t="n">
        <v>2</v>
      </c>
      <c r="H7" s="6" t="s">
        <v>1513</v>
      </c>
      <c r="I7" s="6" t="n">
        <v>31</v>
      </c>
      <c r="J7" s="6" t="s">
        <v>1514</v>
      </c>
    </row>
    <row r="9" customFormat="false" ht="15" hidden="false" customHeight="false" outlineLevel="0" collapsed="false">
      <c r="A9" s="9" t="s">
        <v>1515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36"/>
    <col collapsed="false" customWidth="true" hidden="false" outlineLevel="0" max="3" min="3" style="0" width="15"/>
    <col collapsed="false" customWidth="true" hidden="false" outlineLevel="0" max="4" min="4" style="0" width="44"/>
    <col collapsed="false" customWidth="true" hidden="false" outlineLevel="0" max="5" min="5" style="0" width="42"/>
    <col collapsed="false" customWidth="true" hidden="false" outlineLevel="0" max="6" min="6" style="0" width="60"/>
    <col collapsed="false" customWidth="true" hidden="false" outlineLevel="0" max="7" min="7" style="0" width="16"/>
    <col collapsed="false" customWidth="true" hidden="false" outlineLevel="0" max="8" min="8" style="0" width="10"/>
  </cols>
  <sheetData>
    <row r="1" customFormat="false" ht="30" hidden="false" customHeight="true" outlineLevel="0" collapsed="false">
      <c r="A1" s="5" t="s">
        <v>1516</v>
      </c>
      <c r="B1" s="5" t="s">
        <v>1517</v>
      </c>
      <c r="C1" s="5" t="s">
        <v>1518</v>
      </c>
      <c r="D1" s="5" t="s">
        <v>1519</v>
      </c>
      <c r="E1" s="5" t="s">
        <v>1520</v>
      </c>
      <c r="F1" s="5" t="s">
        <v>1521</v>
      </c>
      <c r="G1" s="5" t="s">
        <v>1522</v>
      </c>
      <c r="H1" s="5" t="s">
        <v>40</v>
      </c>
    </row>
    <row r="2" customFormat="false" ht="15" hidden="false" customHeight="false" outlineLevel="0" collapsed="false">
      <c r="A2" s="6" t="s">
        <v>84</v>
      </c>
      <c r="B2" s="6" t="s">
        <v>1523</v>
      </c>
      <c r="C2" s="6" t="s">
        <v>1524</v>
      </c>
      <c r="D2" s="6" t="s">
        <v>1525</v>
      </c>
      <c r="E2" s="6" t="s">
        <v>1526</v>
      </c>
      <c r="F2" s="6" t="s">
        <v>1527</v>
      </c>
      <c r="G2" s="6" t="s">
        <v>81</v>
      </c>
      <c r="H2" s="6" t="s">
        <v>1528</v>
      </c>
    </row>
    <row r="3" customFormat="false" ht="15" hidden="false" customHeight="false" outlineLevel="0" collapsed="false">
      <c r="A3" s="6" t="s">
        <v>54</v>
      </c>
      <c r="B3" s="6" t="s">
        <v>1529</v>
      </c>
      <c r="C3" s="6" t="s">
        <v>1530</v>
      </c>
      <c r="D3" s="6" t="s">
        <v>1531</v>
      </c>
      <c r="E3" s="6" t="s">
        <v>1532</v>
      </c>
      <c r="F3" s="6" t="s">
        <v>1533</v>
      </c>
      <c r="G3" s="6" t="s">
        <v>1534</v>
      </c>
      <c r="H3" s="6" t="s">
        <v>1528</v>
      </c>
    </row>
    <row r="4" customFormat="false" ht="15" hidden="false" customHeight="false" outlineLevel="0" collapsed="false">
      <c r="A4" s="6" t="s">
        <v>66</v>
      </c>
      <c r="B4" s="6" t="s">
        <v>1535</v>
      </c>
      <c r="C4" s="6" t="s">
        <v>1536</v>
      </c>
      <c r="D4" s="6" t="s">
        <v>1537</v>
      </c>
      <c r="E4" s="6" t="s">
        <v>1538</v>
      </c>
      <c r="F4" s="6" t="s">
        <v>1539</v>
      </c>
      <c r="G4" s="6" t="s">
        <v>63</v>
      </c>
      <c r="H4" s="6" t="s">
        <v>1528</v>
      </c>
    </row>
    <row r="5" customFormat="false" ht="15" hidden="false" customHeight="false" outlineLevel="0" collapsed="false">
      <c r="A5" s="6" t="s">
        <v>72</v>
      </c>
      <c r="B5" s="6" t="s">
        <v>1540</v>
      </c>
      <c r="C5" s="6" t="s">
        <v>1541</v>
      </c>
      <c r="D5" s="6" t="s">
        <v>1542</v>
      </c>
      <c r="E5" s="6" t="s">
        <v>1543</v>
      </c>
      <c r="F5" s="6" t="s">
        <v>1544</v>
      </c>
      <c r="G5" s="6" t="s">
        <v>69</v>
      </c>
      <c r="H5" s="6" t="s">
        <v>1528</v>
      </c>
    </row>
    <row r="6" customFormat="false" ht="15" hidden="false" customHeight="false" outlineLevel="0" collapsed="false">
      <c r="A6" s="6" t="s">
        <v>78</v>
      </c>
      <c r="B6" s="6" t="s">
        <v>1535</v>
      </c>
      <c r="C6" s="6" t="s">
        <v>1545</v>
      </c>
      <c r="D6" s="6" t="s">
        <v>1531</v>
      </c>
      <c r="E6" s="6" t="s">
        <v>1546</v>
      </c>
      <c r="F6" s="6" t="s">
        <v>1547</v>
      </c>
      <c r="G6" s="6" t="s">
        <v>75</v>
      </c>
      <c r="H6" s="6" t="s">
        <v>1528</v>
      </c>
    </row>
    <row r="7" customFormat="false" ht="15" hidden="false" customHeight="false" outlineLevel="0" collapsed="false">
      <c r="A7" s="6" t="s">
        <v>1548</v>
      </c>
      <c r="B7" s="6" t="s">
        <v>1549</v>
      </c>
      <c r="C7" s="6" t="s">
        <v>1530</v>
      </c>
      <c r="D7" s="6" t="s">
        <v>1550</v>
      </c>
      <c r="E7" s="6" t="s">
        <v>1551</v>
      </c>
      <c r="F7" s="6" t="s">
        <v>1552</v>
      </c>
      <c r="G7" s="6" t="s">
        <v>1553</v>
      </c>
      <c r="H7" s="6" t="s">
        <v>1528</v>
      </c>
    </row>
    <row r="8" customFormat="false" ht="15" hidden="false" customHeight="false" outlineLevel="0" collapsed="false">
      <c r="A8" s="6" t="s">
        <v>1554</v>
      </c>
      <c r="B8" s="6" t="s">
        <v>1555</v>
      </c>
      <c r="C8" s="6" t="s">
        <v>1556</v>
      </c>
      <c r="D8" s="6" t="s">
        <v>1557</v>
      </c>
      <c r="E8" s="6" t="s">
        <v>1551</v>
      </c>
      <c r="F8" s="6" t="s">
        <v>1558</v>
      </c>
      <c r="G8" s="6" t="s">
        <v>1559</v>
      </c>
      <c r="H8" s="6" t="s">
        <v>1528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16"/>
    <col collapsed="false" customWidth="true" hidden="false" outlineLevel="0" max="4" min="4" style="0" width="36"/>
    <col collapsed="false" customWidth="true" hidden="false" outlineLevel="0" max="5" min="5" style="0" width="62"/>
    <col collapsed="false" customWidth="true" hidden="false" outlineLevel="0" max="6" min="6" style="0" width="34"/>
    <col collapsed="false" customWidth="true" hidden="false" outlineLevel="0" max="7" min="7" style="0" width="70"/>
  </cols>
  <sheetData>
    <row r="1" customFormat="false" ht="30" hidden="false" customHeight="true" outlineLevel="0" collapsed="false">
      <c r="A1" s="5" t="s">
        <v>1560</v>
      </c>
      <c r="B1" s="5" t="s">
        <v>33</v>
      </c>
      <c r="C1" s="5" t="s">
        <v>1561</v>
      </c>
      <c r="D1" s="5" t="s">
        <v>1562</v>
      </c>
      <c r="E1" s="5" t="s">
        <v>1563</v>
      </c>
      <c r="F1" s="5" t="s">
        <v>1564</v>
      </c>
      <c r="G1" s="5" t="s">
        <v>1565</v>
      </c>
    </row>
    <row r="2" customFormat="false" ht="15" hidden="false" customHeight="false" outlineLevel="0" collapsed="false">
      <c r="A2" s="6" t="s">
        <v>1566</v>
      </c>
      <c r="B2" s="6" t="s">
        <v>1567</v>
      </c>
      <c r="C2" s="6" t="s">
        <v>51</v>
      </c>
      <c r="D2" s="6" t="s">
        <v>1568</v>
      </c>
      <c r="E2" s="6" t="s">
        <v>1569</v>
      </c>
      <c r="F2" s="6" t="s">
        <v>1570</v>
      </c>
      <c r="G2" s="6" t="s">
        <v>1571</v>
      </c>
    </row>
    <row r="3" customFormat="false" ht="15" hidden="false" customHeight="false" outlineLevel="0" collapsed="false">
      <c r="A3" s="6" t="s">
        <v>1572</v>
      </c>
      <c r="B3" s="6" t="s">
        <v>1573</v>
      </c>
      <c r="C3" s="6" t="s">
        <v>1574</v>
      </c>
      <c r="D3" s="6" t="s">
        <v>1575</v>
      </c>
      <c r="E3" s="6" t="s">
        <v>1576</v>
      </c>
      <c r="F3" s="6" t="s">
        <v>1570</v>
      </c>
      <c r="G3" s="6" t="s">
        <v>1577</v>
      </c>
    </row>
    <row r="4" customFormat="false" ht="15" hidden="false" customHeight="false" outlineLevel="0" collapsed="false">
      <c r="A4" s="6" t="s">
        <v>1578</v>
      </c>
      <c r="B4" s="6" t="s">
        <v>1579</v>
      </c>
      <c r="C4" s="6" t="s">
        <v>1580</v>
      </c>
      <c r="D4" s="6" t="s">
        <v>1581</v>
      </c>
      <c r="E4" s="6" t="s">
        <v>1582</v>
      </c>
      <c r="F4" s="6" t="s">
        <v>1583</v>
      </c>
      <c r="G4" s="6" t="s">
        <v>1584</v>
      </c>
    </row>
    <row r="5" customFormat="false" ht="15" hidden="false" customHeight="false" outlineLevel="0" collapsed="false">
      <c r="A5" s="6" t="s">
        <v>1585</v>
      </c>
      <c r="B5" s="6" t="s">
        <v>1586</v>
      </c>
      <c r="C5" s="6" t="s">
        <v>1587</v>
      </c>
      <c r="D5" s="6" t="s">
        <v>1588</v>
      </c>
      <c r="E5" s="6" t="s">
        <v>1589</v>
      </c>
      <c r="F5" s="6" t="s">
        <v>1590</v>
      </c>
      <c r="G5" s="6" t="s">
        <v>1591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5"/>
    <col collapsed="false" customWidth="true" hidden="false" outlineLevel="0" max="3" min="3" style="0" width="11"/>
    <col collapsed="false" customWidth="true" hidden="false" outlineLevel="0" max="4" min="4" style="0" width="14"/>
    <col collapsed="false" customWidth="true" hidden="false" outlineLevel="0" max="5" min="5" style="0" width="13"/>
    <col collapsed="false" customWidth="true" hidden="false" outlineLevel="0" max="6" min="6" style="0" width="24"/>
    <col collapsed="false" customWidth="true" hidden="false" outlineLevel="0" max="7" min="7" style="0" width="22"/>
    <col collapsed="false" customWidth="true" hidden="false" outlineLevel="0" max="8" min="8" style="0" width="62"/>
    <col collapsed="false" customWidth="true" hidden="false" outlineLevel="0" max="9" min="9" style="0" width="17"/>
    <col collapsed="false" customWidth="true" hidden="false" outlineLevel="0" max="10" min="10" style="0" width="15"/>
  </cols>
  <sheetData>
    <row r="1" customFormat="false" ht="30" hidden="false" customHeight="true" outlineLevel="0" collapsed="false">
      <c r="A1" s="5" t="s">
        <v>1592</v>
      </c>
      <c r="B1" s="5" t="s">
        <v>778</v>
      </c>
      <c r="C1" s="5" t="s">
        <v>32</v>
      </c>
      <c r="D1" s="5" t="s">
        <v>1593</v>
      </c>
      <c r="E1" s="5" t="s">
        <v>1594</v>
      </c>
      <c r="F1" s="5" t="s">
        <v>1595</v>
      </c>
      <c r="G1" s="5" t="s">
        <v>1596</v>
      </c>
      <c r="H1" s="5" t="s">
        <v>1597</v>
      </c>
      <c r="I1" s="5" t="s">
        <v>1598</v>
      </c>
      <c r="J1" s="5" t="s">
        <v>1238</v>
      </c>
    </row>
    <row r="2" customFormat="false" ht="15" hidden="false" customHeight="false" outlineLevel="0" collapsed="false">
      <c r="A2" s="6" t="s">
        <v>1599</v>
      </c>
      <c r="B2" s="6" t="s">
        <v>244</v>
      </c>
      <c r="C2" s="6" t="s">
        <v>51</v>
      </c>
      <c r="D2" s="6" t="s">
        <v>1600</v>
      </c>
      <c r="E2" s="6" t="s">
        <v>1601</v>
      </c>
      <c r="F2" s="6" t="s">
        <v>1602</v>
      </c>
      <c r="G2" s="6" t="s">
        <v>1603</v>
      </c>
      <c r="H2" s="6" t="s">
        <v>1604</v>
      </c>
      <c r="I2" s="6" t="s">
        <v>1605</v>
      </c>
      <c r="J2" s="7" t="n">
        <v>3.4</v>
      </c>
    </row>
    <row r="3" customFormat="false" ht="15" hidden="false" customHeight="false" outlineLevel="0" collapsed="false">
      <c r="A3" s="6" t="s">
        <v>1606</v>
      </c>
      <c r="B3" s="6" t="s">
        <v>840</v>
      </c>
      <c r="C3" s="6" t="s">
        <v>51</v>
      </c>
      <c r="D3" s="6" t="s">
        <v>1607</v>
      </c>
      <c r="E3" s="6" t="s">
        <v>1608</v>
      </c>
      <c r="F3" s="6" t="s">
        <v>1609</v>
      </c>
      <c r="G3" s="6" t="s">
        <v>1610</v>
      </c>
      <c r="H3" s="6" t="s">
        <v>1611</v>
      </c>
      <c r="I3" s="6" t="s">
        <v>1605</v>
      </c>
      <c r="J3" s="7" t="n">
        <v>1.4</v>
      </c>
    </row>
    <row r="4" customFormat="false" ht="15" hidden="false" customHeight="false" outlineLevel="0" collapsed="false">
      <c r="A4" s="6" t="s">
        <v>1612</v>
      </c>
      <c r="B4" s="6" t="s">
        <v>815</v>
      </c>
      <c r="C4" s="6" t="s">
        <v>51</v>
      </c>
      <c r="D4" s="6" t="s">
        <v>1613</v>
      </c>
      <c r="E4" s="6" t="s">
        <v>1614</v>
      </c>
      <c r="F4" s="6" t="s">
        <v>1615</v>
      </c>
      <c r="G4" s="6" t="s">
        <v>1610</v>
      </c>
      <c r="H4" s="6" t="s">
        <v>1604</v>
      </c>
      <c r="I4" s="6" t="s">
        <v>1605</v>
      </c>
      <c r="J4" s="7" t="n">
        <v>3.4</v>
      </c>
    </row>
    <row r="5" customFormat="false" ht="15" hidden="false" customHeight="false" outlineLevel="0" collapsed="false">
      <c r="A5" s="6" t="s">
        <v>1616</v>
      </c>
      <c r="B5" s="6" t="s">
        <v>356</v>
      </c>
      <c r="C5" s="6" t="s">
        <v>51</v>
      </c>
      <c r="D5" s="6" t="s">
        <v>1613</v>
      </c>
      <c r="E5" s="6" t="s">
        <v>1614</v>
      </c>
      <c r="F5" s="6" t="s">
        <v>1617</v>
      </c>
      <c r="G5" s="6" t="s">
        <v>1618</v>
      </c>
      <c r="H5" s="6" t="s">
        <v>1604</v>
      </c>
      <c r="I5" s="6" t="s">
        <v>1605</v>
      </c>
      <c r="J5" s="7" t="n">
        <v>1.5</v>
      </c>
    </row>
    <row r="6" customFormat="false" ht="15" hidden="false" customHeight="false" outlineLevel="0" collapsed="false">
      <c r="A6" s="6" t="s">
        <v>1619</v>
      </c>
      <c r="B6" s="6" t="s">
        <v>441</v>
      </c>
      <c r="C6" s="6" t="s">
        <v>51</v>
      </c>
      <c r="D6" s="6" t="s">
        <v>1613</v>
      </c>
      <c r="E6" s="6" t="s">
        <v>1614</v>
      </c>
      <c r="F6" s="6" t="s">
        <v>1620</v>
      </c>
      <c r="G6" s="6" t="s">
        <v>1610</v>
      </c>
      <c r="H6" s="6" t="s">
        <v>1621</v>
      </c>
      <c r="I6" s="6" t="s">
        <v>1622</v>
      </c>
      <c r="J6" s="7" t="n">
        <v>2.8</v>
      </c>
    </row>
    <row r="7" customFormat="false" ht="15" hidden="false" customHeight="false" outlineLevel="0" collapsed="false">
      <c r="A7" s="6" t="s">
        <v>1623</v>
      </c>
      <c r="B7" s="6" t="s">
        <v>826</v>
      </c>
      <c r="C7" s="6" t="s">
        <v>51</v>
      </c>
      <c r="D7" s="6" t="s">
        <v>1624</v>
      </c>
      <c r="E7" s="6" t="s">
        <v>1625</v>
      </c>
      <c r="F7" s="6" t="s">
        <v>1602</v>
      </c>
      <c r="G7" s="6" t="s">
        <v>1603</v>
      </c>
      <c r="H7" s="6" t="s">
        <v>1626</v>
      </c>
      <c r="I7" s="6" t="s">
        <v>1605</v>
      </c>
      <c r="J7" s="7" t="n">
        <v>1.9</v>
      </c>
    </row>
    <row r="8" customFormat="false" ht="15" hidden="false" customHeight="false" outlineLevel="0" collapsed="false">
      <c r="A8" s="6" t="s">
        <v>1627</v>
      </c>
      <c r="B8" s="6" t="s">
        <v>807</v>
      </c>
      <c r="C8" s="6" t="s">
        <v>51</v>
      </c>
      <c r="D8" s="6" t="s">
        <v>1628</v>
      </c>
      <c r="E8" s="6" t="s">
        <v>1629</v>
      </c>
      <c r="F8" s="6" t="s">
        <v>1602</v>
      </c>
      <c r="G8" s="6" t="s">
        <v>1610</v>
      </c>
      <c r="H8" s="6" t="s">
        <v>1604</v>
      </c>
      <c r="I8" s="6" t="s">
        <v>1605</v>
      </c>
      <c r="J8" s="7" t="n">
        <v>3.2</v>
      </c>
    </row>
    <row r="9" customFormat="false" ht="15" hidden="false" customHeight="false" outlineLevel="0" collapsed="false">
      <c r="A9" s="6" t="s">
        <v>1630</v>
      </c>
      <c r="B9" s="6" t="s">
        <v>828</v>
      </c>
      <c r="C9" s="6" t="s">
        <v>51</v>
      </c>
      <c r="D9" s="6" t="s">
        <v>1631</v>
      </c>
      <c r="E9" s="6" t="s">
        <v>1632</v>
      </c>
      <c r="F9" s="6" t="s">
        <v>1617</v>
      </c>
      <c r="G9" s="6" t="s">
        <v>1618</v>
      </c>
      <c r="H9" s="6" t="s">
        <v>1633</v>
      </c>
      <c r="I9" s="6" t="s">
        <v>1605</v>
      </c>
      <c r="J9" s="7" t="n">
        <v>3.6</v>
      </c>
    </row>
    <row r="10" customFormat="false" ht="15" hidden="false" customHeight="false" outlineLevel="0" collapsed="false">
      <c r="A10" s="6" t="s">
        <v>1634</v>
      </c>
      <c r="B10" s="6" t="s">
        <v>976</v>
      </c>
      <c r="C10" s="6" t="s">
        <v>51</v>
      </c>
      <c r="D10" s="6" t="s">
        <v>1635</v>
      </c>
      <c r="E10" s="6" t="s">
        <v>1636</v>
      </c>
      <c r="F10" s="6" t="s">
        <v>1602</v>
      </c>
      <c r="G10" s="6" t="s">
        <v>1610</v>
      </c>
      <c r="H10" s="6" t="s">
        <v>1611</v>
      </c>
      <c r="I10" s="6" t="s">
        <v>1605</v>
      </c>
      <c r="J10" s="7" t="n">
        <v>2.8</v>
      </c>
    </row>
    <row r="11" customFormat="false" ht="15" hidden="false" customHeight="false" outlineLevel="0" collapsed="false">
      <c r="A11" s="6" t="s">
        <v>1637</v>
      </c>
      <c r="B11" s="6" t="s">
        <v>440</v>
      </c>
      <c r="C11" s="6" t="s">
        <v>51</v>
      </c>
      <c r="D11" s="6" t="s">
        <v>1638</v>
      </c>
      <c r="E11" s="6" t="s">
        <v>1639</v>
      </c>
      <c r="F11" s="6" t="s">
        <v>1609</v>
      </c>
      <c r="G11" s="6" t="s">
        <v>1618</v>
      </c>
      <c r="H11" s="6" t="s">
        <v>1611</v>
      </c>
      <c r="I11" s="6" t="s">
        <v>1605</v>
      </c>
      <c r="J11" s="7" t="n">
        <v>2.4</v>
      </c>
    </row>
    <row r="12" customFormat="false" ht="15" hidden="false" customHeight="false" outlineLevel="0" collapsed="false">
      <c r="A12" s="6" t="s">
        <v>1640</v>
      </c>
      <c r="B12" s="6" t="s">
        <v>255</v>
      </c>
      <c r="C12" s="6" t="s">
        <v>51</v>
      </c>
      <c r="D12" s="6" t="s">
        <v>1641</v>
      </c>
      <c r="E12" s="6" t="s">
        <v>1642</v>
      </c>
      <c r="F12" s="6" t="s">
        <v>1602</v>
      </c>
      <c r="G12" s="6" t="s">
        <v>1618</v>
      </c>
      <c r="H12" s="6" t="s">
        <v>1626</v>
      </c>
      <c r="I12" s="6" t="s">
        <v>1605</v>
      </c>
      <c r="J12" s="7" t="n">
        <v>3.1</v>
      </c>
    </row>
    <row r="13" customFormat="false" ht="15" hidden="false" customHeight="false" outlineLevel="0" collapsed="false">
      <c r="A13" s="6" t="s">
        <v>1643</v>
      </c>
      <c r="B13" s="6" t="s">
        <v>899</v>
      </c>
      <c r="C13" s="6" t="s">
        <v>51</v>
      </c>
      <c r="D13" s="6" t="s">
        <v>1644</v>
      </c>
      <c r="E13" s="6" t="s">
        <v>1645</v>
      </c>
      <c r="F13" s="6" t="s">
        <v>1646</v>
      </c>
      <c r="G13" s="6" t="s">
        <v>1618</v>
      </c>
      <c r="H13" s="6" t="s">
        <v>1633</v>
      </c>
      <c r="I13" s="6" t="s">
        <v>1605</v>
      </c>
      <c r="J13" s="7" t="n">
        <v>3.8</v>
      </c>
    </row>
    <row r="14" customFormat="false" ht="15" hidden="false" customHeight="false" outlineLevel="0" collapsed="false">
      <c r="A14" s="6" t="s">
        <v>1647</v>
      </c>
      <c r="B14" s="6" t="s">
        <v>971</v>
      </c>
      <c r="C14" s="6" t="s">
        <v>51</v>
      </c>
      <c r="D14" s="6" t="s">
        <v>1648</v>
      </c>
      <c r="E14" s="6" t="s">
        <v>1649</v>
      </c>
      <c r="F14" s="6" t="s">
        <v>1602</v>
      </c>
      <c r="G14" s="6" t="s">
        <v>1618</v>
      </c>
      <c r="H14" s="6" t="s">
        <v>1611</v>
      </c>
      <c r="I14" s="6" t="s">
        <v>1605</v>
      </c>
      <c r="J14" s="7" t="n">
        <v>1.9</v>
      </c>
    </row>
    <row r="15" customFormat="false" ht="15" hidden="false" customHeight="false" outlineLevel="0" collapsed="false">
      <c r="A15" s="6" t="s">
        <v>1650</v>
      </c>
      <c r="B15" s="6" t="s">
        <v>833</v>
      </c>
      <c r="C15" s="6" t="s">
        <v>51</v>
      </c>
      <c r="D15" s="6" t="s">
        <v>1651</v>
      </c>
      <c r="E15" s="6" t="s">
        <v>1652</v>
      </c>
      <c r="F15" s="6" t="s">
        <v>1609</v>
      </c>
      <c r="G15" s="6" t="s">
        <v>1603</v>
      </c>
      <c r="H15" s="6" t="s">
        <v>1633</v>
      </c>
      <c r="I15" s="6" t="s">
        <v>1605</v>
      </c>
      <c r="J15" s="7" t="n">
        <v>3.4</v>
      </c>
    </row>
    <row r="16" customFormat="false" ht="15" hidden="false" customHeight="false" outlineLevel="0" collapsed="false">
      <c r="A16" s="6" t="s">
        <v>1653</v>
      </c>
      <c r="B16" s="6" t="s">
        <v>969</v>
      </c>
      <c r="C16" s="6" t="s">
        <v>51</v>
      </c>
      <c r="D16" s="6" t="s">
        <v>1654</v>
      </c>
      <c r="E16" s="6" t="s">
        <v>1655</v>
      </c>
      <c r="F16" s="6" t="s">
        <v>1656</v>
      </c>
      <c r="G16" s="6" t="s">
        <v>1610</v>
      </c>
      <c r="H16" s="6" t="s">
        <v>1633</v>
      </c>
      <c r="I16" s="6" t="s">
        <v>1605</v>
      </c>
      <c r="J16" s="7" t="n">
        <v>1.2</v>
      </c>
    </row>
    <row r="17" customFormat="false" ht="15" hidden="false" customHeight="false" outlineLevel="0" collapsed="false">
      <c r="A17" s="6" t="s">
        <v>1657</v>
      </c>
      <c r="B17" s="6" t="s">
        <v>869</v>
      </c>
      <c r="C17" s="6" t="s">
        <v>51</v>
      </c>
      <c r="D17" s="6" t="s">
        <v>1654</v>
      </c>
      <c r="E17" s="6" t="s">
        <v>1655</v>
      </c>
      <c r="F17" s="6" t="s">
        <v>1620</v>
      </c>
      <c r="G17" s="6" t="s">
        <v>1618</v>
      </c>
      <c r="H17" s="6" t="s">
        <v>1626</v>
      </c>
      <c r="I17" s="6" t="s">
        <v>1605</v>
      </c>
      <c r="J17" s="7" t="n">
        <v>1.8</v>
      </c>
    </row>
    <row r="18" customFormat="false" ht="15" hidden="false" customHeight="false" outlineLevel="0" collapsed="false">
      <c r="A18" s="6" t="s">
        <v>1658</v>
      </c>
      <c r="B18" s="6" t="s">
        <v>452</v>
      </c>
      <c r="C18" s="6" t="s">
        <v>51</v>
      </c>
      <c r="D18" s="6" t="s">
        <v>1654</v>
      </c>
      <c r="E18" s="6" t="s">
        <v>1655</v>
      </c>
      <c r="F18" s="6" t="s">
        <v>1617</v>
      </c>
      <c r="G18" s="6" t="s">
        <v>1603</v>
      </c>
      <c r="H18" s="6" t="s">
        <v>1633</v>
      </c>
      <c r="I18" s="6" t="s">
        <v>1605</v>
      </c>
      <c r="J18" s="7" t="n">
        <v>0.8</v>
      </c>
    </row>
    <row r="19" customFormat="false" ht="15" hidden="false" customHeight="false" outlineLevel="0" collapsed="false">
      <c r="A19" s="6" t="s">
        <v>1659</v>
      </c>
      <c r="B19" s="6" t="s">
        <v>964</v>
      </c>
      <c r="C19" s="6" t="s">
        <v>51</v>
      </c>
      <c r="D19" s="6" t="s">
        <v>1660</v>
      </c>
      <c r="E19" s="6" t="s">
        <v>1661</v>
      </c>
      <c r="F19" s="6" t="s">
        <v>1646</v>
      </c>
      <c r="G19" s="6" t="s">
        <v>1603</v>
      </c>
      <c r="H19" s="6" t="s">
        <v>1604</v>
      </c>
      <c r="I19" s="6" t="s">
        <v>1605</v>
      </c>
      <c r="J19" s="7" t="n">
        <v>2.1</v>
      </c>
    </row>
    <row r="20" customFormat="false" ht="15" hidden="false" customHeight="false" outlineLevel="0" collapsed="false">
      <c r="A20" s="6" t="s">
        <v>1662</v>
      </c>
      <c r="B20" s="6" t="s">
        <v>801</v>
      </c>
      <c r="C20" s="6" t="s">
        <v>51</v>
      </c>
      <c r="D20" s="6" t="s">
        <v>1663</v>
      </c>
      <c r="E20" s="6" t="s">
        <v>1664</v>
      </c>
      <c r="F20" s="6" t="s">
        <v>1646</v>
      </c>
      <c r="G20" s="6" t="s">
        <v>1610</v>
      </c>
      <c r="H20" s="6" t="s">
        <v>1633</v>
      </c>
      <c r="I20" s="6" t="s">
        <v>1605</v>
      </c>
      <c r="J20" s="7" t="n">
        <v>3.7</v>
      </c>
    </row>
    <row r="21" customFormat="false" ht="15" hidden="false" customHeight="false" outlineLevel="0" collapsed="false">
      <c r="A21" s="6" t="s">
        <v>1665</v>
      </c>
      <c r="B21" s="6" t="s">
        <v>929</v>
      </c>
      <c r="C21" s="6" t="s">
        <v>51</v>
      </c>
      <c r="D21" s="6" t="s">
        <v>1663</v>
      </c>
      <c r="E21" s="6" t="s">
        <v>1664</v>
      </c>
      <c r="F21" s="6" t="s">
        <v>1646</v>
      </c>
      <c r="G21" s="6" t="s">
        <v>1618</v>
      </c>
      <c r="H21" s="6" t="s">
        <v>1633</v>
      </c>
      <c r="I21" s="6" t="s">
        <v>1605</v>
      </c>
      <c r="J21" s="7" t="n">
        <v>1.9</v>
      </c>
    </row>
    <row r="22" customFormat="false" ht="15" hidden="false" customHeight="false" outlineLevel="0" collapsed="false">
      <c r="A22" s="6" t="s">
        <v>1666</v>
      </c>
      <c r="B22" s="6" t="s">
        <v>820</v>
      </c>
      <c r="C22" s="6" t="s">
        <v>51</v>
      </c>
      <c r="D22" s="6" t="s">
        <v>1667</v>
      </c>
      <c r="E22" s="6" t="s">
        <v>1668</v>
      </c>
      <c r="F22" s="6" t="s">
        <v>1609</v>
      </c>
      <c r="G22" s="6" t="s">
        <v>1603</v>
      </c>
      <c r="H22" s="6" t="s">
        <v>1669</v>
      </c>
      <c r="I22" s="6" t="s">
        <v>1622</v>
      </c>
      <c r="J22" s="7" t="n">
        <v>1.4</v>
      </c>
    </row>
    <row r="23" customFormat="false" ht="15" hidden="false" customHeight="false" outlineLevel="0" collapsed="false">
      <c r="A23" s="6" t="s">
        <v>1670</v>
      </c>
      <c r="B23" s="6" t="s">
        <v>805</v>
      </c>
      <c r="C23" s="6" t="s">
        <v>51</v>
      </c>
      <c r="D23" s="6" t="s">
        <v>1671</v>
      </c>
      <c r="E23" s="6" t="s">
        <v>1672</v>
      </c>
      <c r="F23" s="6" t="s">
        <v>1602</v>
      </c>
      <c r="G23" s="6" t="s">
        <v>1603</v>
      </c>
      <c r="H23" s="6" t="s">
        <v>1604</v>
      </c>
      <c r="I23" s="6" t="s">
        <v>1605</v>
      </c>
      <c r="J23" s="7" t="n">
        <v>1.2</v>
      </c>
    </row>
    <row r="24" customFormat="false" ht="15" hidden="false" customHeight="false" outlineLevel="0" collapsed="false">
      <c r="A24" s="6" t="s">
        <v>1673</v>
      </c>
      <c r="B24" s="6" t="s">
        <v>959</v>
      </c>
      <c r="C24" s="6" t="s">
        <v>51</v>
      </c>
      <c r="D24" s="6" t="s">
        <v>1674</v>
      </c>
      <c r="E24" s="6" t="s">
        <v>1675</v>
      </c>
      <c r="F24" s="6" t="s">
        <v>1615</v>
      </c>
      <c r="G24" s="6" t="s">
        <v>1603</v>
      </c>
      <c r="H24" s="6" t="s">
        <v>1611</v>
      </c>
      <c r="I24" s="6" t="s">
        <v>1605</v>
      </c>
      <c r="J24" s="7" t="n">
        <v>1.6</v>
      </c>
    </row>
    <row r="25" customFormat="false" ht="15" hidden="false" customHeight="false" outlineLevel="0" collapsed="false">
      <c r="A25" s="6" t="s">
        <v>1676</v>
      </c>
      <c r="B25" s="6" t="s">
        <v>811</v>
      </c>
      <c r="C25" s="6" t="s">
        <v>51</v>
      </c>
      <c r="D25" s="6" t="s">
        <v>1677</v>
      </c>
      <c r="E25" s="6" t="s">
        <v>1678</v>
      </c>
      <c r="F25" s="6" t="s">
        <v>1615</v>
      </c>
      <c r="G25" s="6" t="s">
        <v>1618</v>
      </c>
      <c r="H25" s="6" t="s">
        <v>1626</v>
      </c>
      <c r="I25" s="6" t="s">
        <v>1605</v>
      </c>
      <c r="J25" s="7" t="n">
        <v>2.2</v>
      </c>
    </row>
    <row r="26" customFormat="false" ht="15" hidden="false" customHeight="false" outlineLevel="0" collapsed="false">
      <c r="A26" s="6" t="s">
        <v>1679</v>
      </c>
      <c r="B26" s="6" t="s">
        <v>823</v>
      </c>
      <c r="C26" s="6" t="s">
        <v>51</v>
      </c>
      <c r="D26" s="6" t="s">
        <v>1680</v>
      </c>
      <c r="E26" s="6" t="s">
        <v>1681</v>
      </c>
      <c r="F26" s="6" t="s">
        <v>1646</v>
      </c>
      <c r="G26" s="6" t="s">
        <v>1603</v>
      </c>
      <c r="H26" s="6" t="s">
        <v>1669</v>
      </c>
      <c r="I26" s="6" t="s">
        <v>1622</v>
      </c>
      <c r="J26" s="7" t="n">
        <v>2.3</v>
      </c>
    </row>
    <row r="27" customFormat="false" ht="15" hidden="false" customHeight="false" outlineLevel="0" collapsed="false">
      <c r="A27" s="6" t="s">
        <v>1682</v>
      </c>
      <c r="B27" s="6" t="s">
        <v>453</v>
      </c>
      <c r="C27" s="6" t="s">
        <v>51</v>
      </c>
      <c r="D27" s="6" t="s">
        <v>1683</v>
      </c>
      <c r="E27" s="6" t="s">
        <v>1684</v>
      </c>
      <c r="F27" s="6" t="s">
        <v>1646</v>
      </c>
      <c r="G27" s="6" t="s">
        <v>1610</v>
      </c>
      <c r="H27" s="6" t="s">
        <v>1633</v>
      </c>
      <c r="I27" s="6" t="s">
        <v>1605</v>
      </c>
      <c r="J27" s="7" t="n">
        <v>0.8</v>
      </c>
    </row>
    <row r="28" customFormat="false" ht="15" hidden="false" customHeight="false" outlineLevel="0" collapsed="false">
      <c r="A28" s="6" t="s">
        <v>1685</v>
      </c>
      <c r="B28" s="6" t="s">
        <v>872</v>
      </c>
      <c r="C28" s="6" t="s">
        <v>51</v>
      </c>
      <c r="D28" s="6" t="s">
        <v>1686</v>
      </c>
      <c r="E28" s="6" t="s">
        <v>1687</v>
      </c>
      <c r="F28" s="6" t="s">
        <v>1646</v>
      </c>
      <c r="G28" s="6" t="s">
        <v>1618</v>
      </c>
      <c r="H28" s="6" t="s">
        <v>1604</v>
      </c>
      <c r="I28" s="6" t="s">
        <v>1605</v>
      </c>
      <c r="J28" s="7" t="n">
        <v>1.8</v>
      </c>
    </row>
    <row r="29" customFormat="false" ht="15" hidden="false" customHeight="false" outlineLevel="0" collapsed="false">
      <c r="A29" s="6" t="s">
        <v>1688</v>
      </c>
      <c r="B29" s="6" t="s">
        <v>355</v>
      </c>
      <c r="C29" s="6" t="s">
        <v>51</v>
      </c>
      <c r="D29" s="6" t="s">
        <v>1686</v>
      </c>
      <c r="E29" s="6" t="s">
        <v>1687</v>
      </c>
      <c r="F29" s="6" t="s">
        <v>1646</v>
      </c>
      <c r="G29" s="6" t="s">
        <v>1618</v>
      </c>
      <c r="H29" s="6" t="s">
        <v>1633</v>
      </c>
      <c r="I29" s="6" t="s">
        <v>1605</v>
      </c>
      <c r="J29" s="7" t="n">
        <v>1.1</v>
      </c>
    </row>
    <row r="30" customFormat="false" ht="15" hidden="false" customHeight="false" outlineLevel="0" collapsed="false">
      <c r="A30" s="6" t="s">
        <v>1689</v>
      </c>
      <c r="B30" s="6" t="s">
        <v>831</v>
      </c>
      <c r="C30" s="6" t="s">
        <v>51</v>
      </c>
      <c r="D30" s="6" t="s">
        <v>1690</v>
      </c>
      <c r="E30" s="6" t="s">
        <v>1691</v>
      </c>
      <c r="F30" s="6" t="s">
        <v>1609</v>
      </c>
      <c r="G30" s="6" t="s">
        <v>1618</v>
      </c>
      <c r="H30" s="6" t="s">
        <v>1611</v>
      </c>
      <c r="I30" s="6" t="s">
        <v>1605</v>
      </c>
      <c r="J30" s="7" t="n">
        <v>3.6</v>
      </c>
    </row>
    <row r="31" customFormat="false" ht="15" hidden="false" customHeight="false" outlineLevel="0" collapsed="false">
      <c r="A31" s="6" t="s">
        <v>1692</v>
      </c>
      <c r="B31" s="6" t="s">
        <v>836</v>
      </c>
      <c r="C31" s="6" t="s">
        <v>51</v>
      </c>
      <c r="D31" s="6" t="s">
        <v>1693</v>
      </c>
      <c r="E31" s="6" t="s">
        <v>1694</v>
      </c>
      <c r="F31" s="6" t="s">
        <v>1617</v>
      </c>
      <c r="G31" s="6" t="s">
        <v>1618</v>
      </c>
      <c r="H31" s="6" t="s">
        <v>1611</v>
      </c>
      <c r="I31" s="6" t="s">
        <v>1605</v>
      </c>
      <c r="J31" s="7" t="n">
        <v>1.4</v>
      </c>
    </row>
    <row r="32" customFormat="false" ht="15" hidden="false" customHeight="false" outlineLevel="0" collapsed="false">
      <c r="A32" s="6" t="s">
        <v>1695</v>
      </c>
      <c r="B32" s="6" t="s">
        <v>966</v>
      </c>
      <c r="C32" s="6" t="s">
        <v>51</v>
      </c>
      <c r="D32" s="6" t="s">
        <v>1696</v>
      </c>
      <c r="E32" s="6" t="s">
        <v>1697</v>
      </c>
      <c r="F32" s="6" t="s">
        <v>1609</v>
      </c>
      <c r="G32" s="6" t="s">
        <v>1610</v>
      </c>
      <c r="H32" s="6" t="s">
        <v>1611</v>
      </c>
      <c r="I32" s="6" t="s">
        <v>1605</v>
      </c>
      <c r="J32" s="7" t="n">
        <v>0.8</v>
      </c>
    </row>
    <row r="33" customFormat="false" ht="15" hidden="false" customHeight="false" outlineLevel="0" collapsed="false">
      <c r="A33" s="6" t="s">
        <v>1698</v>
      </c>
      <c r="B33" s="6" t="s">
        <v>343</v>
      </c>
      <c r="C33" s="6" t="s">
        <v>51</v>
      </c>
      <c r="D33" s="6" t="s">
        <v>1699</v>
      </c>
      <c r="E33" s="6" t="s">
        <v>1700</v>
      </c>
      <c r="F33" s="6" t="s">
        <v>1615</v>
      </c>
      <c r="G33" s="6" t="s">
        <v>1618</v>
      </c>
      <c r="H33" s="6" t="s">
        <v>1633</v>
      </c>
      <c r="I33" s="6" t="s">
        <v>1605</v>
      </c>
      <c r="J33" s="7" t="n">
        <v>1.5</v>
      </c>
    </row>
    <row r="34" customFormat="false" ht="15" hidden="false" customHeight="false" outlineLevel="0" collapsed="false">
      <c r="A34" s="6" t="s">
        <v>1701</v>
      </c>
      <c r="B34" s="6" t="s">
        <v>256</v>
      </c>
      <c r="C34" s="6" t="s">
        <v>51</v>
      </c>
      <c r="D34" s="6" t="s">
        <v>1702</v>
      </c>
      <c r="E34" s="6" t="s">
        <v>1703</v>
      </c>
      <c r="F34" s="6" t="s">
        <v>1620</v>
      </c>
      <c r="G34" s="6" t="s">
        <v>1610</v>
      </c>
      <c r="H34" s="6" t="s">
        <v>1604</v>
      </c>
      <c r="I34" s="6" t="s">
        <v>1605</v>
      </c>
      <c r="J34" s="7" t="n">
        <v>2.7</v>
      </c>
    </row>
    <row r="35" customFormat="false" ht="15" hidden="false" customHeight="false" outlineLevel="0" collapsed="false">
      <c r="A35" s="6" t="s">
        <v>1704</v>
      </c>
      <c r="B35" s="6" t="s">
        <v>344</v>
      </c>
      <c r="C35" s="6" t="s">
        <v>51</v>
      </c>
      <c r="D35" s="6" t="s">
        <v>1705</v>
      </c>
      <c r="E35" s="6" t="s">
        <v>1706</v>
      </c>
      <c r="F35" s="6" t="s">
        <v>1615</v>
      </c>
      <c r="G35" s="6" t="s">
        <v>1618</v>
      </c>
      <c r="H35" s="6" t="s">
        <v>1604</v>
      </c>
      <c r="I35" s="6" t="s">
        <v>1605</v>
      </c>
      <c r="J35" s="7" t="n">
        <v>1.1</v>
      </c>
    </row>
    <row r="36" customFormat="false" ht="15" hidden="false" customHeight="false" outlineLevel="0" collapsed="false">
      <c r="A36" s="6" t="s">
        <v>1707</v>
      </c>
      <c r="B36" s="6" t="s">
        <v>902</v>
      </c>
      <c r="C36" s="6" t="s">
        <v>51</v>
      </c>
      <c r="D36" s="6" t="s">
        <v>1708</v>
      </c>
      <c r="E36" s="6" t="s">
        <v>1709</v>
      </c>
      <c r="F36" s="6" t="s">
        <v>1656</v>
      </c>
      <c r="G36" s="6" t="s">
        <v>1618</v>
      </c>
      <c r="H36" s="6" t="s">
        <v>1611</v>
      </c>
      <c r="I36" s="6" t="s">
        <v>1605</v>
      </c>
      <c r="J36" s="7" t="n">
        <v>2.5</v>
      </c>
    </row>
    <row r="37" customFormat="false" ht="15" hidden="false" customHeight="false" outlineLevel="0" collapsed="false">
      <c r="A37" s="6" t="s">
        <v>1710</v>
      </c>
      <c r="B37" s="6" t="s">
        <v>932</v>
      </c>
      <c r="C37" s="6" t="s">
        <v>51</v>
      </c>
      <c r="D37" s="6" t="s">
        <v>1708</v>
      </c>
      <c r="E37" s="6" t="s">
        <v>1709</v>
      </c>
      <c r="F37" s="6" t="s">
        <v>1646</v>
      </c>
      <c r="G37" s="6" t="s">
        <v>1610</v>
      </c>
      <c r="H37" s="6" t="s">
        <v>1604</v>
      </c>
      <c r="I37" s="6" t="s">
        <v>1605</v>
      </c>
      <c r="J37" s="7" t="n">
        <v>1</v>
      </c>
    </row>
    <row r="38" customFormat="false" ht="15" hidden="false" customHeight="false" outlineLevel="0" collapsed="false">
      <c r="A38" s="6" t="s">
        <v>1711</v>
      </c>
      <c r="B38" s="6" t="s">
        <v>243</v>
      </c>
      <c r="C38" s="6" t="s">
        <v>51</v>
      </c>
      <c r="D38" s="6" t="s">
        <v>1712</v>
      </c>
      <c r="E38" s="6" t="s">
        <v>1713</v>
      </c>
      <c r="F38" s="6" t="s">
        <v>1656</v>
      </c>
      <c r="G38" s="6" t="s">
        <v>1603</v>
      </c>
      <c r="H38" s="6" t="s">
        <v>1611</v>
      </c>
      <c r="I38" s="6" t="s">
        <v>1605</v>
      </c>
      <c r="J38" s="7" t="n">
        <v>3.7</v>
      </c>
    </row>
    <row r="39" customFormat="false" ht="15" hidden="false" customHeight="false" outlineLevel="0" collapsed="false">
      <c r="A39" s="6" t="s">
        <v>1714</v>
      </c>
      <c r="B39" s="6" t="s">
        <v>818</v>
      </c>
      <c r="C39" s="6" t="s">
        <v>51</v>
      </c>
      <c r="D39" s="6" t="s">
        <v>1715</v>
      </c>
      <c r="E39" s="6" t="s">
        <v>1716</v>
      </c>
      <c r="F39" s="6" t="s">
        <v>1646</v>
      </c>
      <c r="G39" s="6" t="s">
        <v>1610</v>
      </c>
      <c r="H39" s="6" t="s">
        <v>1633</v>
      </c>
      <c r="I39" s="6" t="s">
        <v>1605</v>
      </c>
      <c r="J39" s="7" t="n">
        <v>0.8</v>
      </c>
    </row>
    <row r="40" customFormat="false" ht="15" hidden="false" customHeight="false" outlineLevel="0" collapsed="false">
      <c r="A40" s="6" t="s">
        <v>1717</v>
      </c>
      <c r="B40" s="6" t="s">
        <v>833</v>
      </c>
      <c r="C40" s="6" t="s">
        <v>51</v>
      </c>
      <c r="D40" s="6" t="s">
        <v>1718</v>
      </c>
      <c r="E40" s="6" t="s">
        <v>1719</v>
      </c>
      <c r="F40" s="6" t="s">
        <v>1615</v>
      </c>
      <c r="G40" s="6" t="s">
        <v>1618</v>
      </c>
      <c r="H40" s="6" t="s">
        <v>1633</v>
      </c>
      <c r="I40" s="6" t="s">
        <v>1605</v>
      </c>
      <c r="J40" s="7" t="n">
        <v>3.3</v>
      </c>
    </row>
    <row r="41" customFormat="false" ht="15" hidden="false" customHeight="false" outlineLevel="0" collapsed="false">
      <c r="A41" s="6" t="s">
        <v>1720</v>
      </c>
      <c r="B41" s="6" t="s">
        <v>255</v>
      </c>
      <c r="C41" s="6" t="s">
        <v>51</v>
      </c>
      <c r="D41" s="6" t="s">
        <v>1721</v>
      </c>
      <c r="E41" s="6" t="s">
        <v>1722</v>
      </c>
      <c r="F41" s="6" t="s">
        <v>1609</v>
      </c>
      <c r="G41" s="6" t="s">
        <v>1618</v>
      </c>
      <c r="H41" s="6" t="s">
        <v>1626</v>
      </c>
      <c r="I41" s="6" t="s">
        <v>1605</v>
      </c>
      <c r="J41" s="7" t="n">
        <v>2.5</v>
      </c>
    </row>
    <row r="42" customFormat="false" ht="15" hidden="false" customHeight="false" outlineLevel="0" collapsed="false">
      <c r="A42" s="6" t="s">
        <v>1723</v>
      </c>
      <c r="B42" s="6" t="s">
        <v>976</v>
      </c>
      <c r="C42" s="6" t="s">
        <v>51</v>
      </c>
      <c r="D42" s="6" t="s">
        <v>1724</v>
      </c>
      <c r="E42" s="6" t="s">
        <v>1725</v>
      </c>
      <c r="F42" s="6" t="s">
        <v>1656</v>
      </c>
      <c r="G42" s="6" t="s">
        <v>1618</v>
      </c>
      <c r="H42" s="6" t="s">
        <v>1633</v>
      </c>
      <c r="I42" s="6" t="s">
        <v>1605</v>
      </c>
      <c r="J42" s="7" t="n">
        <v>1.8</v>
      </c>
    </row>
    <row r="43" customFormat="false" ht="15" hidden="false" customHeight="false" outlineLevel="0" collapsed="false">
      <c r="A43" s="6" t="s">
        <v>1726</v>
      </c>
      <c r="B43" s="6" t="s">
        <v>836</v>
      </c>
      <c r="C43" s="6" t="s">
        <v>51</v>
      </c>
      <c r="D43" s="6" t="s">
        <v>1724</v>
      </c>
      <c r="E43" s="6" t="s">
        <v>1725</v>
      </c>
      <c r="F43" s="6" t="s">
        <v>1615</v>
      </c>
      <c r="G43" s="6" t="s">
        <v>1603</v>
      </c>
      <c r="H43" s="6" t="s">
        <v>1626</v>
      </c>
      <c r="I43" s="6" t="s">
        <v>1605</v>
      </c>
      <c r="J43" s="7" t="n">
        <v>3.5</v>
      </c>
    </row>
    <row r="44" customFormat="false" ht="15" hidden="false" customHeight="false" outlineLevel="0" collapsed="false">
      <c r="A44" s="6" t="s">
        <v>1727</v>
      </c>
      <c r="B44" s="6" t="s">
        <v>356</v>
      </c>
      <c r="C44" s="6" t="s">
        <v>51</v>
      </c>
      <c r="D44" s="6" t="s">
        <v>1724</v>
      </c>
      <c r="E44" s="6" t="s">
        <v>1725</v>
      </c>
      <c r="F44" s="6" t="s">
        <v>1615</v>
      </c>
      <c r="G44" s="6" t="s">
        <v>1610</v>
      </c>
      <c r="H44" s="6" t="s">
        <v>1611</v>
      </c>
      <c r="I44" s="6" t="s">
        <v>1605</v>
      </c>
      <c r="J44" s="7" t="n">
        <v>3.1</v>
      </c>
    </row>
    <row r="45" customFormat="false" ht="15" hidden="false" customHeight="false" outlineLevel="0" collapsed="false">
      <c r="A45" s="6" t="s">
        <v>1728</v>
      </c>
      <c r="B45" s="6" t="s">
        <v>831</v>
      </c>
      <c r="C45" s="6" t="s">
        <v>51</v>
      </c>
      <c r="D45" s="6" t="s">
        <v>1729</v>
      </c>
      <c r="E45" s="6" t="s">
        <v>1730</v>
      </c>
      <c r="F45" s="6" t="s">
        <v>1602</v>
      </c>
      <c r="G45" s="6" t="s">
        <v>1618</v>
      </c>
      <c r="H45" s="6" t="s">
        <v>1611</v>
      </c>
      <c r="I45" s="6" t="s">
        <v>1605</v>
      </c>
      <c r="J45" s="7" t="n">
        <v>0.9</v>
      </c>
    </row>
    <row r="46" customFormat="false" ht="15" hidden="false" customHeight="false" outlineLevel="0" collapsed="false">
      <c r="A46" s="6" t="s">
        <v>1731</v>
      </c>
      <c r="B46" s="6" t="s">
        <v>966</v>
      </c>
      <c r="C46" s="6" t="s">
        <v>51</v>
      </c>
      <c r="D46" s="6" t="s">
        <v>1729</v>
      </c>
      <c r="E46" s="6" t="s">
        <v>1730</v>
      </c>
      <c r="F46" s="6" t="s">
        <v>1646</v>
      </c>
      <c r="G46" s="6" t="s">
        <v>1618</v>
      </c>
      <c r="H46" s="6" t="s">
        <v>1611</v>
      </c>
      <c r="I46" s="6" t="s">
        <v>1605</v>
      </c>
      <c r="J46" s="7" t="n">
        <v>3.6</v>
      </c>
    </row>
    <row r="47" customFormat="false" ht="15" hidden="false" customHeight="false" outlineLevel="0" collapsed="false">
      <c r="A47" s="6" t="s">
        <v>1732</v>
      </c>
      <c r="B47" s="6" t="s">
        <v>929</v>
      </c>
      <c r="C47" s="6" t="s">
        <v>51</v>
      </c>
      <c r="D47" s="6" t="s">
        <v>1729</v>
      </c>
      <c r="E47" s="6" t="s">
        <v>1730</v>
      </c>
      <c r="F47" s="6" t="s">
        <v>1602</v>
      </c>
      <c r="G47" s="6" t="s">
        <v>1618</v>
      </c>
      <c r="H47" s="6" t="s">
        <v>1604</v>
      </c>
      <c r="I47" s="6" t="s">
        <v>1605</v>
      </c>
      <c r="J47" s="7" t="n">
        <v>2.6</v>
      </c>
    </row>
    <row r="48" customFormat="false" ht="15" hidden="false" customHeight="false" outlineLevel="0" collapsed="false">
      <c r="A48" s="6" t="s">
        <v>1733</v>
      </c>
      <c r="B48" s="6" t="s">
        <v>971</v>
      </c>
      <c r="C48" s="6" t="s">
        <v>51</v>
      </c>
      <c r="D48" s="6" t="s">
        <v>1734</v>
      </c>
      <c r="E48" s="6" t="s">
        <v>1735</v>
      </c>
      <c r="F48" s="6" t="s">
        <v>1609</v>
      </c>
      <c r="G48" s="6" t="s">
        <v>1610</v>
      </c>
      <c r="H48" s="6" t="s">
        <v>1611</v>
      </c>
      <c r="I48" s="6" t="s">
        <v>1605</v>
      </c>
      <c r="J48" s="7" t="n">
        <v>0.4</v>
      </c>
    </row>
    <row r="49" customFormat="false" ht="15" hidden="false" customHeight="false" outlineLevel="0" collapsed="false">
      <c r="A49" s="6" t="s">
        <v>1736</v>
      </c>
      <c r="B49" s="6" t="s">
        <v>355</v>
      </c>
      <c r="C49" s="6" t="s">
        <v>51</v>
      </c>
      <c r="D49" s="6" t="s">
        <v>1737</v>
      </c>
      <c r="E49" s="6" t="s">
        <v>1738</v>
      </c>
      <c r="F49" s="6" t="s">
        <v>1602</v>
      </c>
      <c r="G49" s="6" t="s">
        <v>1603</v>
      </c>
      <c r="H49" s="6" t="s">
        <v>1626</v>
      </c>
      <c r="I49" s="6" t="s">
        <v>1605</v>
      </c>
      <c r="J49" s="7" t="n">
        <v>3.3</v>
      </c>
    </row>
    <row r="50" customFormat="false" ht="15" hidden="false" customHeight="false" outlineLevel="0" collapsed="false">
      <c r="A50" s="6" t="s">
        <v>1739</v>
      </c>
      <c r="B50" s="6" t="s">
        <v>243</v>
      </c>
      <c r="C50" s="6" t="s">
        <v>51</v>
      </c>
      <c r="D50" s="6" t="s">
        <v>1740</v>
      </c>
      <c r="E50" s="6" t="s">
        <v>1741</v>
      </c>
      <c r="F50" s="6" t="s">
        <v>1617</v>
      </c>
      <c r="G50" s="6" t="s">
        <v>1603</v>
      </c>
      <c r="H50" s="6" t="s">
        <v>1611</v>
      </c>
      <c r="I50" s="6" t="s">
        <v>1605</v>
      </c>
      <c r="J50" s="7" t="n">
        <v>2.9</v>
      </c>
    </row>
    <row r="51" customFormat="false" ht="15" hidden="false" customHeight="false" outlineLevel="0" collapsed="false">
      <c r="A51" s="6" t="s">
        <v>1742</v>
      </c>
      <c r="B51" s="6" t="s">
        <v>440</v>
      </c>
      <c r="C51" s="6" t="s">
        <v>51</v>
      </c>
      <c r="D51" s="6" t="s">
        <v>1743</v>
      </c>
      <c r="E51" s="6" t="s">
        <v>1744</v>
      </c>
      <c r="F51" s="6" t="s">
        <v>1609</v>
      </c>
      <c r="G51" s="6" t="s">
        <v>1610</v>
      </c>
      <c r="H51" s="6" t="s">
        <v>1604</v>
      </c>
      <c r="I51" s="6" t="s">
        <v>1605</v>
      </c>
      <c r="J51" s="7" t="n">
        <v>0.6</v>
      </c>
    </row>
    <row r="52" customFormat="false" ht="15" hidden="false" customHeight="false" outlineLevel="0" collapsed="false">
      <c r="A52" s="6" t="s">
        <v>1745</v>
      </c>
      <c r="B52" s="6" t="s">
        <v>256</v>
      </c>
      <c r="C52" s="6" t="s">
        <v>51</v>
      </c>
      <c r="D52" s="6" t="s">
        <v>1743</v>
      </c>
      <c r="E52" s="6" t="s">
        <v>1744</v>
      </c>
      <c r="F52" s="6" t="s">
        <v>1615</v>
      </c>
      <c r="G52" s="6" t="s">
        <v>1603</v>
      </c>
      <c r="H52" s="6" t="s">
        <v>1611</v>
      </c>
      <c r="I52" s="6" t="s">
        <v>1605</v>
      </c>
      <c r="J52" s="7" t="n">
        <v>0.7</v>
      </c>
    </row>
    <row r="53" customFormat="false" ht="15" hidden="false" customHeight="false" outlineLevel="0" collapsed="false">
      <c r="A53" s="6" t="s">
        <v>1746</v>
      </c>
      <c r="B53" s="6" t="s">
        <v>820</v>
      </c>
      <c r="C53" s="6" t="s">
        <v>51</v>
      </c>
      <c r="D53" s="6" t="s">
        <v>1747</v>
      </c>
      <c r="E53" s="6" t="s">
        <v>1748</v>
      </c>
      <c r="F53" s="6" t="s">
        <v>1620</v>
      </c>
      <c r="G53" s="6" t="s">
        <v>1603</v>
      </c>
      <c r="H53" s="6" t="s">
        <v>1633</v>
      </c>
      <c r="I53" s="6" t="s">
        <v>1605</v>
      </c>
      <c r="J53" s="7" t="n">
        <v>1.2</v>
      </c>
    </row>
    <row r="54" customFormat="false" ht="15" hidden="false" customHeight="false" outlineLevel="0" collapsed="false">
      <c r="A54" s="6" t="s">
        <v>1749</v>
      </c>
      <c r="B54" s="6" t="s">
        <v>805</v>
      </c>
      <c r="C54" s="6" t="s">
        <v>51</v>
      </c>
      <c r="D54" s="6" t="s">
        <v>1750</v>
      </c>
      <c r="E54" s="6" t="s">
        <v>1751</v>
      </c>
      <c r="F54" s="6" t="s">
        <v>1620</v>
      </c>
      <c r="G54" s="6" t="s">
        <v>1603</v>
      </c>
      <c r="H54" s="6" t="s">
        <v>1633</v>
      </c>
      <c r="I54" s="6" t="s">
        <v>1605</v>
      </c>
      <c r="J54" s="7" t="n">
        <v>3.4</v>
      </c>
    </row>
    <row r="55" customFormat="false" ht="15" hidden="false" customHeight="false" outlineLevel="0" collapsed="false">
      <c r="A55" s="6" t="s">
        <v>1752</v>
      </c>
      <c r="B55" s="6" t="s">
        <v>244</v>
      </c>
      <c r="C55" s="6" t="s">
        <v>51</v>
      </c>
      <c r="D55" s="6" t="s">
        <v>1750</v>
      </c>
      <c r="E55" s="6" t="s">
        <v>1751</v>
      </c>
      <c r="F55" s="6" t="s">
        <v>1646</v>
      </c>
      <c r="G55" s="6" t="s">
        <v>1618</v>
      </c>
      <c r="H55" s="6" t="s">
        <v>1633</v>
      </c>
      <c r="I55" s="6" t="s">
        <v>1605</v>
      </c>
      <c r="J55" s="7" t="n">
        <v>2.1</v>
      </c>
    </row>
    <row r="56" customFormat="false" ht="15" hidden="false" customHeight="false" outlineLevel="0" collapsed="false">
      <c r="A56" s="6" t="s">
        <v>1753</v>
      </c>
      <c r="B56" s="6" t="s">
        <v>453</v>
      </c>
      <c r="C56" s="6" t="s">
        <v>51</v>
      </c>
      <c r="D56" s="6" t="s">
        <v>1754</v>
      </c>
      <c r="E56" s="6" t="s">
        <v>1755</v>
      </c>
      <c r="F56" s="6" t="s">
        <v>1617</v>
      </c>
      <c r="G56" s="6" t="s">
        <v>1618</v>
      </c>
      <c r="H56" s="6" t="s">
        <v>1604</v>
      </c>
      <c r="I56" s="6" t="s">
        <v>1605</v>
      </c>
      <c r="J56" s="7" t="n">
        <v>1.9</v>
      </c>
    </row>
    <row r="57" customFormat="false" ht="15" hidden="false" customHeight="false" outlineLevel="0" collapsed="false">
      <c r="A57" s="6" t="s">
        <v>1756</v>
      </c>
      <c r="B57" s="6" t="s">
        <v>869</v>
      </c>
      <c r="C57" s="6" t="s">
        <v>51</v>
      </c>
      <c r="D57" s="6" t="s">
        <v>1757</v>
      </c>
      <c r="E57" s="6" t="s">
        <v>1758</v>
      </c>
      <c r="F57" s="6" t="s">
        <v>1646</v>
      </c>
      <c r="G57" s="6" t="s">
        <v>1603</v>
      </c>
      <c r="H57" s="6" t="s">
        <v>1604</v>
      </c>
      <c r="I57" s="6" t="s">
        <v>1605</v>
      </c>
      <c r="J57" s="7" t="n">
        <v>3.6</v>
      </c>
    </row>
    <row r="58" customFormat="false" ht="15" hidden="false" customHeight="false" outlineLevel="0" collapsed="false">
      <c r="A58" s="6" t="s">
        <v>1759</v>
      </c>
      <c r="B58" s="6" t="s">
        <v>344</v>
      </c>
      <c r="C58" s="6" t="s">
        <v>51</v>
      </c>
      <c r="D58" s="6" t="s">
        <v>1760</v>
      </c>
      <c r="E58" s="6" t="s">
        <v>1761</v>
      </c>
      <c r="F58" s="6" t="s">
        <v>1656</v>
      </c>
      <c r="G58" s="6" t="s">
        <v>1618</v>
      </c>
      <c r="H58" s="6" t="s">
        <v>1633</v>
      </c>
      <c r="I58" s="6" t="s">
        <v>1605</v>
      </c>
      <c r="J58" s="7" t="n">
        <v>2.8</v>
      </c>
    </row>
    <row r="59" customFormat="false" ht="15" hidden="false" customHeight="false" outlineLevel="0" collapsed="false">
      <c r="A59" s="6" t="s">
        <v>1762</v>
      </c>
      <c r="B59" s="6" t="s">
        <v>452</v>
      </c>
      <c r="C59" s="6" t="s">
        <v>51</v>
      </c>
      <c r="D59" s="6" t="s">
        <v>1763</v>
      </c>
      <c r="E59" s="6" t="s">
        <v>1764</v>
      </c>
      <c r="F59" s="6" t="s">
        <v>1656</v>
      </c>
      <c r="G59" s="6" t="s">
        <v>1603</v>
      </c>
      <c r="H59" s="6" t="s">
        <v>1633</v>
      </c>
      <c r="I59" s="6" t="s">
        <v>1605</v>
      </c>
      <c r="J59" s="7" t="n">
        <v>2.6</v>
      </c>
    </row>
    <row r="60" customFormat="false" ht="15" hidden="false" customHeight="false" outlineLevel="0" collapsed="false">
      <c r="A60" s="6" t="s">
        <v>1765</v>
      </c>
      <c r="B60" s="6" t="s">
        <v>902</v>
      </c>
      <c r="C60" s="6" t="s">
        <v>51</v>
      </c>
      <c r="D60" s="6" t="s">
        <v>1766</v>
      </c>
      <c r="E60" s="6" t="s">
        <v>1767</v>
      </c>
      <c r="F60" s="6" t="s">
        <v>1602</v>
      </c>
      <c r="G60" s="6" t="s">
        <v>1603</v>
      </c>
      <c r="H60" s="6" t="s">
        <v>1633</v>
      </c>
      <c r="I60" s="6" t="s">
        <v>1605</v>
      </c>
      <c r="J60" s="7" t="n">
        <v>2.5</v>
      </c>
    </row>
    <row r="61" customFormat="false" ht="15" hidden="false" customHeight="false" outlineLevel="0" collapsed="false">
      <c r="A61" s="6" t="s">
        <v>1768</v>
      </c>
      <c r="B61" s="6" t="s">
        <v>801</v>
      </c>
      <c r="C61" s="6" t="s">
        <v>51</v>
      </c>
      <c r="D61" s="6" t="s">
        <v>1769</v>
      </c>
      <c r="E61" s="6" t="s">
        <v>1770</v>
      </c>
      <c r="F61" s="6" t="s">
        <v>1617</v>
      </c>
      <c r="G61" s="6" t="s">
        <v>1618</v>
      </c>
      <c r="H61" s="6" t="s">
        <v>1604</v>
      </c>
      <c r="I61" s="6" t="s">
        <v>1605</v>
      </c>
      <c r="J61" s="7" t="n">
        <v>2</v>
      </c>
    </row>
    <row r="62" customFormat="false" ht="15" hidden="false" customHeight="false" outlineLevel="0" collapsed="false">
      <c r="A62" s="6" t="s">
        <v>1771</v>
      </c>
      <c r="B62" s="6" t="s">
        <v>899</v>
      </c>
      <c r="C62" s="6" t="s">
        <v>51</v>
      </c>
      <c r="D62" s="6" t="s">
        <v>1772</v>
      </c>
      <c r="E62" s="6" t="s">
        <v>1773</v>
      </c>
      <c r="F62" s="6" t="s">
        <v>1602</v>
      </c>
      <c r="G62" s="6" t="s">
        <v>1610</v>
      </c>
      <c r="H62" s="6" t="s">
        <v>1633</v>
      </c>
      <c r="I62" s="6" t="s">
        <v>1605</v>
      </c>
      <c r="J62" s="7" t="n">
        <v>3.6</v>
      </c>
    </row>
    <row r="63" customFormat="false" ht="15" hidden="false" customHeight="false" outlineLevel="0" collapsed="false">
      <c r="A63" s="6" t="s">
        <v>1774</v>
      </c>
      <c r="B63" s="6" t="s">
        <v>815</v>
      </c>
      <c r="C63" s="6" t="s">
        <v>51</v>
      </c>
      <c r="D63" s="6" t="s">
        <v>1775</v>
      </c>
      <c r="E63" s="6" t="s">
        <v>1776</v>
      </c>
      <c r="F63" s="6" t="s">
        <v>1602</v>
      </c>
      <c r="G63" s="6" t="s">
        <v>1618</v>
      </c>
      <c r="H63" s="6" t="s">
        <v>1604</v>
      </c>
      <c r="I63" s="6" t="s">
        <v>1605</v>
      </c>
      <c r="J63" s="7" t="n">
        <v>3.2</v>
      </c>
    </row>
    <row r="64" customFormat="false" ht="15" hidden="false" customHeight="false" outlineLevel="0" collapsed="false">
      <c r="A64" s="6" t="s">
        <v>1777</v>
      </c>
      <c r="B64" s="6" t="s">
        <v>964</v>
      </c>
      <c r="C64" s="6" t="s">
        <v>51</v>
      </c>
      <c r="D64" s="6" t="s">
        <v>1778</v>
      </c>
      <c r="E64" s="6" t="s">
        <v>1779</v>
      </c>
      <c r="F64" s="6" t="s">
        <v>1615</v>
      </c>
      <c r="G64" s="6" t="s">
        <v>1610</v>
      </c>
      <c r="H64" s="6" t="s">
        <v>1604</v>
      </c>
      <c r="I64" s="6" t="s">
        <v>1605</v>
      </c>
      <c r="J64" s="7" t="n">
        <v>3.1</v>
      </c>
    </row>
    <row r="65" customFormat="false" ht="15" hidden="false" customHeight="false" outlineLevel="0" collapsed="false">
      <c r="A65" s="6" t="s">
        <v>1780</v>
      </c>
      <c r="B65" s="6" t="s">
        <v>828</v>
      </c>
      <c r="C65" s="6" t="s">
        <v>51</v>
      </c>
      <c r="D65" s="6" t="s">
        <v>1781</v>
      </c>
      <c r="E65" s="6" t="s">
        <v>1782</v>
      </c>
      <c r="F65" s="6" t="s">
        <v>1609</v>
      </c>
      <c r="G65" s="6" t="s">
        <v>1618</v>
      </c>
      <c r="H65" s="6" t="s">
        <v>1611</v>
      </c>
      <c r="I65" s="6" t="s">
        <v>1605</v>
      </c>
      <c r="J65" s="7" t="n">
        <v>2.7</v>
      </c>
    </row>
    <row r="66" customFormat="false" ht="15" hidden="false" customHeight="false" outlineLevel="0" collapsed="false">
      <c r="A66" s="6" t="s">
        <v>1783</v>
      </c>
      <c r="B66" s="6" t="s">
        <v>872</v>
      </c>
      <c r="C66" s="6" t="s">
        <v>51</v>
      </c>
      <c r="D66" s="6" t="s">
        <v>1784</v>
      </c>
      <c r="E66" s="6" t="s">
        <v>1785</v>
      </c>
      <c r="F66" s="6" t="s">
        <v>1620</v>
      </c>
      <c r="G66" s="6" t="s">
        <v>1618</v>
      </c>
      <c r="H66" s="6" t="s">
        <v>1604</v>
      </c>
      <c r="I66" s="6" t="s">
        <v>1605</v>
      </c>
      <c r="J66" s="7" t="n">
        <v>2.9</v>
      </c>
    </row>
    <row r="67" customFormat="false" ht="15" hidden="false" customHeight="false" outlineLevel="0" collapsed="false">
      <c r="A67" s="6" t="s">
        <v>1786</v>
      </c>
      <c r="B67" s="6" t="s">
        <v>840</v>
      </c>
      <c r="C67" s="6" t="s">
        <v>51</v>
      </c>
      <c r="D67" s="6" t="s">
        <v>1787</v>
      </c>
      <c r="E67" s="6" t="s">
        <v>1788</v>
      </c>
      <c r="F67" s="6" t="s">
        <v>1646</v>
      </c>
      <c r="G67" s="6" t="s">
        <v>1603</v>
      </c>
      <c r="H67" s="6" t="s">
        <v>1611</v>
      </c>
      <c r="I67" s="6" t="s">
        <v>1605</v>
      </c>
      <c r="J67" s="7" t="n">
        <v>1.2</v>
      </c>
    </row>
    <row r="68" customFormat="false" ht="15" hidden="false" customHeight="false" outlineLevel="0" collapsed="false">
      <c r="A68" s="6" t="s">
        <v>1789</v>
      </c>
      <c r="B68" s="6" t="s">
        <v>823</v>
      </c>
      <c r="C68" s="6" t="s">
        <v>51</v>
      </c>
      <c r="D68" s="6" t="s">
        <v>1790</v>
      </c>
      <c r="E68" s="6" t="s">
        <v>1791</v>
      </c>
      <c r="F68" s="6" t="s">
        <v>1609</v>
      </c>
      <c r="G68" s="6" t="s">
        <v>1618</v>
      </c>
      <c r="H68" s="6" t="s">
        <v>1604</v>
      </c>
      <c r="I68" s="6" t="s">
        <v>1605</v>
      </c>
      <c r="J68" s="7" t="n">
        <v>1.2</v>
      </c>
    </row>
    <row r="69" customFormat="false" ht="15" hidden="false" customHeight="false" outlineLevel="0" collapsed="false">
      <c r="A69" s="6" t="s">
        <v>1792</v>
      </c>
      <c r="B69" s="6" t="s">
        <v>969</v>
      </c>
      <c r="C69" s="6" t="s">
        <v>51</v>
      </c>
      <c r="D69" s="6" t="s">
        <v>1793</v>
      </c>
      <c r="E69" s="6" t="s">
        <v>1600</v>
      </c>
      <c r="F69" s="6" t="s">
        <v>1602</v>
      </c>
      <c r="G69" s="6" t="s">
        <v>1610</v>
      </c>
      <c r="H69" s="6" t="s">
        <v>1604</v>
      </c>
      <c r="I69" s="6" t="s">
        <v>1605</v>
      </c>
      <c r="J69" s="7" t="n">
        <v>2.4</v>
      </c>
    </row>
    <row r="70" customFormat="false" ht="15" hidden="false" customHeight="false" outlineLevel="0" collapsed="false">
      <c r="A70" s="6" t="s">
        <v>1794</v>
      </c>
      <c r="B70" s="6" t="s">
        <v>811</v>
      </c>
      <c r="C70" s="6" t="s">
        <v>51</v>
      </c>
      <c r="D70" s="6" t="s">
        <v>1795</v>
      </c>
      <c r="E70" s="6" t="s">
        <v>1613</v>
      </c>
      <c r="F70" s="6" t="s">
        <v>1646</v>
      </c>
      <c r="G70" s="6" t="s">
        <v>1618</v>
      </c>
      <c r="H70" s="6" t="s">
        <v>1626</v>
      </c>
      <c r="I70" s="6" t="s">
        <v>1605</v>
      </c>
      <c r="J70" s="7" t="n">
        <v>1.4</v>
      </c>
    </row>
    <row r="71" customFormat="false" ht="15" hidden="false" customHeight="false" outlineLevel="0" collapsed="false">
      <c r="A71" s="6" t="s">
        <v>1796</v>
      </c>
      <c r="B71" s="6" t="s">
        <v>826</v>
      </c>
      <c r="C71" s="6" t="s">
        <v>51</v>
      </c>
      <c r="D71" s="6" t="s">
        <v>1797</v>
      </c>
      <c r="E71" s="6" t="s">
        <v>1798</v>
      </c>
      <c r="F71" s="6" t="s">
        <v>1609</v>
      </c>
      <c r="G71" s="6" t="s">
        <v>1618</v>
      </c>
      <c r="H71" s="6" t="s">
        <v>1633</v>
      </c>
      <c r="I71" s="6" t="s">
        <v>1605</v>
      </c>
      <c r="J71" s="7" t="n">
        <v>1</v>
      </c>
    </row>
    <row r="72" customFormat="false" ht="15" hidden="false" customHeight="false" outlineLevel="0" collapsed="false">
      <c r="A72" s="6" t="s">
        <v>1799</v>
      </c>
      <c r="B72" s="6" t="s">
        <v>818</v>
      </c>
      <c r="C72" s="6" t="s">
        <v>51</v>
      </c>
      <c r="D72" s="6" t="s">
        <v>1800</v>
      </c>
      <c r="E72" s="6" t="s">
        <v>1801</v>
      </c>
      <c r="F72" s="6" t="s">
        <v>1602</v>
      </c>
      <c r="G72" s="6" t="s">
        <v>1603</v>
      </c>
      <c r="H72" s="6" t="s">
        <v>1604</v>
      </c>
      <c r="I72" s="6" t="s">
        <v>1605</v>
      </c>
      <c r="J72" s="7" t="n">
        <v>1</v>
      </c>
    </row>
    <row r="73" customFormat="false" ht="15" hidden="false" customHeight="false" outlineLevel="0" collapsed="false">
      <c r="A73" s="6" t="s">
        <v>1802</v>
      </c>
      <c r="B73" s="6" t="s">
        <v>959</v>
      </c>
      <c r="C73" s="6" t="s">
        <v>51</v>
      </c>
      <c r="D73" s="6" t="s">
        <v>1800</v>
      </c>
      <c r="E73" s="6" t="s">
        <v>1801</v>
      </c>
      <c r="F73" s="6" t="s">
        <v>1620</v>
      </c>
      <c r="G73" s="6" t="s">
        <v>1610</v>
      </c>
      <c r="H73" s="6" t="s">
        <v>1626</v>
      </c>
      <c r="I73" s="6" t="s">
        <v>1605</v>
      </c>
      <c r="J73" s="7" t="n">
        <v>0.6</v>
      </c>
    </row>
    <row r="74" customFormat="false" ht="15" hidden="false" customHeight="false" outlineLevel="0" collapsed="false">
      <c r="A74" s="6" t="s">
        <v>1803</v>
      </c>
      <c r="B74" s="6" t="s">
        <v>441</v>
      </c>
      <c r="C74" s="6" t="s">
        <v>51</v>
      </c>
      <c r="D74" s="6" t="s">
        <v>1800</v>
      </c>
      <c r="E74" s="6" t="s">
        <v>1801</v>
      </c>
      <c r="F74" s="6" t="s">
        <v>1620</v>
      </c>
      <c r="G74" s="6" t="s">
        <v>1610</v>
      </c>
      <c r="H74" s="6" t="s">
        <v>1604</v>
      </c>
      <c r="I74" s="6" t="s">
        <v>1605</v>
      </c>
      <c r="J74" s="7" t="n">
        <v>3</v>
      </c>
    </row>
    <row r="75" customFormat="false" ht="15" hidden="false" customHeight="false" outlineLevel="0" collapsed="false">
      <c r="A75" s="6" t="s">
        <v>1804</v>
      </c>
      <c r="B75" s="6" t="s">
        <v>807</v>
      </c>
      <c r="C75" s="6" t="s">
        <v>51</v>
      </c>
      <c r="D75" s="6" t="s">
        <v>1805</v>
      </c>
      <c r="E75" s="6" t="s">
        <v>1806</v>
      </c>
      <c r="F75" s="6" t="s">
        <v>1609</v>
      </c>
      <c r="G75" s="6" t="s">
        <v>1610</v>
      </c>
      <c r="H75" s="6" t="s">
        <v>1633</v>
      </c>
      <c r="I75" s="6" t="s">
        <v>1605</v>
      </c>
      <c r="J75" s="7" t="n">
        <v>2.8</v>
      </c>
    </row>
    <row r="76" customFormat="false" ht="15" hidden="false" customHeight="false" outlineLevel="0" collapsed="false">
      <c r="A76" s="6" t="s">
        <v>1807</v>
      </c>
      <c r="B76" s="6" t="s">
        <v>932</v>
      </c>
      <c r="C76" s="6" t="s">
        <v>51</v>
      </c>
      <c r="D76" s="6" t="s">
        <v>1805</v>
      </c>
      <c r="E76" s="6" t="s">
        <v>1806</v>
      </c>
      <c r="F76" s="6" t="s">
        <v>1615</v>
      </c>
      <c r="G76" s="6" t="s">
        <v>1603</v>
      </c>
      <c r="H76" s="6" t="s">
        <v>1633</v>
      </c>
      <c r="I76" s="6" t="s">
        <v>1605</v>
      </c>
      <c r="J76" s="7" t="n">
        <v>1.9</v>
      </c>
    </row>
    <row r="77" customFormat="false" ht="15" hidden="false" customHeight="false" outlineLevel="0" collapsed="false">
      <c r="A77" s="6" t="s">
        <v>1808</v>
      </c>
      <c r="B77" s="6" t="s">
        <v>343</v>
      </c>
      <c r="C77" s="6" t="s">
        <v>51</v>
      </c>
      <c r="D77" s="6" t="s">
        <v>1809</v>
      </c>
      <c r="E77" s="6" t="s">
        <v>1648</v>
      </c>
      <c r="F77" s="6" t="s">
        <v>1646</v>
      </c>
      <c r="G77" s="6" t="s">
        <v>1618</v>
      </c>
      <c r="H77" s="6" t="s">
        <v>1611</v>
      </c>
      <c r="I77" s="6" t="s">
        <v>1605</v>
      </c>
      <c r="J77" s="7" t="n">
        <v>0.5</v>
      </c>
    </row>
    <row r="79" customFormat="false" ht="15" hidden="false" customHeight="false" outlineLevel="0" collapsed="false">
      <c r="A79" s="9" t="s">
        <v>1810</v>
      </c>
    </row>
    <row r="80" customFormat="false" ht="15" hidden="false" customHeight="false" outlineLevel="0" collapsed="false">
      <c r="A80" s="9" t="s">
        <v>1811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5"/>
    <col collapsed="false" customWidth="true" hidden="false" outlineLevel="0" max="4" min="4" style="0" width="10"/>
    <col collapsed="false" customWidth="true" hidden="false" outlineLevel="0" max="5" min="5" style="0" width="12"/>
    <col collapsed="false" customWidth="true" hidden="false" outlineLevel="0" max="6" min="6" style="0" width="46"/>
    <col collapsed="false" customWidth="true" hidden="false" outlineLevel="0" max="7" min="7" style="0" width="19"/>
    <col collapsed="false" customWidth="true" hidden="false" outlineLevel="0" max="8" min="8" style="0" width="15"/>
    <col collapsed="false" customWidth="true" hidden="false" outlineLevel="0" max="9" min="9" style="0" width="18"/>
    <col collapsed="false" customWidth="true" hidden="false" outlineLevel="0" max="10" min="10" style="0" width="40"/>
  </cols>
  <sheetData>
    <row r="1" customFormat="false" ht="30" hidden="false" customHeight="true" outlineLevel="0" collapsed="false">
      <c r="A1" s="5" t="s">
        <v>1812</v>
      </c>
      <c r="B1" s="5" t="s">
        <v>32</v>
      </c>
      <c r="C1" s="5" t="s">
        <v>778</v>
      </c>
      <c r="D1" s="5" t="s">
        <v>1357</v>
      </c>
      <c r="E1" s="5" t="s">
        <v>1813</v>
      </c>
      <c r="F1" s="5" t="s">
        <v>1814</v>
      </c>
      <c r="G1" s="5" t="s">
        <v>1815</v>
      </c>
      <c r="H1" s="5" t="s">
        <v>40</v>
      </c>
      <c r="I1" s="5" t="s">
        <v>1816</v>
      </c>
      <c r="J1" s="5" t="s">
        <v>97</v>
      </c>
    </row>
    <row r="2" customFormat="false" ht="15" hidden="false" customHeight="false" outlineLevel="0" collapsed="false">
      <c r="A2" s="6" t="s">
        <v>1817</v>
      </c>
      <c r="B2" s="6" t="s">
        <v>51</v>
      </c>
      <c r="C2" s="6" t="s">
        <v>441</v>
      </c>
      <c r="D2" s="6" t="s">
        <v>1378</v>
      </c>
      <c r="E2" s="6" t="s">
        <v>1818</v>
      </c>
      <c r="F2" s="6" t="s">
        <v>1819</v>
      </c>
      <c r="G2" s="6" t="s">
        <v>1820</v>
      </c>
      <c r="H2" s="6" t="s">
        <v>1821</v>
      </c>
      <c r="I2" s="6" t="s">
        <v>8</v>
      </c>
      <c r="J2" s="6" t="s">
        <v>1822</v>
      </c>
    </row>
    <row r="3" customFormat="false" ht="15" hidden="false" customHeight="false" outlineLevel="0" collapsed="false">
      <c r="A3" s="6" t="s">
        <v>1823</v>
      </c>
      <c r="B3" s="6" t="s">
        <v>51</v>
      </c>
      <c r="C3" s="6" t="s">
        <v>820</v>
      </c>
      <c r="D3" s="6" t="s">
        <v>1394</v>
      </c>
      <c r="E3" s="6" t="s">
        <v>1824</v>
      </c>
      <c r="F3" s="6" t="s">
        <v>1825</v>
      </c>
      <c r="G3" s="6" t="s">
        <v>1826</v>
      </c>
      <c r="H3" s="6" t="s">
        <v>1827</v>
      </c>
      <c r="I3" s="6" t="s">
        <v>1828</v>
      </c>
      <c r="J3" s="6" t="s">
        <v>1829</v>
      </c>
    </row>
    <row r="4" customFormat="false" ht="15" hidden="false" customHeight="false" outlineLevel="0" collapsed="false">
      <c r="A4" s="6" t="s">
        <v>1830</v>
      </c>
      <c r="B4" s="6" t="s">
        <v>51</v>
      </c>
      <c r="C4" s="6" t="s">
        <v>872</v>
      </c>
      <c r="D4" s="6" t="s">
        <v>1831</v>
      </c>
      <c r="E4" s="6" t="s">
        <v>1824</v>
      </c>
      <c r="F4" s="6" t="s">
        <v>1832</v>
      </c>
      <c r="G4" s="6" t="s">
        <v>1833</v>
      </c>
      <c r="H4" s="6" t="s">
        <v>1821</v>
      </c>
      <c r="I4" s="6" t="s">
        <v>1828</v>
      </c>
      <c r="J4" s="6"/>
    </row>
    <row r="5" customFormat="false" ht="15" hidden="false" customHeight="false" outlineLevel="0" collapsed="false">
      <c r="A5" s="6" t="s">
        <v>1834</v>
      </c>
      <c r="B5" s="6" t="s">
        <v>59</v>
      </c>
      <c r="C5" s="6" t="s">
        <v>966</v>
      </c>
      <c r="D5" s="6" t="s">
        <v>1378</v>
      </c>
      <c r="E5" s="6" t="s">
        <v>1818</v>
      </c>
      <c r="F5" s="6" t="s">
        <v>1835</v>
      </c>
      <c r="G5" s="6" t="s">
        <v>1836</v>
      </c>
      <c r="H5" s="6" t="s">
        <v>1821</v>
      </c>
      <c r="I5" s="6" t="s">
        <v>8</v>
      </c>
      <c r="J5" s="6" t="s">
        <v>1837</v>
      </c>
    </row>
    <row r="6" customFormat="false" ht="15" hidden="false" customHeight="false" outlineLevel="0" collapsed="false">
      <c r="A6" s="6" t="s">
        <v>1838</v>
      </c>
      <c r="B6" s="6" t="s">
        <v>59</v>
      </c>
      <c r="C6" s="6" t="s">
        <v>218</v>
      </c>
      <c r="D6" s="6" t="s">
        <v>1394</v>
      </c>
      <c r="E6" s="6" t="s">
        <v>1824</v>
      </c>
      <c r="F6" s="6" t="s">
        <v>1839</v>
      </c>
      <c r="G6" s="6" t="s">
        <v>1840</v>
      </c>
      <c r="H6" s="6" t="s">
        <v>1821</v>
      </c>
      <c r="I6" s="6" t="s">
        <v>1828</v>
      </c>
      <c r="J6" s="6"/>
    </row>
    <row r="7" customFormat="false" ht="15" hidden="false" customHeight="false" outlineLevel="0" collapsed="false">
      <c r="A7" s="6" t="s">
        <v>1841</v>
      </c>
      <c r="B7" s="6" t="s">
        <v>63</v>
      </c>
      <c r="C7" s="6" t="s">
        <v>959</v>
      </c>
      <c r="D7" s="6" t="s">
        <v>1378</v>
      </c>
      <c r="E7" s="6" t="s">
        <v>1842</v>
      </c>
      <c r="F7" s="6" t="s">
        <v>1843</v>
      </c>
      <c r="G7" s="6" t="s">
        <v>1844</v>
      </c>
      <c r="H7" s="6" t="s">
        <v>1827</v>
      </c>
      <c r="I7" s="6" t="s">
        <v>8</v>
      </c>
      <c r="J7" s="6" t="s">
        <v>1845</v>
      </c>
    </row>
    <row r="8" customFormat="false" ht="15" hidden="false" customHeight="false" outlineLevel="0" collapsed="false">
      <c r="A8" s="6" t="s">
        <v>1846</v>
      </c>
      <c r="B8" s="6" t="s">
        <v>63</v>
      </c>
      <c r="C8" s="6" t="s">
        <v>971</v>
      </c>
      <c r="D8" s="6" t="s">
        <v>1394</v>
      </c>
      <c r="E8" s="6" t="s">
        <v>1818</v>
      </c>
      <c r="F8" s="6" t="s">
        <v>1847</v>
      </c>
      <c r="G8" s="6" t="s">
        <v>1848</v>
      </c>
      <c r="H8" s="6" t="s">
        <v>1821</v>
      </c>
      <c r="I8" s="6" t="s">
        <v>8</v>
      </c>
      <c r="J8" s="6"/>
    </row>
    <row r="9" customFormat="false" ht="15" hidden="false" customHeight="false" outlineLevel="0" collapsed="false">
      <c r="A9" s="6" t="s">
        <v>1849</v>
      </c>
      <c r="B9" s="6" t="s">
        <v>75</v>
      </c>
      <c r="C9" s="6" t="s">
        <v>807</v>
      </c>
      <c r="D9" s="6" t="s">
        <v>1394</v>
      </c>
      <c r="E9" s="6" t="s">
        <v>1824</v>
      </c>
      <c r="F9" s="6" t="s">
        <v>1850</v>
      </c>
      <c r="G9" s="6" t="s">
        <v>1851</v>
      </c>
      <c r="H9" s="6" t="s">
        <v>1821</v>
      </c>
      <c r="I9" s="6" t="s">
        <v>8</v>
      </c>
      <c r="J9" s="6" t="s">
        <v>1852</v>
      </c>
    </row>
    <row r="10" customFormat="false" ht="15" hidden="false" customHeight="false" outlineLevel="0" collapsed="false">
      <c r="A10" s="6" t="s">
        <v>1853</v>
      </c>
      <c r="B10" s="6" t="s">
        <v>75</v>
      </c>
      <c r="C10" s="6" t="s">
        <v>791</v>
      </c>
      <c r="D10" s="6" t="s">
        <v>1364</v>
      </c>
      <c r="E10" s="6" t="s">
        <v>1824</v>
      </c>
      <c r="F10" s="6" t="s">
        <v>1854</v>
      </c>
      <c r="G10" s="6" t="s">
        <v>1855</v>
      </c>
      <c r="H10" s="6" t="s">
        <v>1856</v>
      </c>
      <c r="I10" s="6" t="s">
        <v>1857</v>
      </c>
      <c r="J10" s="6" t="s">
        <v>1858</v>
      </c>
    </row>
    <row r="11" customFormat="false" ht="15" hidden="false" customHeight="false" outlineLevel="0" collapsed="false">
      <c r="A11" s="6" t="s">
        <v>1859</v>
      </c>
      <c r="B11" s="6" t="s">
        <v>69</v>
      </c>
      <c r="C11" s="6" t="s">
        <v>645</v>
      </c>
      <c r="D11" s="6" t="s">
        <v>1831</v>
      </c>
      <c r="E11" s="6" t="s">
        <v>1818</v>
      </c>
      <c r="F11" s="6" t="s">
        <v>1860</v>
      </c>
      <c r="G11" s="6" t="s">
        <v>1861</v>
      </c>
      <c r="H11" s="6" t="s">
        <v>1821</v>
      </c>
      <c r="I11" s="6" t="s">
        <v>8</v>
      </c>
      <c r="J11" s="6"/>
    </row>
    <row r="12" customFormat="false" ht="15" hidden="false" customHeight="false" outlineLevel="0" collapsed="false">
      <c r="A12" s="6" t="s">
        <v>1862</v>
      </c>
      <c r="B12" s="6" t="s">
        <v>51</v>
      </c>
      <c r="C12" s="6" t="s">
        <v>1065</v>
      </c>
      <c r="D12" s="6" t="s">
        <v>1394</v>
      </c>
      <c r="E12" s="6" t="s">
        <v>1863</v>
      </c>
      <c r="F12" s="6" t="s">
        <v>1864</v>
      </c>
      <c r="G12" s="6" t="s">
        <v>1865</v>
      </c>
      <c r="H12" s="6" t="s">
        <v>1821</v>
      </c>
      <c r="I12" s="6" t="s">
        <v>1866</v>
      </c>
      <c r="J12" s="6" t="s">
        <v>1867</v>
      </c>
    </row>
    <row r="13" customFormat="false" ht="15" hidden="false" customHeight="false" outlineLevel="0" collapsed="false">
      <c r="A13" s="6" t="s">
        <v>1868</v>
      </c>
      <c r="B13" s="6" t="s">
        <v>63</v>
      </c>
      <c r="C13" s="6" t="s">
        <v>964</v>
      </c>
      <c r="D13" s="6" t="s">
        <v>1394</v>
      </c>
      <c r="E13" s="6" t="s">
        <v>1842</v>
      </c>
      <c r="F13" s="6" t="s">
        <v>1869</v>
      </c>
      <c r="G13" s="6" t="s">
        <v>1870</v>
      </c>
      <c r="H13" s="6" t="s">
        <v>1821</v>
      </c>
      <c r="I13" s="6" t="s">
        <v>1871</v>
      </c>
      <c r="J13" s="6" t="s">
        <v>1872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8"/>
    <col collapsed="false" customWidth="true" hidden="false" outlineLevel="0" max="4" min="3" style="0" width="9"/>
    <col collapsed="false" customWidth="true" hidden="false" outlineLevel="0" max="5" min="5" style="0" width="13"/>
    <col collapsed="false" customWidth="true" hidden="false" outlineLevel="0" max="7" min="6" style="0" width="9"/>
    <col collapsed="false" customWidth="true" hidden="false" outlineLevel="0" max="8" min="8" style="0" width="17"/>
    <col collapsed="false" customWidth="true" hidden="false" outlineLevel="0" max="9" min="9" style="0" width="56"/>
  </cols>
  <sheetData>
    <row r="1" customFormat="false" ht="30" hidden="false" customHeight="true" outlineLevel="0" collapsed="false">
      <c r="A1" s="5" t="s">
        <v>1258</v>
      </c>
      <c r="B1" s="5" t="s">
        <v>1873</v>
      </c>
      <c r="C1" s="5" t="s">
        <v>1874</v>
      </c>
      <c r="D1" s="5" t="s">
        <v>1875</v>
      </c>
      <c r="E1" s="5" t="s">
        <v>1876</v>
      </c>
      <c r="F1" s="5" t="s">
        <v>1877</v>
      </c>
      <c r="G1" s="5" t="s">
        <v>1878</v>
      </c>
      <c r="H1" s="5" t="s">
        <v>1879</v>
      </c>
      <c r="I1" s="5" t="s">
        <v>1880</v>
      </c>
    </row>
    <row r="2" customFormat="false" ht="15" hidden="false" customHeight="false" outlineLevel="0" collapsed="false">
      <c r="A2" s="6" t="s">
        <v>1267</v>
      </c>
      <c r="B2" s="6" t="s">
        <v>1881</v>
      </c>
      <c r="C2" s="7" t="n">
        <v>1.34</v>
      </c>
      <c r="D2" s="7" t="n">
        <v>1.48</v>
      </c>
      <c r="E2" s="7" t="n">
        <v>1.61</v>
      </c>
      <c r="F2" s="7" t="n">
        <v>1.75</v>
      </c>
      <c r="G2" s="7" t="n">
        <v>1.92</v>
      </c>
      <c r="H2" s="6" t="s">
        <v>1882</v>
      </c>
      <c r="I2" s="6" t="s">
        <v>1883</v>
      </c>
    </row>
    <row r="3" customFormat="false" ht="15" hidden="false" customHeight="false" outlineLevel="0" collapsed="false">
      <c r="A3" s="6" t="s">
        <v>1267</v>
      </c>
      <c r="B3" s="6" t="s">
        <v>1884</v>
      </c>
      <c r="C3" s="7" t="n">
        <v>1.28</v>
      </c>
      <c r="D3" s="7" t="n">
        <v>1.39</v>
      </c>
      <c r="E3" s="7" t="n">
        <v>1.52</v>
      </c>
      <c r="F3" s="7" t="n">
        <v>1.66</v>
      </c>
      <c r="G3" s="7" t="n">
        <v>1.81</v>
      </c>
      <c r="H3" s="6" t="s">
        <v>1882</v>
      </c>
      <c r="I3" s="6" t="s">
        <v>1883</v>
      </c>
    </row>
    <row r="4" customFormat="false" ht="15" hidden="false" customHeight="false" outlineLevel="0" collapsed="false">
      <c r="A4" s="6" t="s">
        <v>1885</v>
      </c>
      <c r="B4" s="6" t="s">
        <v>1881</v>
      </c>
      <c r="C4" s="7" t="n">
        <v>0.62</v>
      </c>
      <c r="D4" s="7" t="n">
        <v>1.1</v>
      </c>
      <c r="E4" s="7" t="n">
        <v>1.74</v>
      </c>
      <c r="F4" s="7" t="n">
        <v>2.28</v>
      </c>
      <c r="G4" s="7" t="n">
        <v>2.9</v>
      </c>
      <c r="H4" s="6" t="s">
        <v>1882</v>
      </c>
      <c r="I4" s="6" t="s">
        <v>1883</v>
      </c>
    </row>
    <row r="5" customFormat="false" ht="15" hidden="false" customHeight="false" outlineLevel="0" collapsed="false">
      <c r="A5" s="6" t="s">
        <v>1885</v>
      </c>
      <c r="B5" s="6" t="s">
        <v>1884</v>
      </c>
      <c r="C5" s="7" t="n">
        <v>0.38</v>
      </c>
      <c r="D5" s="7" t="n">
        <v>0.81</v>
      </c>
      <c r="E5" s="7" t="n">
        <v>1.35</v>
      </c>
      <c r="F5" s="7" t="n">
        <v>1.92</v>
      </c>
      <c r="G5" s="7" t="n">
        <v>2.44</v>
      </c>
      <c r="H5" s="6" t="s">
        <v>1882</v>
      </c>
      <c r="I5" s="6" t="s">
        <v>1883</v>
      </c>
    </row>
    <row r="6" customFormat="false" ht="15" hidden="false" customHeight="false" outlineLevel="0" collapsed="false">
      <c r="A6" s="6" t="s">
        <v>1886</v>
      </c>
      <c r="B6" s="6" t="s">
        <v>1887</v>
      </c>
      <c r="C6" s="6" t="n">
        <v>8</v>
      </c>
      <c r="D6" s="6" t="n">
        <v>19</v>
      </c>
      <c r="E6" s="6" t="n">
        <v>34</v>
      </c>
      <c r="F6" s="6" t="n">
        <v>56</v>
      </c>
      <c r="G6" s="6" t="n">
        <v>78</v>
      </c>
      <c r="H6" s="6" t="s">
        <v>1888</v>
      </c>
      <c r="I6" s="6" t="s">
        <v>1883</v>
      </c>
    </row>
    <row r="7" customFormat="false" ht="15" hidden="false" customHeight="false" outlineLevel="0" collapsed="false">
      <c r="A7" s="6" t="s">
        <v>1889</v>
      </c>
      <c r="B7" s="6" t="s">
        <v>1887</v>
      </c>
      <c r="C7" s="6" t="n">
        <v>48</v>
      </c>
      <c r="D7" s="6" t="n">
        <v>96</v>
      </c>
      <c r="E7" s="6" t="n">
        <v>164</v>
      </c>
      <c r="F7" s="6" t="n">
        <v>248</v>
      </c>
      <c r="G7" s="6" t="n">
        <v>372</v>
      </c>
      <c r="H7" s="6" t="s">
        <v>1882</v>
      </c>
      <c r="I7" s="6" t="s">
        <v>1883</v>
      </c>
    </row>
    <row r="8" customFormat="false" ht="15" hidden="false" customHeight="false" outlineLevel="0" collapsed="false">
      <c r="A8" s="6" t="s">
        <v>1890</v>
      </c>
      <c r="B8" s="6" t="s">
        <v>1887</v>
      </c>
      <c r="C8" s="7" t="n">
        <v>4.2</v>
      </c>
      <c r="D8" s="7" t="n">
        <v>8.1</v>
      </c>
      <c r="E8" s="7" t="n">
        <v>14.6</v>
      </c>
      <c r="F8" s="7" t="n">
        <v>28</v>
      </c>
      <c r="G8" s="7" t="n">
        <v>54</v>
      </c>
      <c r="H8" s="6" t="s">
        <v>1891</v>
      </c>
      <c r="I8" s="6" t="s">
        <v>1883</v>
      </c>
    </row>
    <row r="9" customFormat="false" ht="15" hidden="false" customHeight="false" outlineLevel="0" collapsed="false">
      <c r="A9" s="6" t="s">
        <v>1892</v>
      </c>
      <c r="B9" s="6" t="s">
        <v>1887</v>
      </c>
      <c r="C9" s="6" t="n">
        <v>41</v>
      </c>
      <c r="D9" s="6" t="n">
        <v>56</v>
      </c>
      <c r="E9" s="6" t="n">
        <v>68</v>
      </c>
      <c r="F9" s="6" t="n">
        <v>79</v>
      </c>
      <c r="G9" s="6" t="n">
        <v>91</v>
      </c>
      <c r="H9" s="6" t="s">
        <v>1888</v>
      </c>
      <c r="I9" s="6" t="s">
        <v>1883</v>
      </c>
    </row>
    <row r="10" customFormat="false" ht="15" hidden="false" customHeight="false" outlineLevel="0" collapsed="false">
      <c r="A10" s="6" t="s">
        <v>1893</v>
      </c>
      <c r="B10" s="6" t="s">
        <v>1887</v>
      </c>
      <c r="C10" s="7" t="n">
        <v>2.1</v>
      </c>
      <c r="D10" s="7" t="n">
        <v>5.4</v>
      </c>
      <c r="E10" s="7" t="n">
        <v>9.8</v>
      </c>
      <c r="F10" s="7" t="n">
        <v>15.2</v>
      </c>
      <c r="G10" s="7" t="n">
        <v>22.6</v>
      </c>
      <c r="H10" s="6" t="s">
        <v>1882</v>
      </c>
      <c r="I10" s="6" t="s">
        <v>1883</v>
      </c>
    </row>
    <row r="12" customFormat="false" ht="15" hidden="false" customHeight="false" outlineLevel="0" collapsed="false">
      <c r="A12" s="9" t="s">
        <v>1894</v>
      </c>
    </row>
    <row r="13" customFormat="false" ht="15" hidden="false" customHeight="false" outlineLevel="0" collapsed="false">
      <c r="A13" s="9" t="s">
        <v>1895</v>
      </c>
    </row>
    <row r="14" customFormat="false" ht="15" hidden="false" customHeight="false" outlineLevel="0" collapsed="false">
      <c r="A14" s="9" t="s">
        <v>1896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13"/>
    <col collapsed="false" customWidth="true" hidden="false" outlineLevel="0" max="4" min="4" style="0" width="18"/>
    <col collapsed="false" customWidth="true" hidden="false" outlineLevel="0" max="5" min="5" style="0" width="9"/>
    <col collapsed="false" customWidth="true" hidden="false" outlineLevel="0" max="7" min="6" style="0" width="16"/>
    <col collapsed="false" customWidth="true" hidden="false" outlineLevel="0" max="8" min="8" style="0" width="13"/>
    <col collapsed="false" customWidth="true" hidden="false" outlineLevel="0" max="9" min="9" style="0" width="28"/>
  </cols>
  <sheetData>
    <row r="1" customFormat="false" ht="30" hidden="false" customHeight="true" outlineLevel="0" collapsed="false">
      <c r="A1" s="5" t="s">
        <v>32</v>
      </c>
      <c r="B1" s="5" t="s">
        <v>1463</v>
      </c>
      <c r="C1" s="5" t="s">
        <v>1897</v>
      </c>
      <c r="D1" s="5" t="s">
        <v>1898</v>
      </c>
      <c r="E1" s="5" t="s">
        <v>46</v>
      </c>
      <c r="F1" s="5" t="s">
        <v>47</v>
      </c>
      <c r="G1" s="5" t="s">
        <v>43</v>
      </c>
      <c r="H1" s="5" t="s">
        <v>1899</v>
      </c>
      <c r="I1" s="5" t="s">
        <v>1418</v>
      </c>
    </row>
    <row r="2" customFormat="false" ht="15" hidden="false" customHeight="false" outlineLevel="0" collapsed="false">
      <c r="A2" s="6" t="s">
        <v>51</v>
      </c>
      <c r="B2" s="6" t="s">
        <v>1900</v>
      </c>
      <c r="C2" s="8" t="n">
        <v>5674</v>
      </c>
      <c r="D2" s="8" t="n">
        <v>8982</v>
      </c>
      <c r="E2" s="7" t="n">
        <v>1.583</v>
      </c>
      <c r="F2" s="7" t="n">
        <v>1.773</v>
      </c>
      <c r="G2" s="7" t="n">
        <v>56.7</v>
      </c>
      <c r="H2" s="7" t="n">
        <v>99.9821</v>
      </c>
      <c r="I2" s="6"/>
    </row>
    <row r="3" customFormat="false" ht="15" hidden="false" customHeight="false" outlineLevel="0" collapsed="false">
      <c r="A3" s="6" t="s">
        <v>51</v>
      </c>
      <c r="B3" s="6" t="s">
        <v>1900</v>
      </c>
      <c r="C3" s="8" t="n">
        <v>5707</v>
      </c>
      <c r="D3" s="8" t="n">
        <v>8989</v>
      </c>
      <c r="E3" s="7" t="n">
        <v>1.575</v>
      </c>
      <c r="F3" s="7" t="n">
        <v>1.822</v>
      </c>
      <c r="G3" s="7" t="n">
        <v>57.1</v>
      </c>
      <c r="H3" s="7" t="n">
        <v>99.9748</v>
      </c>
      <c r="I3" s="6"/>
    </row>
    <row r="4" customFormat="false" ht="15" hidden="false" customHeight="false" outlineLevel="0" collapsed="false">
      <c r="A4" s="6" t="s">
        <v>51</v>
      </c>
      <c r="B4" s="6" t="s">
        <v>1901</v>
      </c>
      <c r="C4" s="8" t="n">
        <v>5692</v>
      </c>
      <c r="D4" s="8" t="n">
        <v>9019</v>
      </c>
      <c r="E4" s="7" t="n">
        <v>1.585</v>
      </c>
      <c r="F4" s="7" t="n">
        <v>1.809</v>
      </c>
      <c r="G4" s="7" t="n">
        <v>56.9</v>
      </c>
      <c r="H4" s="7" t="n">
        <v>99.994</v>
      </c>
      <c r="I4" s="6"/>
    </row>
    <row r="5" customFormat="false" ht="15" hidden="false" customHeight="false" outlineLevel="0" collapsed="false">
      <c r="A5" s="6" t="s">
        <v>51</v>
      </c>
      <c r="B5" s="6" t="s">
        <v>1902</v>
      </c>
      <c r="C5" s="8" t="n">
        <v>5799</v>
      </c>
      <c r="D5" s="8" t="n">
        <v>9217</v>
      </c>
      <c r="E5" s="7" t="n">
        <v>1.589</v>
      </c>
      <c r="F5" s="7" t="n">
        <v>1.837</v>
      </c>
      <c r="G5" s="7" t="n">
        <v>58</v>
      </c>
      <c r="H5" s="7" t="n">
        <v>99.9763</v>
      </c>
      <c r="I5" s="6"/>
    </row>
    <row r="6" customFormat="false" ht="15" hidden="false" customHeight="false" outlineLevel="0" collapsed="false">
      <c r="A6" s="6" t="s">
        <v>51</v>
      </c>
      <c r="B6" s="6" t="s">
        <v>1903</v>
      </c>
      <c r="C6" s="8" t="n">
        <v>5836</v>
      </c>
      <c r="D6" s="8" t="n">
        <v>9161</v>
      </c>
      <c r="E6" s="7" t="n">
        <v>1.57</v>
      </c>
      <c r="F6" s="7" t="n">
        <v>1.77</v>
      </c>
      <c r="G6" s="7" t="n">
        <v>58.4</v>
      </c>
      <c r="H6" s="7" t="n">
        <v>99.9719</v>
      </c>
      <c r="I6" s="6"/>
    </row>
    <row r="7" customFormat="false" ht="15" hidden="false" customHeight="false" outlineLevel="0" collapsed="false">
      <c r="A7" s="6" t="s">
        <v>51</v>
      </c>
      <c r="B7" s="6" t="s">
        <v>1904</v>
      </c>
      <c r="C7" s="8" t="n">
        <v>5851</v>
      </c>
      <c r="D7" s="8" t="n">
        <v>9310</v>
      </c>
      <c r="E7" s="7" t="n">
        <v>1.591</v>
      </c>
      <c r="F7" s="7" t="n">
        <v>1.766</v>
      </c>
      <c r="G7" s="7" t="n">
        <v>58.5</v>
      </c>
      <c r="H7" s="7" t="n">
        <v>99.983</v>
      </c>
      <c r="I7" s="6"/>
    </row>
    <row r="8" customFormat="false" ht="15" hidden="false" customHeight="false" outlineLevel="0" collapsed="false">
      <c r="A8" s="6" t="s">
        <v>51</v>
      </c>
      <c r="B8" s="6" t="s">
        <v>1905</v>
      </c>
      <c r="C8" s="8" t="n">
        <v>5907</v>
      </c>
      <c r="D8" s="8" t="n">
        <v>9394</v>
      </c>
      <c r="E8" s="7" t="n">
        <v>1.59</v>
      </c>
      <c r="F8" s="7" t="n">
        <v>1.778</v>
      </c>
      <c r="G8" s="7" t="n">
        <v>59.1</v>
      </c>
      <c r="H8" s="7" t="n">
        <v>99.9896</v>
      </c>
      <c r="I8" s="6"/>
    </row>
    <row r="9" customFormat="false" ht="15" hidden="false" customHeight="false" outlineLevel="0" collapsed="false">
      <c r="A9" s="6" t="s">
        <v>51</v>
      </c>
      <c r="B9" s="6" t="s">
        <v>1906</v>
      </c>
      <c r="C9" s="8" t="n">
        <v>6042</v>
      </c>
      <c r="D9" s="8" t="n">
        <v>9812</v>
      </c>
      <c r="E9" s="7" t="n">
        <v>1.624</v>
      </c>
      <c r="F9" s="7" t="n">
        <v>1.817</v>
      </c>
      <c r="G9" s="7" t="n">
        <v>60.4</v>
      </c>
      <c r="H9" s="7" t="n">
        <v>99.9753</v>
      </c>
      <c r="I9" s="6"/>
    </row>
    <row r="10" customFormat="false" ht="15" hidden="false" customHeight="false" outlineLevel="0" collapsed="false">
      <c r="A10" s="6" t="s">
        <v>51</v>
      </c>
      <c r="B10" s="6" t="s">
        <v>1907</v>
      </c>
      <c r="C10" s="8" t="n">
        <v>6088</v>
      </c>
      <c r="D10" s="8" t="n">
        <v>9875</v>
      </c>
      <c r="E10" s="7" t="n">
        <v>1.622</v>
      </c>
      <c r="F10" s="7" t="n">
        <v>1.836</v>
      </c>
      <c r="G10" s="7" t="n">
        <v>60.9</v>
      </c>
      <c r="H10" s="7" t="n">
        <v>99.9714</v>
      </c>
      <c r="I10" s="6"/>
    </row>
    <row r="11" customFormat="false" ht="15" hidden="false" customHeight="false" outlineLevel="0" collapsed="false">
      <c r="A11" s="6" t="s">
        <v>51</v>
      </c>
      <c r="B11" s="6" t="s">
        <v>1908</v>
      </c>
      <c r="C11" s="8" t="n">
        <v>6059</v>
      </c>
      <c r="D11" s="8" t="n">
        <v>9791</v>
      </c>
      <c r="E11" s="7" t="n">
        <v>1.616</v>
      </c>
      <c r="F11" s="7" t="n">
        <v>1.791</v>
      </c>
      <c r="G11" s="7" t="n">
        <v>60.6</v>
      </c>
      <c r="H11" s="7" t="n">
        <v>99.9882</v>
      </c>
      <c r="I11" s="6"/>
    </row>
    <row r="12" customFormat="false" ht="15" hidden="false" customHeight="false" outlineLevel="0" collapsed="false">
      <c r="A12" s="6" t="s">
        <v>51</v>
      </c>
      <c r="B12" s="6" t="s">
        <v>1909</v>
      </c>
      <c r="C12" s="8" t="n">
        <v>6228</v>
      </c>
      <c r="D12" s="8" t="n">
        <v>9769</v>
      </c>
      <c r="E12" s="7" t="n">
        <v>1.569</v>
      </c>
      <c r="F12" s="7" t="n">
        <v>1.822</v>
      </c>
      <c r="G12" s="7" t="n">
        <v>62.3</v>
      </c>
      <c r="H12" s="7" t="n">
        <v>99.9828</v>
      </c>
      <c r="I12" s="6"/>
    </row>
    <row r="13" customFormat="false" ht="15" hidden="false" customHeight="false" outlineLevel="0" collapsed="false">
      <c r="A13" s="6" t="s">
        <v>51</v>
      </c>
      <c r="B13" s="6" t="s">
        <v>1910</v>
      </c>
      <c r="C13" s="8" t="n">
        <v>6126</v>
      </c>
      <c r="D13" s="8" t="n">
        <v>9724</v>
      </c>
      <c r="E13" s="7" t="n">
        <v>1.587</v>
      </c>
      <c r="F13" s="7" t="n">
        <v>1.807</v>
      </c>
      <c r="G13" s="7" t="n">
        <v>61.3</v>
      </c>
      <c r="H13" s="7" t="n">
        <v>99.987</v>
      </c>
      <c r="I13" s="6"/>
    </row>
    <row r="14" customFormat="false" ht="15" hidden="false" customHeight="false" outlineLevel="0" collapsed="false">
      <c r="A14" s="6" t="s">
        <v>51</v>
      </c>
      <c r="B14" s="6" t="s">
        <v>1911</v>
      </c>
      <c r="C14" s="8" t="n">
        <v>6168</v>
      </c>
      <c r="D14" s="8" t="n">
        <v>9739</v>
      </c>
      <c r="E14" s="7" t="n">
        <v>1.579</v>
      </c>
      <c r="F14" s="7" t="n">
        <v>1.828</v>
      </c>
      <c r="G14" s="7" t="n">
        <v>61.7</v>
      </c>
      <c r="H14" s="7" t="n">
        <v>99.9838</v>
      </c>
      <c r="I14" s="6"/>
    </row>
    <row r="15" customFormat="false" ht="15" hidden="false" customHeight="false" outlineLevel="0" collapsed="false">
      <c r="A15" s="6" t="s">
        <v>51</v>
      </c>
      <c r="B15" s="6" t="s">
        <v>1912</v>
      </c>
      <c r="C15" s="8" t="n">
        <v>6333</v>
      </c>
      <c r="D15" s="8" t="n">
        <v>10033</v>
      </c>
      <c r="E15" s="7" t="n">
        <v>1.584</v>
      </c>
      <c r="F15" s="7" t="n">
        <v>1.767</v>
      </c>
      <c r="G15" s="7" t="n">
        <v>63.3</v>
      </c>
      <c r="H15" s="7" t="n">
        <v>99.9731</v>
      </c>
      <c r="I15" s="6"/>
    </row>
    <row r="16" customFormat="false" ht="15" hidden="false" customHeight="false" outlineLevel="0" collapsed="false">
      <c r="A16" s="6" t="s">
        <v>51</v>
      </c>
      <c r="B16" s="6" t="s">
        <v>1913</v>
      </c>
      <c r="C16" s="8" t="n">
        <v>6344</v>
      </c>
      <c r="D16" s="8" t="n">
        <v>9979</v>
      </c>
      <c r="E16" s="7" t="n">
        <v>1.573</v>
      </c>
      <c r="F16" s="7" t="n">
        <v>1.813</v>
      </c>
      <c r="G16" s="7" t="n">
        <v>63.4</v>
      </c>
      <c r="H16" s="7" t="n">
        <v>99.9855</v>
      </c>
      <c r="I16" s="6"/>
    </row>
    <row r="17" customFormat="false" ht="15" hidden="false" customHeight="false" outlineLevel="0" collapsed="false">
      <c r="A17" s="6" t="s">
        <v>51</v>
      </c>
      <c r="B17" s="6" t="s">
        <v>1914</v>
      </c>
      <c r="C17" s="8" t="n">
        <v>6360</v>
      </c>
      <c r="D17" s="8" t="n">
        <v>10018</v>
      </c>
      <c r="E17" s="7" t="n">
        <v>1.575</v>
      </c>
      <c r="F17" s="7" t="n">
        <v>1.762</v>
      </c>
      <c r="G17" s="7" t="n">
        <v>63.6</v>
      </c>
      <c r="H17" s="7" t="n">
        <v>99.9749</v>
      </c>
      <c r="I17" s="6"/>
    </row>
    <row r="18" customFormat="false" ht="15" hidden="false" customHeight="false" outlineLevel="0" collapsed="false">
      <c r="A18" s="6" t="s">
        <v>51</v>
      </c>
      <c r="B18" s="6" t="s">
        <v>1470</v>
      </c>
      <c r="C18" s="8" t="n">
        <v>6507</v>
      </c>
      <c r="D18" s="8" t="n">
        <v>10205</v>
      </c>
      <c r="E18" s="7" t="n">
        <v>1.568</v>
      </c>
      <c r="F18" s="7" t="n">
        <v>1.828</v>
      </c>
      <c r="G18" s="7" t="n">
        <v>65.1</v>
      </c>
      <c r="H18" s="7" t="n">
        <v>99.9712</v>
      </c>
      <c r="I18" s="6"/>
    </row>
    <row r="19" customFormat="false" ht="15" hidden="false" customHeight="false" outlineLevel="0" collapsed="false">
      <c r="A19" s="6" t="s">
        <v>51</v>
      </c>
      <c r="B19" s="6" t="s">
        <v>1471</v>
      </c>
      <c r="C19" s="8" t="n">
        <v>6559</v>
      </c>
      <c r="D19" s="8" t="n">
        <v>10286</v>
      </c>
      <c r="E19" s="7" t="n">
        <v>1.568</v>
      </c>
      <c r="F19" s="7" t="n">
        <v>1.839</v>
      </c>
      <c r="G19" s="7" t="n">
        <v>65.6</v>
      </c>
      <c r="H19" s="7" t="n">
        <v>99.9862</v>
      </c>
      <c r="I19" s="6"/>
    </row>
    <row r="20" customFormat="false" ht="15" hidden="false" customHeight="false" outlineLevel="0" collapsed="false">
      <c r="A20" s="6" t="s">
        <v>51</v>
      </c>
      <c r="B20" s="6" t="s">
        <v>1472</v>
      </c>
      <c r="C20" s="8" t="n">
        <v>6496</v>
      </c>
      <c r="D20" s="8" t="n">
        <v>10282</v>
      </c>
      <c r="E20" s="7" t="n">
        <v>1.583</v>
      </c>
      <c r="F20" s="7" t="n">
        <v>1.773</v>
      </c>
      <c r="G20" s="7" t="n">
        <v>65</v>
      </c>
      <c r="H20" s="7" t="n">
        <v>99.975</v>
      </c>
      <c r="I20" s="6"/>
    </row>
    <row r="21" customFormat="false" ht="15" hidden="false" customHeight="false" outlineLevel="0" collapsed="false">
      <c r="A21" s="6" t="s">
        <v>51</v>
      </c>
      <c r="B21" s="6" t="s">
        <v>1473</v>
      </c>
      <c r="C21" s="8" t="n">
        <v>6523</v>
      </c>
      <c r="D21" s="8" t="n">
        <v>10644</v>
      </c>
      <c r="E21" s="7" t="n">
        <v>1.632</v>
      </c>
      <c r="F21" s="7" t="n">
        <v>1.796</v>
      </c>
      <c r="G21" s="7" t="n">
        <v>65.2</v>
      </c>
      <c r="H21" s="7" t="n">
        <v>99.9743</v>
      </c>
      <c r="I21" s="6"/>
    </row>
    <row r="22" customFormat="false" ht="15" hidden="false" customHeight="false" outlineLevel="0" collapsed="false">
      <c r="A22" s="6" t="s">
        <v>51</v>
      </c>
      <c r="B22" s="6" t="s">
        <v>1474</v>
      </c>
      <c r="C22" s="8" t="n">
        <v>6590</v>
      </c>
      <c r="D22" s="8" t="n">
        <v>10840</v>
      </c>
      <c r="E22" s="7" t="n">
        <v>1.645</v>
      </c>
      <c r="F22" s="7" t="n">
        <v>1.841</v>
      </c>
      <c r="G22" s="7" t="n">
        <v>65.9</v>
      </c>
      <c r="H22" s="7" t="n">
        <v>99.9969</v>
      </c>
      <c r="I22" s="6" t="s">
        <v>1915</v>
      </c>
    </row>
    <row r="23" customFormat="false" ht="15" hidden="false" customHeight="false" outlineLevel="0" collapsed="false">
      <c r="A23" s="6" t="s">
        <v>51</v>
      </c>
      <c r="B23" s="6" t="s">
        <v>1475</v>
      </c>
      <c r="C23" s="8" t="n">
        <v>6637</v>
      </c>
      <c r="D23" s="8" t="n">
        <v>11023</v>
      </c>
      <c r="E23" s="7" t="n">
        <v>1.661</v>
      </c>
      <c r="F23" s="7" t="n">
        <v>1.839</v>
      </c>
      <c r="G23" s="7" t="n">
        <v>66.4</v>
      </c>
      <c r="H23" s="7" t="n">
        <v>99.9724</v>
      </c>
      <c r="I23" s="6" t="s">
        <v>1915</v>
      </c>
    </row>
    <row r="24" customFormat="false" ht="15" hidden="false" customHeight="false" outlineLevel="0" collapsed="false">
      <c r="A24" s="6" t="s">
        <v>51</v>
      </c>
      <c r="B24" s="6" t="s">
        <v>1476</v>
      </c>
      <c r="C24" s="8" t="n">
        <v>6726</v>
      </c>
      <c r="D24" s="8" t="n">
        <v>11089</v>
      </c>
      <c r="E24" s="7" t="n">
        <v>1.649</v>
      </c>
      <c r="F24" s="7" t="n">
        <v>1.876</v>
      </c>
      <c r="G24" s="7" t="n">
        <v>67.3</v>
      </c>
      <c r="H24" s="7" t="n">
        <v>99.9886</v>
      </c>
      <c r="I24" s="6" t="s">
        <v>1915</v>
      </c>
    </row>
    <row r="25" customFormat="false" ht="15" hidden="false" customHeight="false" outlineLevel="0" collapsed="false">
      <c r="A25" s="6" t="s">
        <v>51</v>
      </c>
      <c r="B25" s="6" t="s">
        <v>1477</v>
      </c>
      <c r="C25" s="8" t="n">
        <v>6901</v>
      </c>
      <c r="D25" s="8" t="n">
        <v>11444</v>
      </c>
      <c r="E25" s="7" t="n">
        <v>1.658</v>
      </c>
      <c r="F25" s="7" t="n">
        <v>1.816</v>
      </c>
      <c r="G25" s="7" t="n">
        <v>69</v>
      </c>
      <c r="H25" s="7" t="n">
        <v>99.9809</v>
      </c>
      <c r="I25" s="6" t="s">
        <v>1915</v>
      </c>
    </row>
    <row r="26" customFormat="false" ht="15" hidden="false" customHeight="false" outlineLevel="0" collapsed="false">
      <c r="A26" s="6" t="s">
        <v>59</v>
      </c>
      <c r="B26" s="6" t="s">
        <v>1900</v>
      </c>
      <c r="C26" s="8" t="n">
        <v>4138</v>
      </c>
      <c r="D26" s="8" t="n">
        <v>7181</v>
      </c>
      <c r="E26" s="7" t="n">
        <v>1.735</v>
      </c>
      <c r="F26" s="7" t="n">
        <v>2.135</v>
      </c>
      <c r="G26" s="7" t="n">
        <v>69</v>
      </c>
      <c r="H26" s="7" t="n">
        <v>99.9975</v>
      </c>
      <c r="I26" s="6"/>
    </row>
    <row r="27" customFormat="false" ht="15" hidden="false" customHeight="false" outlineLevel="0" collapsed="false">
      <c r="A27" s="6" t="s">
        <v>59</v>
      </c>
      <c r="B27" s="6" t="s">
        <v>1900</v>
      </c>
      <c r="C27" s="8" t="n">
        <v>4155</v>
      </c>
      <c r="D27" s="8" t="n">
        <v>7219</v>
      </c>
      <c r="E27" s="7" t="n">
        <v>1.737</v>
      </c>
      <c r="F27" s="7" t="n">
        <v>2.061</v>
      </c>
      <c r="G27" s="7" t="n">
        <v>69.3</v>
      </c>
      <c r="H27" s="7" t="n">
        <v>99.9753</v>
      </c>
      <c r="I27" s="6"/>
    </row>
    <row r="28" customFormat="false" ht="15" hidden="false" customHeight="false" outlineLevel="0" collapsed="false">
      <c r="A28" s="6" t="s">
        <v>59</v>
      </c>
      <c r="B28" s="6" t="s">
        <v>1901</v>
      </c>
      <c r="C28" s="8" t="n">
        <v>4189</v>
      </c>
      <c r="D28" s="8" t="n">
        <v>7265</v>
      </c>
      <c r="E28" s="7" t="n">
        <v>1.734</v>
      </c>
      <c r="F28" s="7" t="n">
        <v>2.137</v>
      </c>
      <c r="G28" s="7" t="n">
        <v>69.8</v>
      </c>
      <c r="H28" s="7" t="n">
        <v>99.9738</v>
      </c>
      <c r="I28" s="6"/>
    </row>
    <row r="29" customFormat="false" ht="15" hidden="false" customHeight="false" outlineLevel="0" collapsed="false">
      <c r="A29" s="6" t="s">
        <v>59</v>
      </c>
      <c r="B29" s="6" t="s">
        <v>1902</v>
      </c>
      <c r="C29" s="8" t="n">
        <v>4180</v>
      </c>
      <c r="D29" s="8" t="n">
        <v>7305</v>
      </c>
      <c r="E29" s="7" t="n">
        <v>1.748</v>
      </c>
      <c r="F29" s="7" t="n">
        <v>2.101</v>
      </c>
      <c r="G29" s="7" t="n">
        <v>69.7</v>
      </c>
      <c r="H29" s="7" t="n">
        <v>99.9782</v>
      </c>
      <c r="I29" s="6"/>
    </row>
    <row r="30" customFormat="false" ht="15" hidden="false" customHeight="false" outlineLevel="0" collapsed="false">
      <c r="A30" s="6" t="s">
        <v>59</v>
      </c>
      <c r="B30" s="6" t="s">
        <v>1903</v>
      </c>
      <c r="C30" s="8" t="n">
        <v>4229</v>
      </c>
      <c r="D30" s="8" t="n">
        <v>7310</v>
      </c>
      <c r="E30" s="7" t="n">
        <v>1.728</v>
      </c>
      <c r="F30" s="7" t="n">
        <v>2.112</v>
      </c>
      <c r="G30" s="7" t="n">
        <v>70.5</v>
      </c>
      <c r="H30" s="7" t="n">
        <v>99.9754</v>
      </c>
      <c r="I30" s="6"/>
    </row>
    <row r="31" customFormat="false" ht="15" hidden="false" customHeight="false" outlineLevel="0" collapsed="false">
      <c r="A31" s="6" t="s">
        <v>59</v>
      </c>
      <c r="B31" s="6" t="s">
        <v>1904</v>
      </c>
      <c r="C31" s="8" t="n">
        <v>4314</v>
      </c>
      <c r="D31" s="8" t="n">
        <v>7466</v>
      </c>
      <c r="E31" s="7" t="n">
        <v>1.731</v>
      </c>
      <c r="F31" s="7" t="n">
        <v>2.08</v>
      </c>
      <c r="G31" s="7" t="n">
        <v>71.9</v>
      </c>
      <c r="H31" s="7" t="n">
        <v>99.9803</v>
      </c>
      <c r="I31" s="6"/>
    </row>
    <row r="32" customFormat="false" ht="15" hidden="false" customHeight="false" outlineLevel="0" collapsed="false">
      <c r="A32" s="6" t="s">
        <v>59</v>
      </c>
      <c r="B32" s="6" t="s">
        <v>1905</v>
      </c>
      <c r="C32" s="8" t="n">
        <v>4376</v>
      </c>
      <c r="D32" s="8" t="n">
        <v>7614</v>
      </c>
      <c r="E32" s="7" t="n">
        <v>1.74</v>
      </c>
      <c r="F32" s="7" t="n">
        <v>2.063</v>
      </c>
      <c r="G32" s="7" t="n">
        <v>72.9</v>
      </c>
      <c r="H32" s="7" t="n">
        <v>99.9878</v>
      </c>
      <c r="I32" s="6"/>
    </row>
    <row r="33" customFormat="false" ht="15" hidden="false" customHeight="false" outlineLevel="0" collapsed="false">
      <c r="A33" s="6" t="s">
        <v>59</v>
      </c>
      <c r="B33" s="6" t="s">
        <v>1906</v>
      </c>
      <c r="C33" s="8" t="n">
        <v>4360</v>
      </c>
      <c r="D33" s="8" t="n">
        <v>7764</v>
      </c>
      <c r="E33" s="7" t="n">
        <v>1.781</v>
      </c>
      <c r="F33" s="7" t="n">
        <v>2.075</v>
      </c>
      <c r="G33" s="7" t="n">
        <v>72.7</v>
      </c>
      <c r="H33" s="7" t="n">
        <v>99.9773</v>
      </c>
      <c r="I33" s="6"/>
    </row>
    <row r="34" customFormat="false" ht="15" hidden="false" customHeight="false" outlineLevel="0" collapsed="false">
      <c r="A34" s="6" t="s">
        <v>59</v>
      </c>
      <c r="B34" s="6" t="s">
        <v>1907</v>
      </c>
      <c r="C34" s="8" t="n">
        <v>4445</v>
      </c>
      <c r="D34" s="8" t="n">
        <v>7933</v>
      </c>
      <c r="E34" s="7" t="n">
        <v>1.784</v>
      </c>
      <c r="F34" s="7" t="n">
        <v>2.062</v>
      </c>
      <c r="G34" s="7" t="n">
        <v>74.1</v>
      </c>
      <c r="H34" s="7" t="n">
        <v>99.9925</v>
      </c>
      <c r="I34" s="6"/>
    </row>
    <row r="35" customFormat="false" ht="15" hidden="false" customHeight="false" outlineLevel="0" collapsed="false">
      <c r="A35" s="6" t="s">
        <v>59</v>
      </c>
      <c r="B35" s="6" t="s">
        <v>1908</v>
      </c>
      <c r="C35" s="8" t="n">
        <v>4474</v>
      </c>
      <c r="D35" s="8" t="n">
        <v>7930</v>
      </c>
      <c r="E35" s="7" t="n">
        <v>1.772</v>
      </c>
      <c r="F35" s="7" t="n">
        <v>2.138</v>
      </c>
      <c r="G35" s="7" t="n">
        <v>74.6</v>
      </c>
      <c r="H35" s="7" t="n">
        <v>99.9773</v>
      </c>
      <c r="I35" s="6"/>
    </row>
    <row r="36" customFormat="false" ht="15" hidden="false" customHeight="false" outlineLevel="0" collapsed="false">
      <c r="A36" s="6" t="s">
        <v>59</v>
      </c>
      <c r="B36" s="6" t="s">
        <v>1909</v>
      </c>
      <c r="C36" s="8" t="n">
        <v>4458</v>
      </c>
      <c r="D36" s="8" t="n">
        <v>7746</v>
      </c>
      <c r="E36" s="7" t="n">
        <v>1.737</v>
      </c>
      <c r="F36" s="7" t="n">
        <v>2.096</v>
      </c>
      <c r="G36" s="7" t="n">
        <v>74.3</v>
      </c>
      <c r="H36" s="7" t="n">
        <v>99.9956</v>
      </c>
      <c r="I36" s="6"/>
    </row>
    <row r="37" customFormat="false" ht="15" hidden="false" customHeight="false" outlineLevel="0" collapsed="false">
      <c r="A37" s="6" t="s">
        <v>59</v>
      </c>
      <c r="B37" s="6" t="s">
        <v>1910</v>
      </c>
      <c r="C37" s="8" t="n">
        <v>4484</v>
      </c>
      <c r="D37" s="8" t="n">
        <v>7826</v>
      </c>
      <c r="E37" s="7" t="n">
        <v>1.745</v>
      </c>
      <c r="F37" s="7" t="n">
        <v>2.085</v>
      </c>
      <c r="G37" s="7" t="n">
        <v>74.7</v>
      </c>
      <c r="H37" s="7" t="n">
        <v>99.9767</v>
      </c>
      <c r="I37" s="6"/>
    </row>
    <row r="38" customFormat="false" ht="15" hidden="false" customHeight="false" outlineLevel="0" collapsed="false">
      <c r="A38" s="6" t="s">
        <v>59</v>
      </c>
      <c r="B38" s="6" t="s">
        <v>1911</v>
      </c>
      <c r="C38" s="8" t="n">
        <v>4578</v>
      </c>
      <c r="D38" s="8" t="n">
        <v>7931</v>
      </c>
      <c r="E38" s="7" t="n">
        <v>1.732</v>
      </c>
      <c r="F38" s="7" t="n">
        <v>2.092</v>
      </c>
      <c r="G38" s="7" t="n">
        <v>76.3</v>
      </c>
      <c r="H38" s="7" t="n">
        <v>99.9892</v>
      </c>
      <c r="I38" s="6"/>
    </row>
    <row r="39" customFormat="false" ht="15" hidden="false" customHeight="false" outlineLevel="0" collapsed="false">
      <c r="A39" s="6" t="s">
        <v>59</v>
      </c>
      <c r="B39" s="6" t="s">
        <v>1912</v>
      </c>
      <c r="C39" s="8" t="n">
        <v>4547</v>
      </c>
      <c r="D39" s="8" t="n">
        <v>7925</v>
      </c>
      <c r="E39" s="7" t="n">
        <v>1.743</v>
      </c>
      <c r="F39" s="7" t="n">
        <v>2.096</v>
      </c>
      <c r="G39" s="7" t="n">
        <v>75.8</v>
      </c>
      <c r="H39" s="7" t="n">
        <v>99.9763</v>
      </c>
      <c r="I39" s="6"/>
    </row>
    <row r="40" customFormat="false" ht="15" hidden="false" customHeight="false" outlineLevel="0" collapsed="false">
      <c r="A40" s="6" t="s">
        <v>59</v>
      </c>
      <c r="B40" s="6" t="s">
        <v>1913</v>
      </c>
      <c r="C40" s="8" t="n">
        <v>4569</v>
      </c>
      <c r="D40" s="8" t="n">
        <v>7961</v>
      </c>
      <c r="E40" s="7" t="n">
        <v>1.742</v>
      </c>
      <c r="F40" s="7" t="n">
        <v>2.131</v>
      </c>
      <c r="G40" s="7" t="n">
        <v>76.2</v>
      </c>
      <c r="H40" s="7" t="n">
        <v>99.9748</v>
      </c>
      <c r="I40" s="6"/>
    </row>
    <row r="41" customFormat="false" ht="15" hidden="false" customHeight="false" outlineLevel="0" collapsed="false">
      <c r="A41" s="6" t="s">
        <v>59</v>
      </c>
      <c r="B41" s="6" t="s">
        <v>1914</v>
      </c>
      <c r="C41" s="8" t="n">
        <v>4597</v>
      </c>
      <c r="D41" s="8" t="n">
        <v>8042</v>
      </c>
      <c r="E41" s="7" t="n">
        <v>1.75</v>
      </c>
      <c r="F41" s="7" t="n">
        <v>2.088</v>
      </c>
      <c r="G41" s="7" t="n">
        <v>76.6</v>
      </c>
      <c r="H41" s="7" t="n">
        <v>99.9807</v>
      </c>
      <c r="I41" s="6"/>
    </row>
    <row r="42" customFormat="false" ht="15" hidden="false" customHeight="false" outlineLevel="0" collapsed="false">
      <c r="A42" s="6" t="s">
        <v>59</v>
      </c>
      <c r="B42" s="6" t="s">
        <v>1470</v>
      </c>
      <c r="C42" s="8" t="n">
        <v>4714</v>
      </c>
      <c r="D42" s="8" t="n">
        <v>8240</v>
      </c>
      <c r="E42" s="7" t="n">
        <v>1.748</v>
      </c>
      <c r="F42" s="7" t="n">
        <v>2.116</v>
      </c>
      <c r="G42" s="7" t="n">
        <v>78.6</v>
      </c>
      <c r="H42" s="7" t="n">
        <v>99.9813</v>
      </c>
      <c r="I42" s="6"/>
    </row>
    <row r="43" customFormat="false" ht="15" hidden="false" customHeight="false" outlineLevel="0" collapsed="false">
      <c r="A43" s="6" t="s">
        <v>59</v>
      </c>
      <c r="B43" s="6" t="s">
        <v>1471</v>
      </c>
      <c r="C43" s="8" t="n">
        <v>4786</v>
      </c>
      <c r="D43" s="8" t="n">
        <v>8325</v>
      </c>
      <c r="E43" s="7" t="n">
        <v>1.739</v>
      </c>
      <c r="F43" s="7" t="n">
        <v>2.091</v>
      </c>
      <c r="G43" s="7" t="n">
        <v>79.8</v>
      </c>
      <c r="H43" s="7" t="n">
        <v>99.9838</v>
      </c>
      <c r="I43" s="6"/>
    </row>
    <row r="44" customFormat="false" ht="15" hidden="false" customHeight="false" outlineLevel="0" collapsed="false">
      <c r="A44" s="6" t="s">
        <v>59</v>
      </c>
      <c r="B44" s="6" t="s">
        <v>1472</v>
      </c>
      <c r="C44" s="8" t="n">
        <v>4809</v>
      </c>
      <c r="D44" s="8" t="n">
        <v>8386</v>
      </c>
      <c r="E44" s="7" t="n">
        <v>1.744</v>
      </c>
      <c r="F44" s="7" t="n">
        <v>2.074</v>
      </c>
      <c r="G44" s="7" t="n">
        <v>80.2</v>
      </c>
      <c r="H44" s="7" t="n">
        <v>99.9737</v>
      </c>
      <c r="I44" s="6"/>
    </row>
    <row r="45" customFormat="false" ht="15" hidden="false" customHeight="false" outlineLevel="0" collapsed="false">
      <c r="A45" s="6" t="s">
        <v>59</v>
      </c>
      <c r="B45" s="6" t="s">
        <v>1473</v>
      </c>
      <c r="C45" s="8" t="n">
        <v>4868</v>
      </c>
      <c r="D45" s="8" t="n">
        <v>8625</v>
      </c>
      <c r="E45" s="7" t="n">
        <v>1.772</v>
      </c>
      <c r="F45" s="7" t="n">
        <v>2.095</v>
      </c>
      <c r="G45" s="7" t="n">
        <v>81.1</v>
      </c>
      <c r="H45" s="7" t="n">
        <v>99.9896</v>
      </c>
      <c r="I45" s="6"/>
    </row>
    <row r="46" customFormat="false" ht="15" hidden="false" customHeight="false" outlineLevel="0" collapsed="false">
      <c r="A46" s="6" t="s">
        <v>59</v>
      </c>
      <c r="B46" s="6" t="s">
        <v>1474</v>
      </c>
      <c r="C46" s="8" t="n">
        <v>4839</v>
      </c>
      <c r="D46" s="8" t="n">
        <v>8606</v>
      </c>
      <c r="E46" s="7" t="n">
        <v>1.778</v>
      </c>
      <c r="F46" s="7" t="n">
        <v>2.122</v>
      </c>
      <c r="G46" s="7" t="n">
        <v>80.7</v>
      </c>
      <c r="H46" s="7" t="n">
        <v>99.973</v>
      </c>
      <c r="I46" s="6"/>
    </row>
    <row r="47" customFormat="false" ht="15" hidden="false" customHeight="false" outlineLevel="0" collapsed="false">
      <c r="A47" s="6" t="s">
        <v>59</v>
      </c>
      <c r="B47" s="6" t="s">
        <v>1475</v>
      </c>
      <c r="C47" s="8" t="n">
        <v>4949</v>
      </c>
      <c r="D47" s="8" t="n">
        <v>8725</v>
      </c>
      <c r="E47" s="7" t="n">
        <v>1.763</v>
      </c>
      <c r="F47" s="7" t="n">
        <v>2.085</v>
      </c>
      <c r="G47" s="7" t="n">
        <v>82.5</v>
      </c>
      <c r="H47" s="7" t="n">
        <v>99.9971</v>
      </c>
      <c r="I47" s="6"/>
    </row>
    <row r="48" customFormat="false" ht="15" hidden="false" customHeight="false" outlineLevel="0" collapsed="false">
      <c r="A48" s="6" t="s">
        <v>59</v>
      </c>
      <c r="B48" s="6" t="s">
        <v>1476</v>
      </c>
      <c r="C48" s="8" t="n">
        <v>4964</v>
      </c>
      <c r="D48" s="8" t="n">
        <v>8693</v>
      </c>
      <c r="E48" s="7" t="n">
        <v>1.751</v>
      </c>
      <c r="F48" s="7" t="n">
        <v>2.125</v>
      </c>
      <c r="G48" s="7" t="n">
        <v>82.7</v>
      </c>
      <c r="H48" s="7" t="n">
        <v>99.9887</v>
      </c>
      <c r="I48" s="6"/>
    </row>
    <row r="49" customFormat="false" ht="15" hidden="false" customHeight="false" outlineLevel="0" collapsed="false">
      <c r="A49" s="6" t="s">
        <v>59</v>
      </c>
      <c r="B49" s="6" t="s">
        <v>1477</v>
      </c>
      <c r="C49" s="8" t="n">
        <v>4991</v>
      </c>
      <c r="D49" s="8" t="n">
        <v>8736</v>
      </c>
      <c r="E49" s="7" t="n">
        <v>1.75</v>
      </c>
      <c r="F49" s="7" t="n">
        <v>2.121</v>
      </c>
      <c r="G49" s="7" t="n">
        <v>83.2</v>
      </c>
      <c r="H49" s="7" t="n">
        <v>99.9736</v>
      </c>
      <c r="I49" s="6"/>
    </row>
    <row r="50" customFormat="false" ht="15" hidden="false" customHeight="false" outlineLevel="0" collapsed="false">
      <c r="A50" s="6" t="s">
        <v>63</v>
      </c>
      <c r="B50" s="6" t="s">
        <v>1900</v>
      </c>
      <c r="C50" s="8" t="n">
        <v>4501</v>
      </c>
      <c r="D50" s="8" t="n">
        <v>7289</v>
      </c>
      <c r="E50" s="7" t="n">
        <v>1.62</v>
      </c>
      <c r="F50" s="7" t="n">
        <v>2.419</v>
      </c>
      <c r="G50" s="7" t="n">
        <v>56.3</v>
      </c>
      <c r="H50" s="7" t="n">
        <v>99.9757</v>
      </c>
      <c r="I50" s="6"/>
    </row>
    <row r="51" customFormat="false" ht="15" hidden="false" customHeight="false" outlineLevel="0" collapsed="false">
      <c r="A51" s="6" t="s">
        <v>63</v>
      </c>
      <c r="B51" s="6" t="s">
        <v>1900</v>
      </c>
      <c r="C51" s="8" t="n">
        <v>4584</v>
      </c>
      <c r="D51" s="8" t="n">
        <v>7465</v>
      </c>
      <c r="E51" s="7" t="n">
        <v>1.628</v>
      </c>
      <c r="F51" s="7" t="n">
        <v>2.421</v>
      </c>
      <c r="G51" s="7" t="n">
        <v>57.3</v>
      </c>
      <c r="H51" s="7" t="n">
        <v>99.982</v>
      </c>
      <c r="I51" s="6"/>
    </row>
    <row r="52" customFormat="false" ht="15" hidden="false" customHeight="false" outlineLevel="0" collapsed="false">
      <c r="A52" s="6" t="s">
        <v>63</v>
      </c>
      <c r="B52" s="6" t="s">
        <v>1901</v>
      </c>
      <c r="C52" s="8" t="n">
        <v>4568</v>
      </c>
      <c r="D52" s="8" t="n">
        <v>7390</v>
      </c>
      <c r="E52" s="7" t="n">
        <v>1.618</v>
      </c>
      <c r="F52" s="7" t="n">
        <v>2.447</v>
      </c>
      <c r="G52" s="7" t="n">
        <v>57.1</v>
      </c>
      <c r="H52" s="7" t="n">
        <v>99.9719</v>
      </c>
      <c r="I52" s="6"/>
    </row>
    <row r="53" customFormat="false" ht="15" hidden="false" customHeight="false" outlineLevel="0" collapsed="false">
      <c r="A53" s="6" t="s">
        <v>63</v>
      </c>
      <c r="B53" s="6" t="s">
        <v>1902</v>
      </c>
      <c r="C53" s="8" t="n">
        <v>4620</v>
      </c>
      <c r="D53" s="8" t="n">
        <v>7455</v>
      </c>
      <c r="E53" s="7" t="n">
        <v>1.614</v>
      </c>
      <c r="F53" s="7" t="n">
        <v>2.442</v>
      </c>
      <c r="G53" s="7" t="n">
        <v>57.7</v>
      </c>
      <c r="H53" s="7" t="n">
        <v>99.995</v>
      </c>
      <c r="I53" s="6"/>
    </row>
    <row r="54" customFormat="false" ht="15" hidden="false" customHeight="false" outlineLevel="0" collapsed="false">
      <c r="A54" s="6" t="s">
        <v>63</v>
      </c>
      <c r="B54" s="6" t="s">
        <v>1903</v>
      </c>
      <c r="C54" s="8" t="n">
        <v>4680</v>
      </c>
      <c r="D54" s="8" t="n">
        <v>7576</v>
      </c>
      <c r="E54" s="7" t="n">
        <v>1.619</v>
      </c>
      <c r="F54" s="7" t="n">
        <v>2.479</v>
      </c>
      <c r="G54" s="7" t="n">
        <v>58.5</v>
      </c>
      <c r="H54" s="7" t="n">
        <v>99.9886</v>
      </c>
      <c r="I54" s="6"/>
    </row>
    <row r="55" customFormat="false" ht="15" hidden="false" customHeight="false" outlineLevel="0" collapsed="false">
      <c r="A55" s="6" t="s">
        <v>63</v>
      </c>
      <c r="B55" s="6" t="s">
        <v>1904</v>
      </c>
      <c r="C55" s="8" t="n">
        <v>4758</v>
      </c>
      <c r="D55" s="8" t="n">
        <v>7744</v>
      </c>
      <c r="E55" s="7" t="n">
        <v>1.628</v>
      </c>
      <c r="F55" s="7" t="n">
        <v>2.489</v>
      </c>
      <c r="G55" s="7" t="n">
        <v>59.5</v>
      </c>
      <c r="H55" s="7" t="n">
        <v>99.9734</v>
      </c>
      <c r="I55" s="6"/>
    </row>
    <row r="56" customFormat="false" ht="15" hidden="false" customHeight="false" outlineLevel="0" collapsed="false">
      <c r="A56" s="6" t="s">
        <v>63</v>
      </c>
      <c r="B56" s="6" t="s">
        <v>1905</v>
      </c>
      <c r="C56" s="8" t="n">
        <v>4703</v>
      </c>
      <c r="D56" s="8" t="n">
        <v>7656</v>
      </c>
      <c r="E56" s="7" t="n">
        <v>1.628</v>
      </c>
      <c r="F56" s="7" t="n">
        <v>2.426</v>
      </c>
      <c r="G56" s="7" t="n">
        <v>58.8</v>
      </c>
      <c r="H56" s="7" t="n">
        <v>99.9769</v>
      </c>
      <c r="I56" s="6"/>
    </row>
    <row r="57" customFormat="false" ht="15" hidden="false" customHeight="false" outlineLevel="0" collapsed="false">
      <c r="A57" s="6" t="s">
        <v>63</v>
      </c>
      <c r="B57" s="6" t="s">
        <v>1906</v>
      </c>
      <c r="C57" s="8" t="n">
        <v>4769</v>
      </c>
      <c r="D57" s="8" t="n">
        <v>7876</v>
      </c>
      <c r="E57" s="7" t="n">
        <v>1.652</v>
      </c>
      <c r="F57" s="7" t="n">
        <v>2.411</v>
      </c>
      <c r="G57" s="7" t="n">
        <v>59.6</v>
      </c>
      <c r="H57" s="7" t="n">
        <v>99.9824</v>
      </c>
      <c r="I57" s="6"/>
    </row>
    <row r="58" customFormat="false" ht="15" hidden="false" customHeight="false" outlineLevel="0" collapsed="false">
      <c r="A58" s="6" t="s">
        <v>63</v>
      </c>
      <c r="B58" s="6" t="s">
        <v>1907</v>
      </c>
      <c r="C58" s="8" t="n">
        <v>4864</v>
      </c>
      <c r="D58" s="8" t="n">
        <v>8068</v>
      </c>
      <c r="E58" s="7" t="n">
        <v>1.659</v>
      </c>
      <c r="F58" s="7" t="n">
        <v>2.477</v>
      </c>
      <c r="G58" s="7" t="n">
        <v>60.8</v>
      </c>
      <c r="H58" s="7" t="n">
        <v>99.9733</v>
      </c>
      <c r="I58" s="6"/>
    </row>
    <row r="59" customFormat="false" ht="15" hidden="false" customHeight="false" outlineLevel="0" collapsed="false">
      <c r="A59" s="6" t="s">
        <v>63</v>
      </c>
      <c r="B59" s="6" t="s">
        <v>1908</v>
      </c>
      <c r="C59" s="8" t="n">
        <v>4916</v>
      </c>
      <c r="D59" s="8" t="n">
        <v>8116</v>
      </c>
      <c r="E59" s="7" t="n">
        <v>1.651</v>
      </c>
      <c r="F59" s="7" t="n">
        <v>2.413</v>
      </c>
      <c r="G59" s="7" t="n">
        <v>61.5</v>
      </c>
      <c r="H59" s="7" t="n">
        <v>99.9907</v>
      </c>
      <c r="I59" s="6"/>
    </row>
    <row r="60" customFormat="false" ht="15" hidden="false" customHeight="false" outlineLevel="0" collapsed="false">
      <c r="A60" s="6" t="s">
        <v>63</v>
      </c>
      <c r="B60" s="6" t="s">
        <v>1909</v>
      </c>
      <c r="C60" s="8" t="n">
        <v>4916</v>
      </c>
      <c r="D60" s="8" t="n">
        <v>7951</v>
      </c>
      <c r="E60" s="7" t="n">
        <v>1.617</v>
      </c>
      <c r="F60" s="7" t="n">
        <v>2.412</v>
      </c>
      <c r="G60" s="7" t="n">
        <v>61.5</v>
      </c>
      <c r="H60" s="7" t="n">
        <v>99.9737</v>
      </c>
      <c r="I60" s="6"/>
    </row>
    <row r="61" customFormat="false" ht="15" hidden="false" customHeight="false" outlineLevel="0" collapsed="false">
      <c r="A61" s="6" t="s">
        <v>63</v>
      </c>
      <c r="B61" s="6" t="s">
        <v>1910</v>
      </c>
      <c r="C61" s="8" t="n">
        <v>5007</v>
      </c>
      <c r="D61" s="8" t="n">
        <v>8081</v>
      </c>
      <c r="E61" s="7" t="n">
        <v>1.614</v>
      </c>
      <c r="F61" s="7" t="n">
        <v>2.458</v>
      </c>
      <c r="G61" s="7" t="n">
        <v>62.6</v>
      </c>
      <c r="H61" s="7" t="n">
        <v>99.9737</v>
      </c>
      <c r="I61" s="6"/>
    </row>
    <row r="62" customFormat="false" ht="15" hidden="false" customHeight="false" outlineLevel="0" collapsed="false">
      <c r="A62" s="6" t="s">
        <v>63</v>
      </c>
      <c r="B62" s="6" t="s">
        <v>1911</v>
      </c>
      <c r="C62" s="8" t="n">
        <v>5008</v>
      </c>
      <c r="D62" s="8" t="n">
        <v>8063</v>
      </c>
      <c r="E62" s="7" t="n">
        <v>1.61</v>
      </c>
      <c r="F62" s="7" t="n">
        <v>2.474</v>
      </c>
      <c r="G62" s="7" t="n">
        <v>62.6</v>
      </c>
      <c r="H62" s="7" t="n">
        <v>99.9742</v>
      </c>
      <c r="I62" s="6"/>
    </row>
    <row r="63" customFormat="false" ht="15" hidden="false" customHeight="false" outlineLevel="0" collapsed="false">
      <c r="A63" s="6" t="s">
        <v>63</v>
      </c>
      <c r="B63" s="6" t="s">
        <v>1912</v>
      </c>
      <c r="C63" s="8" t="n">
        <v>5053</v>
      </c>
      <c r="D63" s="8" t="n">
        <v>8198</v>
      </c>
      <c r="E63" s="7" t="n">
        <v>1.622</v>
      </c>
      <c r="F63" s="7" t="n">
        <v>2.452</v>
      </c>
      <c r="G63" s="7" t="n">
        <v>63.2</v>
      </c>
      <c r="H63" s="7" t="n">
        <v>99.975</v>
      </c>
      <c r="I63" s="6"/>
    </row>
    <row r="64" customFormat="false" ht="15" hidden="false" customHeight="false" outlineLevel="0" collapsed="false">
      <c r="A64" s="6" t="s">
        <v>63</v>
      </c>
      <c r="B64" s="6" t="s">
        <v>1913</v>
      </c>
      <c r="C64" s="8" t="n">
        <v>5128</v>
      </c>
      <c r="D64" s="8" t="n">
        <v>8328</v>
      </c>
      <c r="E64" s="7" t="n">
        <v>1.624</v>
      </c>
      <c r="F64" s="7" t="n">
        <v>2.454</v>
      </c>
      <c r="G64" s="7" t="n">
        <v>64.1</v>
      </c>
      <c r="H64" s="7" t="n">
        <v>99.9872</v>
      </c>
      <c r="I64" s="6"/>
    </row>
    <row r="65" customFormat="false" ht="15" hidden="false" customHeight="false" outlineLevel="0" collapsed="false">
      <c r="A65" s="6" t="s">
        <v>63</v>
      </c>
      <c r="B65" s="6" t="s">
        <v>1914</v>
      </c>
      <c r="C65" s="8" t="n">
        <v>5178</v>
      </c>
      <c r="D65" s="8" t="n">
        <v>8377</v>
      </c>
      <c r="E65" s="7" t="n">
        <v>1.618</v>
      </c>
      <c r="F65" s="7" t="n">
        <v>2.417</v>
      </c>
      <c r="G65" s="7" t="n">
        <v>64.7</v>
      </c>
      <c r="H65" s="7" t="n">
        <v>99.9724</v>
      </c>
      <c r="I65" s="6"/>
    </row>
    <row r="66" customFormat="false" ht="15" hidden="false" customHeight="false" outlineLevel="0" collapsed="false">
      <c r="A66" s="6" t="s">
        <v>63</v>
      </c>
      <c r="B66" s="6" t="s">
        <v>1470</v>
      </c>
      <c r="C66" s="8" t="n">
        <v>5229</v>
      </c>
      <c r="D66" s="8" t="n">
        <v>8414</v>
      </c>
      <c r="E66" s="7" t="n">
        <v>1.609</v>
      </c>
      <c r="F66" s="7" t="n">
        <v>2.453</v>
      </c>
      <c r="G66" s="7" t="n">
        <v>65.4</v>
      </c>
      <c r="H66" s="7" t="n">
        <v>99.9952</v>
      </c>
      <c r="I66" s="6"/>
    </row>
    <row r="67" customFormat="false" ht="15" hidden="false" customHeight="false" outlineLevel="0" collapsed="false">
      <c r="A67" s="6" t="s">
        <v>63</v>
      </c>
      <c r="B67" s="6" t="s">
        <v>1471</v>
      </c>
      <c r="C67" s="8" t="n">
        <v>5146</v>
      </c>
      <c r="D67" s="8" t="n">
        <v>8302</v>
      </c>
      <c r="E67" s="7" t="n">
        <v>1.613</v>
      </c>
      <c r="F67" s="7" t="n">
        <v>2.49</v>
      </c>
      <c r="G67" s="7" t="n">
        <v>64.3</v>
      </c>
      <c r="H67" s="7" t="n">
        <v>99.9803</v>
      </c>
      <c r="I67" s="6"/>
    </row>
    <row r="68" customFormat="false" ht="15" hidden="false" customHeight="false" outlineLevel="0" collapsed="false">
      <c r="A68" s="6" t="s">
        <v>63</v>
      </c>
      <c r="B68" s="6" t="s">
        <v>1472</v>
      </c>
      <c r="C68" s="8" t="n">
        <v>5310</v>
      </c>
      <c r="D68" s="8" t="n">
        <v>8603</v>
      </c>
      <c r="E68" s="7" t="n">
        <v>1.62</v>
      </c>
      <c r="F68" s="7" t="n">
        <v>2.486</v>
      </c>
      <c r="G68" s="7" t="n">
        <v>66.4</v>
      </c>
      <c r="H68" s="7" t="n">
        <v>99.9951</v>
      </c>
      <c r="I68" s="6"/>
    </row>
    <row r="69" customFormat="false" ht="15" hidden="false" customHeight="false" outlineLevel="0" collapsed="false">
      <c r="A69" s="6" t="s">
        <v>63</v>
      </c>
      <c r="B69" s="6" t="s">
        <v>1473</v>
      </c>
      <c r="C69" s="8" t="n">
        <v>5339</v>
      </c>
      <c r="D69" s="8" t="n">
        <v>8832</v>
      </c>
      <c r="E69" s="7" t="n">
        <v>1.654</v>
      </c>
      <c r="F69" s="7" t="n">
        <v>2.485</v>
      </c>
      <c r="G69" s="7" t="n">
        <v>66.7</v>
      </c>
      <c r="H69" s="7" t="n">
        <v>99.9944</v>
      </c>
      <c r="I69" s="6"/>
    </row>
    <row r="70" customFormat="false" ht="15" hidden="false" customHeight="false" outlineLevel="0" collapsed="false">
      <c r="A70" s="6" t="s">
        <v>63</v>
      </c>
      <c r="B70" s="6" t="s">
        <v>1474</v>
      </c>
      <c r="C70" s="8" t="n">
        <v>5250</v>
      </c>
      <c r="D70" s="8" t="n">
        <v>8715</v>
      </c>
      <c r="E70" s="7" t="n">
        <v>1.66</v>
      </c>
      <c r="F70" s="7" t="n">
        <v>2.45</v>
      </c>
      <c r="G70" s="7" t="n">
        <v>65.6</v>
      </c>
      <c r="H70" s="7" t="n">
        <v>99.9843</v>
      </c>
      <c r="I70" s="6"/>
    </row>
    <row r="71" customFormat="false" ht="15" hidden="false" customHeight="false" outlineLevel="0" collapsed="false">
      <c r="A71" s="6" t="s">
        <v>63</v>
      </c>
      <c r="B71" s="6" t="s">
        <v>1475</v>
      </c>
      <c r="C71" s="8" t="n">
        <v>5330</v>
      </c>
      <c r="D71" s="8" t="n">
        <v>8843</v>
      </c>
      <c r="E71" s="7" t="n">
        <v>1.659</v>
      </c>
      <c r="F71" s="7" t="n">
        <v>2.488</v>
      </c>
      <c r="G71" s="7" t="n">
        <v>66.6</v>
      </c>
      <c r="H71" s="7" t="n">
        <v>99.9981</v>
      </c>
      <c r="I71" s="6"/>
    </row>
    <row r="72" customFormat="false" ht="15" hidden="false" customHeight="false" outlineLevel="0" collapsed="false">
      <c r="A72" s="6" t="s">
        <v>63</v>
      </c>
      <c r="B72" s="6" t="s">
        <v>1476</v>
      </c>
      <c r="C72" s="8" t="n">
        <v>5472</v>
      </c>
      <c r="D72" s="8" t="n">
        <v>8879</v>
      </c>
      <c r="E72" s="7" t="n">
        <v>1.623</v>
      </c>
      <c r="F72" s="7" t="n">
        <v>2.481</v>
      </c>
      <c r="G72" s="7" t="n">
        <v>68.4</v>
      </c>
      <c r="H72" s="7" t="n">
        <v>99.9923</v>
      </c>
      <c r="I72" s="6"/>
    </row>
    <row r="73" customFormat="false" ht="15" hidden="false" customHeight="false" outlineLevel="0" collapsed="false">
      <c r="A73" s="6" t="s">
        <v>63</v>
      </c>
      <c r="B73" s="6" t="s">
        <v>1477</v>
      </c>
      <c r="C73" s="8" t="n">
        <v>5447</v>
      </c>
      <c r="D73" s="8" t="n">
        <v>8856</v>
      </c>
      <c r="E73" s="7" t="n">
        <v>1.626</v>
      </c>
      <c r="F73" s="7" t="n">
        <v>2.425</v>
      </c>
      <c r="G73" s="7" t="n">
        <v>68.1</v>
      </c>
      <c r="H73" s="7" t="n">
        <v>99.9729</v>
      </c>
      <c r="I73" s="6"/>
    </row>
    <row r="74" customFormat="false" ht="15" hidden="false" customHeight="false" outlineLevel="0" collapsed="false">
      <c r="A74" s="6" t="s">
        <v>69</v>
      </c>
      <c r="B74" s="6" t="s">
        <v>1900</v>
      </c>
      <c r="C74" s="8" t="n">
        <v>6287</v>
      </c>
      <c r="D74" s="8" t="n">
        <v>8363</v>
      </c>
      <c r="E74" s="7" t="n">
        <v>1.33</v>
      </c>
      <c r="F74" s="7" t="n">
        <v>0.914</v>
      </c>
      <c r="G74" s="7" t="n">
        <v>44.9</v>
      </c>
      <c r="H74" s="7" t="n">
        <v>99.9935</v>
      </c>
      <c r="I74" s="6"/>
    </row>
    <row r="75" customFormat="false" ht="15" hidden="false" customHeight="false" outlineLevel="0" collapsed="false">
      <c r="A75" s="6" t="s">
        <v>69</v>
      </c>
      <c r="B75" s="6" t="s">
        <v>1900</v>
      </c>
      <c r="C75" s="8" t="n">
        <v>6425</v>
      </c>
      <c r="D75" s="8" t="n">
        <v>8590</v>
      </c>
      <c r="E75" s="7" t="n">
        <v>1.337</v>
      </c>
      <c r="F75" s="7" t="n">
        <v>0.936</v>
      </c>
      <c r="G75" s="7" t="n">
        <v>45.9</v>
      </c>
      <c r="H75" s="7" t="n">
        <v>99.9961</v>
      </c>
      <c r="I75" s="6"/>
    </row>
    <row r="76" customFormat="false" ht="15" hidden="false" customHeight="false" outlineLevel="0" collapsed="false">
      <c r="A76" s="6" t="s">
        <v>69</v>
      </c>
      <c r="B76" s="6" t="s">
        <v>1901</v>
      </c>
      <c r="C76" s="8" t="n">
        <v>6546</v>
      </c>
      <c r="D76" s="8" t="n">
        <v>8750</v>
      </c>
      <c r="E76" s="7" t="n">
        <v>1.337</v>
      </c>
      <c r="F76" s="7" t="n">
        <v>0.957</v>
      </c>
      <c r="G76" s="7" t="n">
        <v>46.8</v>
      </c>
      <c r="H76" s="7" t="n">
        <v>99.9719</v>
      </c>
      <c r="I76" s="6"/>
    </row>
    <row r="77" customFormat="false" ht="15" hidden="false" customHeight="false" outlineLevel="0" collapsed="false">
      <c r="A77" s="6" t="s">
        <v>69</v>
      </c>
      <c r="B77" s="6" t="s">
        <v>1902</v>
      </c>
      <c r="C77" s="8" t="n">
        <v>6556</v>
      </c>
      <c r="D77" s="8" t="n">
        <v>8855</v>
      </c>
      <c r="E77" s="7" t="n">
        <v>1.351</v>
      </c>
      <c r="F77" s="7" t="n">
        <v>0.983</v>
      </c>
      <c r="G77" s="7" t="n">
        <v>46.8</v>
      </c>
      <c r="H77" s="7" t="n">
        <v>99.9835</v>
      </c>
      <c r="I77" s="6"/>
    </row>
    <row r="78" customFormat="false" ht="15" hidden="false" customHeight="false" outlineLevel="0" collapsed="false">
      <c r="A78" s="6" t="s">
        <v>69</v>
      </c>
      <c r="B78" s="6" t="s">
        <v>1903</v>
      </c>
      <c r="C78" s="8" t="n">
        <v>6616</v>
      </c>
      <c r="D78" s="8" t="n">
        <v>8941</v>
      </c>
      <c r="E78" s="7" t="n">
        <v>1.351</v>
      </c>
      <c r="F78" s="7" t="n">
        <v>0.954</v>
      </c>
      <c r="G78" s="7" t="n">
        <v>47.3</v>
      </c>
      <c r="H78" s="7" t="n">
        <v>99.9851</v>
      </c>
      <c r="I78" s="6"/>
    </row>
    <row r="79" customFormat="false" ht="15" hidden="false" customHeight="false" outlineLevel="0" collapsed="false">
      <c r="A79" s="6" t="s">
        <v>69</v>
      </c>
      <c r="B79" s="6" t="s">
        <v>1904</v>
      </c>
      <c r="C79" s="8" t="n">
        <v>6696</v>
      </c>
      <c r="D79" s="8" t="n">
        <v>9039</v>
      </c>
      <c r="E79" s="7" t="n">
        <v>1.35</v>
      </c>
      <c r="F79" s="7" t="n">
        <v>0.923</v>
      </c>
      <c r="G79" s="7" t="n">
        <v>47.8</v>
      </c>
      <c r="H79" s="7" t="n">
        <v>99.9724</v>
      </c>
      <c r="I79" s="6"/>
    </row>
    <row r="80" customFormat="false" ht="15" hidden="false" customHeight="false" outlineLevel="0" collapsed="false">
      <c r="A80" s="6" t="s">
        <v>69</v>
      </c>
      <c r="B80" s="6" t="s">
        <v>1905</v>
      </c>
      <c r="C80" s="8" t="n">
        <v>6753</v>
      </c>
      <c r="D80" s="8" t="n">
        <v>8976</v>
      </c>
      <c r="E80" s="7" t="n">
        <v>1.329</v>
      </c>
      <c r="F80" s="7" t="n">
        <v>0.976</v>
      </c>
      <c r="G80" s="7" t="n">
        <v>48.2</v>
      </c>
      <c r="H80" s="7" t="n">
        <v>99.9933</v>
      </c>
      <c r="I80" s="6"/>
    </row>
    <row r="81" customFormat="false" ht="15" hidden="false" customHeight="false" outlineLevel="0" collapsed="false">
      <c r="A81" s="6" t="s">
        <v>69</v>
      </c>
      <c r="B81" s="6" t="s">
        <v>1906</v>
      </c>
      <c r="C81" s="8" t="n">
        <v>6855</v>
      </c>
      <c r="D81" s="8" t="n">
        <v>9460</v>
      </c>
      <c r="E81" s="7" t="n">
        <v>1.38</v>
      </c>
      <c r="F81" s="7" t="n">
        <v>0.927</v>
      </c>
      <c r="G81" s="7" t="n">
        <v>49</v>
      </c>
      <c r="H81" s="7" t="n">
        <v>99.9873</v>
      </c>
      <c r="I81" s="6"/>
    </row>
    <row r="82" customFormat="false" ht="15" hidden="false" customHeight="false" outlineLevel="0" collapsed="false">
      <c r="A82" s="6" t="s">
        <v>69</v>
      </c>
      <c r="B82" s="6" t="s">
        <v>1907</v>
      </c>
      <c r="C82" s="8" t="n">
        <v>6895</v>
      </c>
      <c r="D82" s="8" t="n">
        <v>9458</v>
      </c>
      <c r="E82" s="7" t="n">
        <v>1.372</v>
      </c>
      <c r="F82" s="7" t="n">
        <v>0.937</v>
      </c>
      <c r="G82" s="7" t="n">
        <v>49.3</v>
      </c>
      <c r="H82" s="7" t="n">
        <v>99.9926</v>
      </c>
      <c r="I82" s="6"/>
    </row>
    <row r="83" customFormat="false" ht="15" hidden="false" customHeight="false" outlineLevel="0" collapsed="false">
      <c r="A83" s="6" t="s">
        <v>69</v>
      </c>
      <c r="B83" s="6" t="s">
        <v>1908</v>
      </c>
      <c r="C83" s="8" t="n">
        <v>6816</v>
      </c>
      <c r="D83" s="8" t="n">
        <v>9312</v>
      </c>
      <c r="E83" s="7" t="n">
        <v>1.366</v>
      </c>
      <c r="F83" s="7" t="n">
        <v>0.957</v>
      </c>
      <c r="G83" s="7" t="n">
        <v>48.7</v>
      </c>
      <c r="H83" s="7" t="n">
        <v>99.9721</v>
      </c>
      <c r="I83" s="6"/>
    </row>
    <row r="84" customFormat="false" ht="15" hidden="false" customHeight="false" outlineLevel="0" collapsed="false">
      <c r="A84" s="6" t="s">
        <v>69</v>
      </c>
      <c r="B84" s="6" t="s">
        <v>1909</v>
      </c>
      <c r="C84" s="8" t="n">
        <v>6890</v>
      </c>
      <c r="D84" s="8" t="n">
        <v>9254</v>
      </c>
      <c r="E84" s="7" t="n">
        <v>1.343</v>
      </c>
      <c r="F84" s="7" t="n">
        <v>0.988</v>
      </c>
      <c r="G84" s="7" t="n">
        <v>49.2</v>
      </c>
      <c r="H84" s="7" t="n">
        <v>99.988</v>
      </c>
      <c r="I84" s="6"/>
    </row>
    <row r="85" customFormat="false" ht="15" hidden="false" customHeight="false" outlineLevel="0" collapsed="false">
      <c r="A85" s="6" t="s">
        <v>69</v>
      </c>
      <c r="B85" s="6" t="s">
        <v>1910</v>
      </c>
      <c r="C85" s="8" t="n">
        <v>7025</v>
      </c>
      <c r="D85" s="8" t="n">
        <v>9358</v>
      </c>
      <c r="E85" s="7" t="n">
        <v>1.332</v>
      </c>
      <c r="F85" s="7" t="n">
        <v>0.926</v>
      </c>
      <c r="G85" s="7" t="n">
        <v>50.2</v>
      </c>
      <c r="H85" s="7" t="n">
        <v>99.9728</v>
      </c>
      <c r="I85" s="6"/>
    </row>
    <row r="86" customFormat="false" ht="15" hidden="false" customHeight="false" outlineLevel="0" collapsed="false">
      <c r="A86" s="6" t="s">
        <v>69</v>
      </c>
      <c r="B86" s="6" t="s">
        <v>1911</v>
      </c>
      <c r="C86" s="8" t="n">
        <v>7129</v>
      </c>
      <c r="D86" s="8" t="n">
        <v>9478</v>
      </c>
      <c r="E86" s="7" t="n">
        <v>1.33</v>
      </c>
      <c r="F86" s="7" t="n">
        <v>0.949</v>
      </c>
      <c r="G86" s="7" t="n">
        <v>50.9</v>
      </c>
      <c r="H86" s="7" t="n">
        <v>99.9871</v>
      </c>
      <c r="I86" s="6"/>
    </row>
    <row r="87" customFormat="false" ht="15" hidden="false" customHeight="false" outlineLevel="0" collapsed="false">
      <c r="A87" s="6" t="s">
        <v>69</v>
      </c>
      <c r="B87" s="6" t="s">
        <v>1912</v>
      </c>
      <c r="C87" s="8" t="n">
        <v>7091</v>
      </c>
      <c r="D87" s="8" t="n">
        <v>9515</v>
      </c>
      <c r="E87" s="7" t="n">
        <v>1.342</v>
      </c>
      <c r="F87" s="7" t="n">
        <v>0.964</v>
      </c>
      <c r="G87" s="7" t="n">
        <v>50.6</v>
      </c>
      <c r="H87" s="7" t="n">
        <v>99.9954</v>
      </c>
      <c r="I87" s="6"/>
    </row>
    <row r="88" customFormat="false" ht="15" hidden="false" customHeight="false" outlineLevel="0" collapsed="false">
      <c r="A88" s="6" t="s">
        <v>69</v>
      </c>
      <c r="B88" s="6" t="s">
        <v>1913</v>
      </c>
      <c r="C88" s="8" t="n">
        <v>7107</v>
      </c>
      <c r="D88" s="8" t="n">
        <v>9444</v>
      </c>
      <c r="E88" s="7" t="n">
        <v>1.329</v>
      </c>
      <c r="F88" s="7" t="n">
        <v>0.943</v>
      </c>
      <c r="G88" s="7" t="n">
        <v>50.8</v>
      </c>
      <c r="H88" s="7" t="n">
        <v>99.9727</v>
      </c>
      <c r="I88" s="6"/>
    </row>
    <row r="89" customFormat="false" ht="15" hidden="false" customHeight="false" outlineLevel="0" collapsed="false">
      <c r="A89" s="6" t="s">
        <v>69</v>
      </c>
      <c r="B89" s="6" t="s">
        <v>1914</v>
      </c>
      <c r="C89" s="8" t="n">
        <v>7218</v>
      </c>
      <c r="D89" s="8" t="n">
        <v>9608</v>
      </c>
      <c r="E89" s="7" t="n">
        <v>1.331</v>
      </c>
      <c r="F89" s="7" t="n">
        <v>0.912</v>
      </c>
      <c r="G89" s="7" t="n">
        <v>51.6</v>
      </c>
      <c r="H89" s="7" t="n">
        <v>99.9873</v>
      </c>
      <c r="I89" s="6"/>
    </row>
    <row r="90" customFormat="false" ht="15" hidden="false" customHeight="false" outlineLevel="0" collapsed="false">
      <c r="A90" s="6" t="s">
        <v>69</v>
      </c>
      <c r="B90" s="6" t="s">
        <v>1470</v>
      </c>
      <c r="C90" s="8" t="n">
        <v>7197</v>
      </c>
      <c r="D90" s="8" t="n">
        <v>9590</v>
      </c>
      <c r="E90" s="7" t="n">
        <v>1.332</v>
      </c>
      <c r="F90" s="7" t="n">
        <v>0.962</v>
      </c>
      <c r="G90" s="7" t="n">
        <v>51.4</v>
      </c>
      <c r="H90" s="7" t="n">
        <v>99.9815</v>
      </c>
      <c r="I90" s="6"/>
    </row>
    <row r="91" customFormat="false" ht="15" hidden="false" customHeight="false" outlineLevel="0" collapsed="false">
      <c r="A91" s="6" t="s">
        <v>69</v>
      </c>
      <c r="B91" s="6" t="s">
        <v>1471</v>
      </c>
      <c r="C91" s="8" t="n">
        <v>7315</v>
      </c>
      <c r="D91" s="8" t="n">
        <v>9811</v>
      </c>
      <c r="E91" s="7" t="n">
        <v>1.341</v>
      </c>
      <c r="F91" s="7" t="n">
        <v>0.93</v>
      </c>
      <c r="G91" s="7" t="n">
        <v>52.3</v>
      </c>
      <c r="H91" s="7" t="n">
        <v>99.9818</v>
      </c>
      <c r="I91" s="6"/>
    </row>
    <row r="92" customFormat="false" ht="15" hidden="false" customHeight="false" outlineLevel="0" collapsed="false">
      <c r="A92" s="6" t="s">
        <v>69</v>
      </c>
      <c r="B92" s="6" t="s">
        <v>1472</v>
      </c>
      <c r="C92" s="8" t="n">
        <v>7365</v>
      </c>
      <c r="D92" s="8" t="n">
        <v>9810</v>
      </c>
      <c r="E92" s="7" t="n">
        <v>1.332</v>
      </c>
      <c r="F92" s="7" t="n">
        <v>0.967</v>
      </c>
      <c r="G92" s="7" t="n">
        <v>52.6</v>
      </c>
      <c r="H92" s="7" t="n">
        <v>99.9842</v>
      </c>
      <c r="I92" s="6"/>
    </row>
    <row r="93" customFormat="false" ht="15" hidden="false" customHeight="false" outlineLevel="0" collapsed="false">
      <c r="A93" s="6" t="s">
        <v>69</v>
      </c>
      <c r="B93" s="6" t="s">
        <v>1473</v>
      </c>
      <c r="C93" s="8" t="n">
        <v>7386</v>
      </c>
      <c r="D93" s="8" t="n">
        <v>10219</v>
      </c>
      <c r="E93" s="7" t="n">
        <v>1.384</v>
      </c>
      <c r="F93" s="7" t="n">
        <v>0.924</v>
      </c>
      <c r="G93" s="7" t="n">
        <v>52.8</v>
      </c>
      <c r="H93" s="7" t="n">
        <v>99.9838</v>
      </c>
      <c r="I93" s="6"/>
    </row>
    <row r="94" customFormat="false" ht="15" hidden="false" customHeight="false" outlineLevel="0" collapsed="false">
      <c r="A94" s="6" t="s">
        <v>69</v>
      </c>
      <c r="B94" s="6" t="s">
        <v>1474</v>
      </c>
      <c r="C94" s="8" t="n">
        <v>7607</v>
      </c>
      <c r="D94" s="8" t="n">
        <v>10439</v>
      </c>
      <c r="E94" s="7" t="n">
        <v>1.372</v>
      </c>
      <c r="F94" s="7" t="n">
        <v>0.934</v>
      </c>
      <c r="G94" s="7" t="n">
        <v>54.3</v>
      </c>
      <c r="H94" s="7" t="n">
        <v>99.9896</v>
      </c>
      <c r="I94" s="6"/>
    </row>
    <row r="95" customFormat="false" ht="15" hidden="false" customHeight="false" outlineLevel="0" collapsed="false">
      <c r="A95" s="6" t="s">
        <v>69</v>
      </c>
      <c r="B95" s="6" t="s">
        <v>1475</v>
      </c>
      <c r="C95" s="8" t="n">
        <v>7626</v>
      </c>
      <c r="D95" s="8" t="n">
        <v>10451</v>
      </c>
      <c r="E95" s="7" t="n">
        <v>1.37</v>
      </c>
      <c r="F95" s="7" t="n">
        <v>0.912</v>
      </c>
      <c r="G95" s="7" t="n">
        <v>54.5</v>
      </c>
      <c r="H95" s="7" t="n">
        <v>99.9989</v>
      </c>
      <c r="I95" s="6"/>
    </row>
    <row r="96" customFormat="false" ht="15" hidden="false" customHeight="false" outlineLevel="0" collapsed="false">
      <c r="A96" s="6" t="s">
        <v>69</v>
      </c>
      <c r="B96" s="6" t="s">
        <v>1476</v>
      </c>
      <c r="C96" s="8" t="n">
        <v>7628</v>
      </c>
      <c r="D96" s="8" t="n">
        <v>10194</v>
      </c>
      <c r="E96" s="7" t="n">
        <v>1.336</v>
      </c>
      <c r="F96" s="7" t="n">
        <v>0.911</v>
      </c>
      <c r="G96" s="7" t="n">
        <v>54.5</v>
      </c>
      <c r="H96" s="7" t="n">
        <v>99.9818</v>
      </c>
      <c r="I96" s="6"/>
    </row>
    <row r="97" customFormat="false" ht="15" hidden="false" customHeight="false" outlineLevel="0" collapsed="false">
      <c r="A97" s="6" t="s">
        <v>69</v>
      </c>
      <c r="B97" s="6" t="s">
        <v>1477</v>
      </c>
      <c r="C97" s="8" t="n">
        <v>7622</v>
      </c>
      <c r="D97" s="8" t="n">
        <v>10195</v>
      </c>
      <c r="E97" s="7" t="n">
        <v>1.338</v>
      </c>
      <c r="F97" s="7" t="n">
        <v>0.982</v>
      </c>
      <c r="G97" s="7" t="n">
        <v>54.4</v>
      </c>
      <c r="H97" s="7" t="n">
        <v>99.9774</v>
      </c>
      <c r="I97" s="6"/>
    </row>
    <row r="98" customFormat="false" ht="15" hidden="false" customHeight="false" outlineLevel="0" collapsed="false">
      <c r="A98" s="6" t="s">
        <v>75</v>
      </c>
      <c r="B98" s="6" t="s">
        <v>1900</v>
      </c>
      <c r="C98" s="8" t="n">
        <v>6271</v>
      </c>
      <c r="D98" s="8" t="n">
        <v>10540</v>
      </c>
      <c r="E98" s="7" t="n">
        <v>1.681</v>
      </c>
      <c r="F98" s="7" t="n">
        <v>1.988</v>
      </c>
      <c r="G98" s="7" t="n">
        <v>69.7</v>
      </c>
      <c r="H98" s="7" t="n">
        <v>99.9802</v>
      </c>
      <c r="I98" s="6"/>
    </row>
    <row r="99" customFormat="false" ht="15" hidden="false" customHeight="false" outlineLevel="0" collapsed="false">
      <c r="A99" s="6" t="s">
        <v>75</v>
      </c>
      <c r="B99" s="6" t="s">
        <v>1900</v>
      </c>
      <c r="C99" s="8" t="n">
        <v>6262</v>
      </c>
      <c r="D99" s="8" t="n">
        <v>10562</v>
      </c>
      <c r="E99" s="7" t="n">
        <v>1.687</v>
      </c>
      <c r="F99" s="7" t="n">
        <v>1.981</v>
      </c>
      <c r="G99" s="7" t="n">
        <v>69.6</v>
      </c>
      <c r="H99" s="7" t="n">
        <v>99.9842</v>
      </c>
      <c r="I99" s="6"/>
    </row>
    <row r="100" customFormat="false" ht="15" hidden="false" customHeight="false" outlineLevel="0" collapsed="false">
      <c r="A100" s="6" t="s">
        <v>75</v>
      </c>
      <c r="B100" s="6" t="s">
        <v>1901</v>
      </c>
      <c r="C100" s="8" t="n">
        <v>6206</v>
      </c>
      <c r="D100" s="8" t="n">
        <v>10500</v>
      </c>
      <c r="E100" s="7" t="n">
        <v>1.692</v>
      </c>
      <c r="F100" s="7" t="n">
        <v>1.967</v>
      </c>
      <c r="G100" s="7" t="n">
        <v>69</v>
      </c>
      <c r="H100" s="7" t="n">
        <v>99.9975</v>
      </c>
      <c r="I100" s="6"/>
    </row>
    <row r="101" customFormat="false" ht="15" hidden="false" customHeight="false" outlineLevel="0" collapsed="false">
      <c r="A101" s="6" t="s">
        <v>75</v>
      </c>
      <c r="B101" s="6" t="s">
        <v>1902</v>
      </c>
      <c r="C101" s="8" t="n">
        <v>6389</v>
      </c>
      <c r="D101" s="8" t="n">
        <v>10672</v>
      </c>
      <c r="E101" s="7" t="n">
        <v>1.67</v>
      </c>
      <c r="F101" s="7" t="n">
        <v>1.924</v>
      </c>
      <c r="G101" s="7" t="n">
        <v>71</v>
      </c>
      <c r="H101" s="7" t="n">
        <v>99.994</v>
      </c>
      <c r="I101" s="6"/>
    </row>
    <row r="102" customFormat="false" ht="15" hidden="false" customHeight="false" outlineLevel="0" collapsed="false">
      <c r="A102" s="6" t="s">
        <v>75</v>
      </c>
      <c r="B102" s="6" t="s">
        <v>1903</v>
      </c>
      <c r="C102" s="8" t="n">
        <v>6403</v>
      </c>
      <c r="D102" s="8" t="n">
        <v>10827</v>
      </c>
      <c r="E102" s="7" t="n">
        <v>1.691</v>
      </c>
      <c r="F102" s="7" t="n">
        <v>1.937</v>
      </c>
      <c r="G102" s="7" t="n">
        <v>71.1</v>
      </c>
      <c r="H102" s="7" t="n">
        <v>99.9948</v>
      </c>
      <c r="I102" s="6"/>
    </row>
    <row r="103" customFormat="false" ht="15" hidden="false" customHeight="false" outlineLevel="0" collapsed="false">
      <c r="A103" s="6" t="s">
        <v>75</v>
      </c>
      <c r="B103" s="6" t="s">
        <v>1904</v>
      </c>
      <c r="C103" s="8" t="n">
        <v>6399</v>
      </c>
      <c r="D103" s="8" t="n">
        <v>10745</v>
      </c>
      <c r="E103" s="7" t="n">
        <v>1.679</v>
      </c>
      <c r="F103" s="7" t="n">
        <v>1.986</v>
      </c>
      <c r="G103" s="7" t="n">
        <v>71.1</v>
      </c>
      <c r="H103" s="7" t="n">
        <v>99.9718</v>
      </c>
      <c r="I103" s="6"/>
    </row>
    <row r="104" customFormat="false" ht="15" hidden="false" customHeight="false" outlineLevel="0" collapsed="false">
      <c r="A104" s="6" t="s">
        <v>75</v>
      </c>
      <c r="B104" s="6" t="s">
        <v>1905</v>
      </c>
      <c r="C104" s="8" t="n">
        <v>6420</v>
      </c>
      <c r="D104" s="8" t="n">
        <v>10770</v>
      </c>
      <c r="E104" s="7" t="n">
        <v>1.677</v>
      </c>
      <c r="F104" s="7" t="n">
        <v>1.945</v>
      </c>
      <c r="G104" s="7" t="n">
        <v>71.3</v>
      </c>
      <c r="H104" s="7" t="n">
        <v>99.9786</v>
      </c>
      <c r="I104" s="6"/>
    </row>
    <row r="105" customFormat="false" ht="15" hidden="false" customHeight="false" outlineLevel="0" collapsed="false">
      <c r="A105" s="6" t="s">
        <v>75</v>
      </c>
      <c r="B105" s="6" t="s">
        <v>1906</v>
      </c>
      <c r="C105" s="8" t="n">
        <v>6579</v>
      </c>
      <c r="D105" s="8" t="n">
        <v>11205</v>
      </c>
      <c r="E105" s="7" t="n">
        <v>1.703</v>
      </c>
      <c r="F105" s="7" t="n">
        <v>1.984</v>
      </c>
      <c r="G105" s="7" t="n">
        <v>73.1</v>
      </c>
      <c r="H105" s="7" t="n">
        <v>99.998</v>
      </c>
      <c r="I105" s="6"/>
    </row>
    <row r="106" customFormat="false" ht="15" hidden="false" customHeight="false" outlineLevel="0" collapsed="false">
      <c r="A106" s="6" t="s">
        <v>75</v>
      </c>
      <c r="B106" s="6" t="s">
        <v>1907</v>
      </c>
      <c r="C106" s="8" t="n">
        <v>6704</v>
      </c>
      <c r="D106" s="8" t="n">
        <v>11418</v>
      </c>
      <c r="E106" s="7" t="n">
        <v>1.703</v>
      </c>
      <c r="F106" s="7" t="n">
        <v>1.939</v>
      </c>
      <c r="G106" s="7" t="n">
        <v>74.5</v>
      </c>
      <c r="H106" s="7" t="n">
        <v>99.9825</v>
      </c>
      <c r="I106" s="6"/>
    </row>
    <row r="107" customFormat="false" ht="15" hidden="false" customHeight="false" outlineLevel="0" collapsed="false">
      <c r="A107" s="6" t="s">
        <v>75</v>
      </c>
      <c r="B107" s="6" t="s">
        <v>1908</v>
      </c>
      <c r="C107" s="8" t="n">
        <v>6702</v>
      </c>
      <c r="D107" s="8" t="n">
        <v>11476</v>
      </c>
      <c r="E107" s="7" t="n">
        <v>1.712</v>
      </c>
      <c r="F107" s="7" t="n">
        <v>1.986</v>
      </c>
      <c r="G107" s="7" t="n">
        <v>74.5</v>
      </c>
      <c r="H107" s="7" t="n">
        <v>99.9909</v>
      </c>
      <c r="I107" s="6"/>
    </row>
    <row r="108" customFormat="false" ht="15" hidden="false" customHeight="false" outlineLevel="0" collapsed="false">
      <c r="A108" s="6" t="s">
        <v>75</v>
      </c>
      <c r="B108" s="6" t="s">
        <v>1909</v>
      </c>
      <c r="C108" s="8" t="n">
        <v>6737</v>
      </c>
      <c r="D108" s="8" t="n">
        <v>11326</v>
      </c>
      <c r="E108" s="7" t="n">
        <v>1.681</v>
      </c>
      <c r="F108" s="7" t="n">
        <v>1.952</v>
      </c>
      <c r="G108" s="7" t="n">
        <v>74.9</v>
      </c>
      <c r="H108" s="7" t="n">
        <v>99.9839</v>
      </c>
      <c r="I108" s="6"/>
    </row>
    <row r="109" customFormat="false" ht="15" hidden="false" customHeight="false" outlineLevel="0" collapsed="false">
      <c r="A109" s="6" t="s">
        <v>75</v>
      </c>
      <c r="B109" s="6" t="s">
        <v>1910</v>
      </c>
      <c r="C109" s="8" t="n">
        <v>6780</v>
      </c>
      <c r="D109" s="8" t="n">
        <v>11396</v>
      </c>
      <c r="E109" s="7" t="n">
        <v>1.681</v>
      </c>
      <c r="F109" s="7" t="n">
        <v>1.923</v>
      </c>
      <c r="G109" s="7" t="n">
        <v>75.3</v>
      </c>
      <c r="H109" s="7" t="n">
        <v>99.9791</v>
      </c>
      <c r="I109" s="6"/>
    </row>
    <row r="110" customFormat="false" ht="15" hidden="false" customHeight="false" outlineLevel="0" collapsed="false">
      <c r="A110" s="6" t="s">
        <v>75</v>
      </c>
      <c r="B110" s="6" t="s">
        <v>1911</v>
      </c>
      <c r="C110" s="8" t="n">
        <v>6928</v>
      </c>
      <c r="D110" s="8" t="n">
        <v>11676</v>
      </c>
      <c r="E110" s="7" t="n">
        <v>1.685</v>
      </c>
      <c r="F110" s="7" t="n">
        <v>1.955</v>
      </c>
      <c r="G110" s="7" t="n">
        <v>77</v>
      </c>
      <c r="H110" s="7" t="n">
        <v>99.9894</v>
      </c>
      <c r="I110" s="6"/>
    </row>
    <row r="111" customFormat="false" ht="15" hidden="false" customHeight="false" outlineLevel="0" collapsed="false">
      <c r="A111" s="6" t="s">
        <v>75</v>
      </c>
      <c r="B111" s="6" t="s">
        <v>1912</v>
      </c>
      <c r="C111" s="8" t="n">
        <v>6934</v>
      </c>
      <c r="D111" s="8" t="n">
        <v>11724</v>
      </c>
      <c r="E111" s="7" t="n">
        <v>1.691</v>
      </c>
      <c r="F111" s="7" t="n">
        <v>1.967</v>
      </c>
      <c r="G111" s="7" t="n">
        <v>77</v>
      </c>
      <c r="H111" s="7" t="n">
        <v>99.9871</v>
      </c>
      <c r="I111" s="6"/>
    </row>
    <row r="112" customFormat="false" ht="15" hidden="false" customHeight="false" outlineLevel="0" collapsed="false">
      <c r="A112" s="6" t="s">
        <v>75</v>
      </c>
      <c r="B112" s="6" t="s">
        <v>1913</v>
      </c>
      <c r="C112" s="8" t="n">
        <v>6916</v>
      </c>
      <c r="D112" s="8" t="n">
        <v>11599</v>
      </c>
      <c r="E112" s="7" t="n">
        <v>1.677</v>
      </c>
      <c r="F112" s="7" t="n">
        <v>1.918</v>
      </c>
      <c r="G112" s="7" t="n">
        <v>76.8</v>
      </c>
      <c r="H112" s="7" t="n">
        <v>99.9844</v>
      </c>
      <c r="I112" s="6"/>
    </row>
    <row r="113" customFormat="false" ht="15" hidden="false" customHeight="false" outlineLevel="0" collapsed="false">
      <c r="A113" s="6" t="s">
        <v>75</v>
      </c>
      <c r="B113" s="6" t="s">
        <v>1914</v>
      </c>
      <c r="C113" s="8" t="n">
        <v>7111</v>
      </c>
      <c r="D113" s="8" t="n">
        <v>11869</v>
      </c>
      <c r="E113" s="7" t="n">
        <v>1.669</v>
      </c>
      <c r="F113" s="7" t="n">
        <v>1.926</v>
      </c>
      <c r="G113" s="7" t="n">
        <v>79</v>
      </c>
      <c r="H113" s="7" t="n">
        <v>99.9771</v>
      </c>
      <c r="I113" s="6"/>
    </row>
    <row r="114" customFormat="false" ht="15" hidden="false" customHeight="false" outlineLevel="0" collapsed="false">
      <c r="A114" s="6" t="s">
        <v>75</v>
      </c>
      <c r="B114" s="6" t="s">
        <v>1470</v>
      </c>
      <c r="C114" s="8" t="n">
        <v>7094</v>
      </c>
      <c r="D114" s="8" t="n">
        <v>11990</v>
      </c>
      <c r="E114" s="7" t="n">
        <v>1.69</v>
      </c>
      <c r="F114" s="7" t="n">
        <v>1.963</v>
      </c>
      <c r="G114" s="7" t="n">
        <v>78.8</v>
      </c>
      <c r="H114" s="7" t="n">
        <v>99.9739</v>
      </c>
      <c r="I114" s="6"/>
    </row>
    <row r="115" customFormat="false" ht="15" hidden="false" customHeight="false" outlineLevel="0" collapsed="false">
      <c r="A115" s="6" t="s">
        <v>75</v>
      </c>
      <c r="B115" s="6" t="s">
        <v>1471</v>
      </c>
      <c r="C115" s="8" t="n">
        <v>7059</v>
      </c>
      <c r="D115" s="8" t="n">
        <v>11846</v>
      </c>
      <c r="E115" s="7" t="n">
        <v>1.678</v>
      </c>
      <c r="F115" s="7" t="n">
        <v>1.987</v>
      </c>
      <c r="G115" s="7" t="n">
        <v>78.4</v>
      </c>
      <c r="H115" s="7" t="n">
        <v>99.9731</v>
      </c>
      <c r="I115" s="6"/>
    </row>
    <row r="116" customFormat="false" ht="15" hidden="false" customHeight="false" outlineLevel="0" collapsed="false">
      <c r="A116" s="6" t="s">
        <v>75</v>
      </c>
      <c r="B116" s="6" t="s">
        <v>1472</v>
      </c>
      <c r="C116" s="8" t="n">
        <v>7097</v>
      </c>
      <c r="D116" s="8" t="n">
        <v>11926</v>
      </c>
      <c r="E116" s="7" t="n">
        <v>1.68</v>
      </c>
      <c r="F116" s="7" t="n">
        <v>1.934</v>
      </c>
      <c r="G116" s="7" t="n">
        <v>78.9</v>
      </c>
      <c r="H116" s="7" t="n">
        <v>99.9823</v>
      </c>
      <c r="I116" s="6"/>
    </row>
    <row r="117" customFormat="false" ht="15" hidden="false" customHeight="false" outlineLevel="0" collapsed="false">
      <c r="A117" s="6" t="s">
        <v>75</v>
      </c>
      <c r="B117" s="6" t="s">
        <v>1473</v>
      </c>
      <c r="C117" s="8" t="n">
        <v>7201</v>
      </c>
      <c r="D117" s="8" t="n">
        <v>12427</v>
      </c>
      <c r="E117" s="7" t="n">
        <v>1.726</v>
      </c>
      <c r="F117" s="7" t="n">
        <v>1.978</v>
      </c>
      <c r="G117" s="7" t="n">
        <v>80</v>
      </c>
      <c r="H117" s="7" t="n">
        <v>99.9884</v>
      </c>
      <c r="I117" s="6"/>
    </row>
    <row r="118" customFormat="false" ht="15" hidden="false" customHeight="false" outlineLevel="0" collapsed="false">
      <c r="A118" s="6" t="s">
        <v>75</v>
      </c>
      <c r="B118" s="6" t="s">
        <v>1474</v>
      </c>
      <c r="C118" s="8" t="n">
        <v>7239</v>
      </c>
      <c r="D118" s="8" t="n">
        <v>12480</v>
      </c>
      <c r="E118" s="7" t="n">
        <v>1.724</v>
      </c>
      <c r="F118" s="7" t="n">
        <v>1.936</v>
      </c>
      <c r="G118" s="7" t="n">
        <v>80.4</v>
      </c>
      <c r="H118" s="7" t="n">
        <v>99.9908</v>
      </c>
      <c r="I118" s="6"/>
    </row>
    <row r="119" customFormat="false" ht="15" hidden="false" customHeight="false" outlineLevel="0" collapsed="false">
      <c r="A119" s="6" t="s">
        <v>75</v>
      </c>
      <c r="B119" s="6" t="s">
        <v>1475</v>
      </c>
      <c r="C119" s="8" t="n">
        <v>7256</v>
      </c>
      <c r="D119" s="8" t="n">
        <v>12472</v>
      </c>
      <c r="E119" s="7" t="n">
        <v>1.719</v>
      </c>
      <c r="F119" s="7" t="n">
        <v>1.942</v>
      </c>
      <c r="G119" s="7" t="n">
        <v>80.6</v>
      </c>
      <c r="H119" s="7" t="n">
        <v>99.9948</v>
      </c>
      <c r="I119" s="6"/>
    </row>
    <row r="120" customFormat="false" ht="15" hidden="false" customHeight="false" outlineLevel="0" collapsed="false">
      <c r="A120" s="6" t="s">
        <v>75</v>
      </c>
      <c r="B120" s="6" t="s">
        <v>1476</v>
      </c>
      <c r="C120" s="8" t="n">
        <v>7388</v>
      </c>
      <c r="D120" s="8" t="n">
        <v>12332</v>
      </c>
      <c r="E120" s="7" t="n">
        <v>1.669</v>
      </c>
      <c r="F120" s="7" t="n">
        <v>1.96</v>
      </c>
      <c r="G120" s="7" t="n">
        <v>82.1</v>
      </c>
      <c r="H120" s="7" t="n">
        <v>99.9921</v>
      </c>
      <c r="I120" s="6"/>
    </row>
    <row r="121" customFormat="false" ht="15" hidden="false" customHeight="false" outlineLevel="0" collapsed="false">
      <c r="A121" s="6" t="s">
        <v>75</v>
      </c>
      <c r="B121" s="6" t="s">
        <v>1477</v>
      </c>
      <c r="C121" s="8" t="n">
        <v>7488</v>
      </c>
      <c r="D121" s="8" t="n">
        <v>12513</v>
      </c>
      <c r="E121" s="7" t="n">
        <v>1.671</v>
      </c>
      <c r="F121" s="7" t="n">
        <v>1.957</v>
      </c>
      <c r="G121" s="7" t="n">
        <v>83.2</v>
      </c>
      <c r="H121" s="7" t="n">
        <v>99.987</v>
      </c>
      <c r="I121" s="6"/>
    </row>
    <row r="123" customFormat="false" ht="15" hidden="false" customHeight="false" outlineLevel="0" collapsed="false">
      <c r="A123" s="9" t="s">
        <v>1916</v>
      </c>
    </row>
    <row r="124" customFormat="false" ht="15" hidden="false" customHeight="false" outlineLevel="0" collapsed="false">
      <c r="A124" s="9" t="s">
        <v>1917</v>
      </c>
    </row>
    <row r="125" customFormat="false" ht="15" hidden="false" customHeight="false" outlineLevel="0" collapsed="false">
      <c r="A125" s="9" t="s">
        <v>1918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8"/>
    <col collapsed="false" customWidth="true" hidden="false" outlineLevel="0" max="4" min="4" style="0" width="14"/>
  </cols>
  <sheetData>
    <row r="1" customFormat="false" ht="17.35" hidden="false" customHeight="false" outlineLevel="0" collapsed="false">
      <c r="A1" s="10" t="s">
        <v>1919</v>
      </c>
    </row>
    <row r="3" customFormat="false" ht="15" hidden="false" customHeight="false" outlineLevel="0" collapsed="false">
      <c r="A3" s="11" t="s">
        <v>1920</v>
      </c>
      <c r="B3" s="11" t="s">
        <v>1921</v>
      </c>
      <c r="C3" s="11" t="s">
        <v>1922</v>
      </c>
      <c r="D3" s="11" t="s">
        <v>40</v>
      </c>
    </row>
    <row r="4" customFormat="false" ht="15" hidden="false" customHeight="false" outlineLevel="0" collapsed="false">
      <c r="A4" s="6" t="s">
        <v>1923</v>
      </c>
      <c r="B4" s="6" t="n">
        <f aca="false">SUMIFS(03_rows!O2:O25,03_rows!Q2:Q25,"structural")</f>
        <v>640</v>
      </c>
      <c r="C4" s="6" t="n">
        <v>640</v>
      </c>
      <c r="D4" s="12" t="str">
        <f aca="false">IF(ABS(B4-C4)&lt;0.5,"PASS","FAIL")</f>
        <v>PASS</v>
      </c>
    </row>
    <row r="5" customFormat="false" ht="15" hidden="false" customHeight="false" outlineLevel="0" collapsed="false">
      <c r="A5" s="6" t="s">
        <v>1924</v>
      </c>
      <c r="B5" s="6" t="n">
        <f aca="false">SUMIFS(03_rows!O2:O25,03_rows!Q2:Q25,"planned headroom")</f>
        <v>480</v>
      </c>
      <c r="C5" s="6" t="n">
        <v>480</v>
      </c>
      <c r="D5" s="12" t="str">
        <f aca="false">IF(ABS(B5-C5)&lt;0.5,"PASS","FAIL")</f>
        <v>PASS</v>
      </c>
    </row>
    <row r="6" customFormat="false" ht="15" hidden="false" customHeight="false" outlineLevel="0" collapsed="false">
      <c r="A6" s="6" t="s">
        <v>1925</v>
      </c>
      <c r="B6" s="6" t="n">
        <f aca="false">SUM(03_rows!H2:H25)</f>
        <v>6800</v>
      </c>
      <c r="C6" s="6" t="n">
        <v>6800</v>
      </c>
      <c r="D6" s="12" t="str">
        <f aca="false">IF(ABS(B6-C6)&lt;0.5,"PASS","FAIL")</f>
        <v>PASS</v>
      </c>
    </row>
    <row r="7" customFormat="false" ht="15" hidden="false" customHeight="false" outlineLevel="0" collapsed="false">
      <c r="A7" s="6" t="s">
        <v>1926</v>
      </c>
      <c r="B7" s="6" t="n">
        <f aca="false">SUMIFS(03_rows!G2:G25,03_rows!B2:B25,"MUM-1-H4")</f>
        <v>34</v>
      </c>
      <c r="C7" s="6" t="n">
        <v>34</v>
      </c>
      <c r="D7" s="12" t="str">
        <f aca="false">IF(ABS(B7-C7)&lt;0.5,"PASS","FAIL")</f>
        <v>PASS</v>
      </c>
    </row>
    <row r="8" customFormat="false" ht="15" hidden="false" customHeight="false" outlineLevel="0" collapsed="false">
      <c r="A8" s="6" t="s">
        <v>1927</v>
      </c>
      <c r="B8" s="6" t="n">
        <f aca="false">SUMIFS(03_rows!I2:I25,03_rows!B2:B25,"MUM-1-H4")-SUMIFS(03_rows!H2:H25,03_rows!B2:B25,"MUM-1-H4")</f>
        <v>1320</v>
      </c>
      <c r="C8" s="6" t="n">
        <v>1320</v>
      </c>
      <c r="D8" s="12" t="str">
        <f aca="false">IF(ABS(B8-C8)&lt;0.5,"PASS","FAIL")</f>
        <v>PASS</v>
      </c>
    </row>
    <row r="9" customFormat="false" ht="15" hidden="false" customHeight="false" outlineLevel="0" collapsed="false">
      <c r="A9" s="6" t="s">
        <v>1928</v>
      </c>
      <c r="B9" s="6" t="n">
        <f aca="false">SUMIFS(03_rows!J2:J25,03_rows!B2:B25,"MUM-1-H4")-SUMIFS(03_rows!H2:H25,03_rows!B2:B25,"MUM-1-H4")</f>
        <v>840</v>
      </c>
      <c r="C9" s="6" t="n">
        <v>840</v>
      </c>
      <c r="D9" s="12" t="str">
        <f aca="false">IF(ABS(B9-C9)&lt;0.5,"PASS","FAIL")</f>
        <v>PASS</v>
      </c>
    </row>
    <row r="10" customFormat="false" ht="15" hidden="false" customHeight="false" outlineLevel="0" collapsed="false">
      <c r="A10" s="6" t="s">
        <v>1929</v>
      </c>
      <c r="B10" s="6" t="n">
        <f aca="false">COUNTIFS(07_cascade_result!K2:K13,"exceeded")</f>
        <v>5</v>
      </c>
      <c r="C10" s="6" t="n">
        <v>5</v>
      </c>
      <c r="D10" s="12" t="str">
        <f aca="false">IF(ABS(B10-C10)&lt;0.5,"PASS","FAIL")</f>
        <v>PASS</v>
      </c>
    </row>
    <row r="11" customFormat="false" ht="15" hidden="false" customHeight="false" outlineLevel="0" collapsed="false">
      <c r="A11" s="6" t="s">
        <v>1930</v>
      </c>
      <c r="B11" s="6" t="n">
        <f aca="false">COUNTIFS(07_cascade_result!K2:K13,"redundancy_lost")</f>
        <v>2</v>
      </c>
      <c r="C11" s="6" t="n">
        <v>2</v>
      </c>
      <c r="D11" s="12" t="str">
        <f aca="false">IF(ABS(B11-C11)&lt;0.5,"PASS","FAIL")</f>
        <v>PASS</v>
      </c>
    </row>
    <row r="12" customFormat="false" ht="15" hidden="false" customHeight="false" outlineLevel="0" collapsed="false">
      <c r="A12" s="6" t="s">
        <v>1931</v>
      </c>
      <c r="B12" s="6" t="n">
        <f aca="false">SUM(06_upgrade_options!D2:D7)</f>
        <v>250</v>
      </c>
      <c r="C12" s="6" t="n">
        <v>250</v>
      </c>
      <c r="D12" s="12" t="str">
        <f aca="false">IF(ABS(B12-C12)&lt;0.5,"PASS","FAIL")</f>
        <v>PASS</v>
      </c>
    </row>
    <row r="13" customFormat="false" ht="15" hidden="false" customHeight="false" outlineLevel="0" collapsed="false">
      <c r="A13" s="6" t="s">
        <v>1932</v>
      </c>
      <c r="B13" s="6" t="n">
        <f aca="false">MAX(06_upgrade_options!E2:E7)</f>
        <v>16</v>
      </c>
      <c r="C13" s="6" t="n">
        <v>16</v>
      </c>
      <c r="D13" s="12" t="str">
        <f aca="false">IF(ABS(B13-C13)&lt;0.5,"PASS","FAIL")</f>
        <v>PASS</v>
      </c>
    </row>
    <row r="14" customFormat="false" ht="15" hidden="false" customHeight="false" outlineLevel="0" collapsed="false">
      <c r="A14" s="6" t="s">
        <v>1933</v>
      </c>
      <c r="B14" s="6" t="n">
        <f aca="false">SUM(01_facilities!J2:J7)</f>
        <v>67000</v>
      </c>
      <c r="C14" s="6" t="n">
        <v>67000</v>
      </c>
      <c r="D14" s="12" t="str">
        <f aca="false">IF(ABS(B14-C14)&lt;0.5,"PASS","FAIL")</f>
        <v>PASS</v>
      </c>
    </row>
    <row r="15" customFormat="false" ht="15" hidden="false" customHeight="false" outlineLevel="0" collapsed="false">
      <c r="A15" s="6" t="s">
        <v>1934</v>
      </c>
      <c r="B15" s="6" t="n">
        <f aca="false">COUNTA(04_racks!A2:A481)</f>
        <v>480</v>
      </c>
      <c r="C15" s="6" t="n">
        <v>480</v>
      </c>
      <c r="D15" s="12" t="str">
        <f aca="false">IF(ABS(B15-C15)&lt;0.5,"PASS","FAIL")</f>
        <v>PASS</v>
      </c>
    </row>
    <row r="16" customFormat="false" ht="15" hidden="false" customHeight="false" outlineLevel="0" collapsed="false">
      <c r="A16" s="6" t="s">
        <v>1935</v>
      </c>
      <c r="B16" s="6" t="n">
        <f aca="false">ROUND(SUM(04_racks!N2:N481),0)</f>
        <v>6800</v>
      </c>
      <c r="C16" s="6" t="n">
        <v>6800</v>
      </c>
      <c r="D16" s="12" t="str">
        <f aca="false">IF(ABS(B16-C16)&lt;0.5,"PASS","FAIL")</f>
        <v>PASS</v>
      </c>
    </row>
    <row r="17" customFormat="false" ht="15" hidden="false" customHeight="false" outlineLevel="0" collapsed="false">
      <c r="A17" s="6" t="s">
        <v>1936</v>
      </c>
      <c r="B17" s="6" t="n">
        <f aca="false">COUNTIFS(04_racks!O2:O481,"occupied")</f>
        <v>366</v>
      </c>
      <c r="C17" s="6" t="n">
        <v>366</v>
      </c>
      <c r="D17" s="12" t="str">
        <f aca="false">IF(ABS(B17-C17)&lt;0.5,"PASS","FAIL")</f>
        <v>PASS</v>
      </c>
    </row>
    <row r="18" customFormat="false" ht="15" hidden="false" customHeight="false" outlineLevel="0" collapsed="false">
      <c r="A18" s="6" t="s">
        <v>1937</v>
      </c>
      <c r="B18" s="6" t="n">
        <f aca="false">COUNTIFS(04_racks!C2:C481,"MUM-1-H4",04_racks!O2:O481,"free")</f>
        <v>34</v>
      </c>
      <c r="C18" s="6" t="n">
        <v>34</v>
      </c>
      <c r="D18" s="12" t="str">
        <f aca="false">IF(ABS(B18-C18)&lt;0.5,"PASS","FAIL")</f>
        <v>PASS</v>
      </c>
    </row>
    <row r="19" customFormat="false" ht="15" hidden="false" customHeight="false" outlineLevel="0" collapsed="false">
      <c r="A19" s="6" t="s">
        <v>1938</v>
      </c>
      <c r="B19" s="6" t="n">
        <f aca="false">COUNTIFS(04_racks!O2:O481,"blocked")</f>
        <v>1</v>
      </c>
      <c r="C19" s="6" t="n">
        <v>1</v>
      </c>
      <c r="D19" s="12" t="str">
        <f aca="false">IF(ABS(B19-C19)&lt;0.5,"PASS","FAIL")</f>
        <v>PASS</v>
      </c>
    </row>
    <row r="20" customFormat="false" ht="15" hidden="false" customHeight="false" outlineLevel="0" collapsed="false">
      <c r="A20" s="6" t="s">
        <v>1939</v>
      </c>
      <c r="B20" s="6" t="n">
        <f aca="false">COUNTA(04b_component_positions!A2:A149)</f>
        <v>148</v>
      </c>
      <c r="C20" s="6" t="n">
        <v>148</v>
      </c>
      <c r="D20" s="12" t="str">
        <f aca="false">IF(ABS(B20-C20)&lt;0.5,"PASS","FAIL")</f>
        <v>PASS</v>
      </c>
    </row>
    <row r="22" customFormat="false" ht="15" hidden="false" customHeight="false" outlineLevel="0" collapsed="false">
      <c r="A22" s="9" t="s">
        <v>1940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2026-10-06T10:29:38Z</dcterms:created>
  <dc:creator>openpyxl</dc:creator>
  <dc:description/>
  <dc:language>en-US</dc:language>
  <cp:lastModifiedBy/>
  <dcterms:modified xsi:type="dcterms:W3CDTF">2026-10-06T10:29:40Z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